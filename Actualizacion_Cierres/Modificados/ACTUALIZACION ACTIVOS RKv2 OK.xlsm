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d61a5daf77df328/Documents/Santander/Macros/Documentacion/RE_ Revisión macros RK/"/>
    </mc:Choice>
  </mc:AlternateContent>
  <xr:revisionPtr revIDLastSave="522" documentId="13_ncr:1_{1DE85D9D-A1C4-490B-912F-55FF983C5031}" xr6:coauthVersionLast="47" xr6:coauthVersionMax="47" xr10:uidLastSave="{64640F5B-94D7-4ABC-9864-C83C91D1CB33}"/>
  <bookViews>
    <workbookView xWindow="-120" yWindow="-120" windowWidth="29040" windowHeight="15720" tabRatio="803" firstSheet="4" activeTab="6" xr2:uid="{00000000-000D-0000-FFFF-FFFF00000000}"/>
  </bookViews>
  <sheets>
    <sheet name="CatalogoContratos" sheetId="12" state="hidden" r:id="rId1"/>
    <sheet name="ListaContratos" sheetId="10" state="hidden" r:id="rId2"/>
    <sheet name="Contratos" sheetId="11" state="hidden" r:id="rId3"/>
    <sheet name="CatalogoConfiguracion" sheetId="8" state="hidden" r:id="rId4"/>
    <sheet name="FONT" sheetId="1" r:id="rId5"/>
    <sheet name="PENDIENTES" sheetId="3" r:id="rId6"/>
    <sheet name="CONTRATOS RK" sheetId="2" r:id="rId7"/>
    <sheet name="Especial" sheetId="5" state="hidden" r:id="rId8"/>
    <sheet name="Retiro" sheetId="6" state="hidden" r:id="rId9"/>
    <sheet name="Comercial" sheetId="7" state="hidden" r:id="rId10"/>
    <sheet name="VALUACIÓN" sheetId="21" r:id="rId11"/>
  </sheets>
  <definedNames>
    <definedName name="_xlnm._FilterDatabase" localSheetId="3" hidden="1">CatalogoContratos!$B$1:$E$157</definedName>
    <definedName name="_xlnm._FilterDatabase" localSheetId="0" hidden="1">CatalogoContratos!$A$1:$E$162</definedName>
    <definedName name="_xlnm._FilterDatabase" localSheetId="9" hidden="1">Comercial!$A$1:$F$43</definedName>
    <definedName name="_xlnm._FilterDatabase" localSheetId="2" hidden="1">Contratos!$A$1:$H$178</definedName>
    <definedName name="_xlnm._FilterDatabase" localSheetId="6" hidden="1">'CONTRATOS RK'!$B$1:$H$1158</definedName>
    <definedName name="_xlnm._FilterDatabase" localSheetId="7" hidden="1">Especial!$A$1:$F$51</definedName>
    <definedName name="_xlnm._FilterDatabase" localSheetId="4" hidden="1">FONT!$A$5:$S$2937</definedName>
    <definedName name="_xlnm._FilterDatabase" localSheetId="8" hidden="1">Retiro!$A$1:$F$5</definedName>
  </definedNames>
  <calcPr calcId="191029" iterateCount="1"/>
  <pivotCaches>
    <pivotCache cacheId="11" r:id="rId12"/>
    <pivotCache cacheId="15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G3" i="2"/>
  <c r="C4" i="2"/>
  <c r="G4" i="2"/>
  <c r="C5" i="2"/>
  <c r="G5" i="2"/>
  <c r="C6" i="2"/>
  <c r="G6" i="2"/>
  <c r="C7" i="2"/>
  <c r="G7" i="2"/>
  <c r="C8" i="2"/>
  <c r="G8" i="2"/>
  <c r="C9" i="2"/>
  <c r="G9" i="2"/>
  <c r="C10" i="2"/>
  <c r="G10" i="2"/>
  <c r="C11" i="2"/>
  <c r="G11" i="2"/>
  <c r="C12" i="2"/>
  <c r="G12" i="2"/>
  <c r="C13" i="2"/>
  <c r="G13" i="2"/>
  <c r="C14" i="2"/>
  <c r="G14" i="2"/>
  <c r="C15" i="2"/>
  <c r="G15" i="2"/>
  <c r="C16" i="2"/>
  <c r="G16" i="2"/>
  <c r="C17" i="2"/>
  <c r="G17" i="2"/>
  <c r="C18" i="2"/>
  <c r="G18" i="2"/>
  <c r="C19" i="2"/>
  <c r="G19" i="2"/>
  <c r="C20" i="2"/>
  <c r="G20" i="2"/>
  <c r="C21" i="2"/>
  <c r="G21" i="2"/>
  <c r="C22" i="2"/>
  <c r="G22" i="2"/>
  <c r="C23" i="2"/>
  <c r="G23" i="2"/>
  <c r="C24" i="2"/>
  <c r="G24" i="2"/>
  <c r="C25" i="2"/>
  <c r="G25" i="2"/>
  <c r="C26" i="2"/>
  <c r="G26" i="2"/>
  <c r="C27" i="2"/>
  <c r="G27" i="2"/>
  <c r="C28" i="2"/>
  <c r="G28" i="2"/>
  <c r="C29" i="2"/>
  <c r="G29" i="2"/>
  <c r="C30" i="2"/>
  <c r="G30" i="2"/>
  <c r="C31" i="2"/>
  <c r="G31" i="2"/>
  <c r="C32" i="2"/>
  <c r="G32" i="2"/>
  <c r="C33" i="2"/>
  <c r="G33" i="2"/>
  <c r="C34" i="2"/>
  <c r="G34" i="2"/>
  <c r="C35" i="2"/>
  <c r="G35" i="2"/>
  <c r="C36" i="2"/>
  <c r="G36" i="2"/>
  <c r="C37" i="2"/>
  <c r="G37" i="2"/>
  <c r="C38" i="2"/>
  <c r="G38" i="2"/>
  <c r="C39" i="2"/>
  <c r="G39" i="2"/>
  <c r="C40" i="2"/>
  <c r="G40" i="2"/>
  <c r="C41" i="2"/>
  <c r="G41" i="2"/>
  <c r="C42" i="2"/>
  <c r="G42" i="2"/>
  <c r="C43" i="2"/>
  <c r="G43" i="2"/>
  <c r="C44" i="2"/>
  <c r="G44" i="2"/>
  <c r="C45" i="2"/>
  <c r="G45" i="2"/>
  <c r="C46" i="2"/>
  <c r="G46" i="2"/>
  <c r="C47" i="2"/>
  <c r="G47" i="2"/>
  <c r="C48" i="2"/>
  <c r="G48" i="2"/>
  <c r="C49" i="2"/>
  <c r="G49" i="2"/>
  <c r="C50" i="2"/>
  <c r="G50" i="2"/>
  <c r="C51" i="2"/>
  <c r="G51" i="2"/>
  <c r="C52" i="2"/>
  <c r="G52" i="2"/>
  <c r="C53" i="2"/>
  <c r="G53" i="2"/>
  <c r="C54" i="2"/>
  <c r="G54" i="2"/>
  <c r="C55" i="2"/>
  <c r="G55" i="2"/>
  <c r="C56" i="2"/>
  <c r="G56" i="2"/>
  <c r="C57" i="2"/>
  <c r="G57" i="2"/>
  <c r="C58" i="2"/>
  <c r="G58" i="2"/>
  <c r="C59" i="2"/>
  <c r="G59" i="2"/>
  <c r="C60" i="2"/>
  <c r="G60" i="2"/>
  <c r="C61" i="2"/>
  <c r="G61" i="2"/>
  <c r="C62" i="2"/>
  <c r="G62" i="2"/>
  <c r="C63" i="2"/>
  <c r="G63" i="2"/>
  <c r="C64" i="2"/>
  <c r="G64" i="2"/>
  <c r="C65" i="2"/>
  <c r="G65" i="2"/>
  <c r="C66" i="2"/>
  <c r="G66" i="2"/>
  <c r="C67" i="2"/>
  <c r="G67" i="2"/>
  <c r="C68" i="2"/>
  <c r="G68" i="2"/>
  <c r="C69" i="2"/>
  <c r="G69" i="2"/>
  <c r="C70" i="2"/>
  <c r="G70" i="2"/>
  <c r="C71" i="2"/>
  <c r="G71" i="2"/>
  <c r="C72" i="2"/>
  <c r="G72" i="2"/>
  <c r="C73" i="2"/>
  <c r="G73" i="2"/>
  <c r="C74" i="2"/>
  <c r="G74" i="2"/>
  <c r="C75" i="2"/>
  <c r="G75" i="2"/>
  <c r="C76" i="2"/>
  <c r="G76" i="2"/>
  <c r="C77" i="2"/>
  <c r="G77" i="2"/>
  <c r="C78" i="2"/>
  <c r="G78" i="2"/>
  <c r="C79" i="2"/>
  <c r="G79" i="2"/>
  <c r="G129" i="2" l="1"/>
  <c r="G128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C106" i="2"/>
  <c r="C107" i="2"/>
  <c r="C108" i="2"/>
  <c r="C109" i="2"/>
  <c r="C165" i="2"/>
  <c r="C166" i="2"/>
  <c r="C161" i="2"/>
  <c r="C162" i="2"/>
  <c r="C163" i="2"/>
  <c r="C164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G127" i="2" l="1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A12551" i="1" l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</calcChain>
</file>

<file path=xl/sharedStrings.xml><?xml version="1.0" encoding="utf-8"?>
<sst xmlns="http://schemas.openxmlformats.org/spreadsheetml/2006/main" count="5697" uniqueCount="409">
  <si>
    <t>Contrato</t>
  </si>
  <si>
    <t>Nombre</t>
  </si>
  <si>
    <t>Emisora</t>
  </si>
  <si>
    <t>Tipo de Pos.</t>
  </si>
  <si>
    <t>Moneda</t>
  </si>
  <si>
    <t>Títulos</t>
  </si>
  <si>
    <t>Prec Ult Hecho</t>
  </si>
  <si>
    <t>Monto</t>
  </si>
  <si>
    <t>Costo Unitario</t>
  </si>
  <si>
    <t>Plusvalia o Minusvalia</t>
  </si>
  <si>
    <t>Títulos Operados</t>
  </si>
  <si>
    <t>Monto Operado</t>
  </si>
  <si>
    <t>Títulos Pendientes</t>
  </si>
  <si>
    <t>Monto Pendiente</t>
  </si>
  <si>
    <t>Títulos Totales</t>
  </si>
  <si>
    <t>Monto Total</t>
  </si>
  <si>
    <t>Promotor</t>
  </si>
  <si>
    <t>Centro de Costos</t>
  </si>
  <si>
    <t>ADMINISTRADORA DE PERSONAL DE CASA LEY 80 SA DE CV FONDO DE AHORRO</t>
  </si>
  <si>
    <t>Etiquetas de fila</t>
  </si>
  <si>
    <t>(en blanco)</t>
  </si>
  <si>
    <t>Total general</t>
  </si>
  <si>
    <t>Suma de Monto</t>
  </si>
  <si>
    <t>CONTRATO</t>
  </si>
  <si>
    <t>TOTAL</t>
  </si>
  <si>
    <t>Suma de Monto Total</t>
  </si>
  <si>
    <t>Tipo Fondo</t>
  </si>
  <si>
    <t>Admon</t>
  </si>
  <si>
    <t>Cliente</t>
  </si>
  <si>
    <t>Sdo. Cto Inversión</t>
  </si>
  <si>
    <t>Sdo. RK</t>
  </si>
  <si>
    <t>Diferencia</t>
  </si>
  <si>
    <t>Observaciones</t>
  </si>
  <si>
    <t>ICA</t>
  </si>
  <si>
    <t>DISTRIBUCION MARZAM S.A. DE C.V.</t>
  </si>
  <si>
    <t>MARZAM DEL PACÍFICO S.A. DE C.V.</t>
  </si>
  <si>
    <t>ASESORIA Y DIRECCION MARZAM S.A. DE C.V.</t>
  </si>
  <si>
    <t>MARZAM S.A. DE C.V.</t>
  </si>
  <si>
    <t>DISTRIBUCION GUERRA ZAMUDIO S.A. DE C.V.</t>
  </si>
  <si>
    <t>INFONAVIT</t>
  </si>
  <si>
    <t>CHARTIS</t>
  </si>
  <si>
    <t>PRAXAIR</t>
  </si>
  <si>
    <t>FORTE TABASCO</t>
  </si>
  <si>
    <t>ISSSTEP 1013187</t>
  </si>
  <si>
    <t>LISMAN MEX SA DE CV FONDO DE AHORRO</t>
  </si>
  <si>
    <t>FABRICA DE JABON LA CORONA</t>
  </si>
  <si>
    <t>ASI</t>
  </si>
  <si>
    <t>CI</t>
  </si>
  <si>
    <t>CLUB INDUSTRIAL</t>
  </si>
  <si>
    <t>INVERCAPAFORE</t>
  </si>
  <si>
    <t>LC</t>
  </si>
  <si>
    <t>LAFON LAUNAY COSMETICS</t>
  </si>
  <si>
    <t>MODCOAHUILA</t>
  </si>
  <si>
    <t>NMPP</t>
  </si>
  <si>
    <t>OASISAL</t>
  </si>
  <si>
    <t>OASIS LATINOAMERICA</t>
  </si>
  <si>
    <t>IESTPSCONT</t>
  </si>
  <si>
    <t>IESTPS</t>
  </si>
  <si>
    <t>PUMA</t>
  </si>
  <si>
    <t>PUMA DE MEXICO</t>
  </si>
  <si>
    <t>CHRYSLER DAIMLER</t>
  </si>
  <si>
    <t>DAIMLER</t>
  </si>
  <si>
    <t>LA SALLE</t>
  </si>
  <si>
    <t>BOLSA MEXICANA SIF-ICAP</t>
  </si>
  <si>
    <t>BOLSA MEXICANA AMIB</t>
  </si>
  <si>
    <t>BOLSA MEXICANA CMMV</t>
  </si>
  <si>
    <t>U.A.E.M UNIV EDO MEX</t>
  </si>
  <si>
    <t>AFIANZADORA ASERTA</t>
  </si>
  <si>
    <t>TRIBUNAL T.S.J.D.F  AHORRO</t>
  </si>
  <si>
    <t>MOTOROLA MOBILITY DE MEXICO /  BCO SANTANDER MEXICO FIDEICOMISO F/2001807 2</t>
  </si>
  <si>
    <t>AXALTO / GMALTO PRINTER</t>
  </si>
  <si>
    <t>EL POTOSI CIA</t>
  </si>
  <si>
    <t>EL POTOSI EMPL</t>
  </si>
  <si>
    <t>AFIANZADORAP.F. DOLARES</t>
  </si>
  <si>
    <t>AFIANZADORA P.M. DOLARES</t>
  </si>
  <si>
    <t>ADMINISTRADORA DE PERSONAL DE CASA LEY 80 SA DE CV PENSIONES</t>
  </si>
  <si>
    <t>JOHNSON</t>
  </si>
  <si>
    <t>SAP ADI</t>
  </si>
  <si>
    <t>SAP EMPL</t>
  </si>
  <si>
    <t>AISA MANCOMUNADOS</t>
  </si>
  <si>
    <t>ASERTA MANCOMUNADOS</t>
  </si>
  <si>
    <t>ASERTA CANCELADAS</t>
  </si>
  <si>
    <t>FIDEICOMISO FOMENTO MINERO</t>
  </si>
  <si>
    <t>ARRENDADORA VIVEICA, S.A. DE C.V</t>
  </si>
  <si>
    <t xml:space="preserve">ICAI OPERACIÓN DE INFRAESTRUCTURA                        </t>
  </si>
  <si>
    <t>ICAI SERVICIOS</t>
  </si>
  <si>
    <t>SERVICIOS S.C. JOHNSON</t>
  </si>
  <si>
    <t>RETIRO</t>
  </si>
  <si>
    <t>ESPECIAL</t>
  </si>
  <si>
    <t>LIQA</t>
  </si>
  <si>
    <t>OAA</t>
  </si>
  <si>
    <t>OFR</t>
  </si>
  <si>
    <t>OFRA</t>
  </si>
  <si>
    <t>ANAHUAC</t>
  </si>
  <si>
    <t>BOSECORP</t>
  </si>
  <si>
    <t>BOSE CORPORATION SA DE CV</t>
  </si>
  <si>
    <t>AGUABONQ</t>
  </si>
  <si>
    <t>AGUABONS</t>
  </si>
  <si>
    <t>ENVASABON</t>
  </si>
  <si>
    <t>NOMISER</t>
  </si>
  <si>
    <t>BREMBO</t>
  </si>
  <si>
    <t>BREMBO MEXICO</t>
  </si>
  <si>
    <t>PRENDAS JURIDICAS FMTY</t>
  </si>
  <si>
    <t>FIANZAS MONTERREY</t>
  </si>
  <si>
    <t>FIANZAS FIANDLLS</t>
  </si>
  <si>
    <t>COMERCIAL</t>
  </si>
  <si>
    <t>MONTO</t>
  </si>
  <si>
    <t>NUM CLIENTE</t>
  </si>
  <si>
    <t>CLIENTE</t>
  </si>
  <si>
    <t>FONDO</t>
  </si>
  <si>
    <t>ADMON</t>
  </si>
  <si>
    <t>2000183B</t>
  </si>
  <si>
    <t>2000183C</t>
  </si>
  <si>
    <t>2000183D</t>
  </si>
  <si>
    <t>2000182B</t>
  </si>
  <si>
    <t>2000182C</t>
  </si>
  <si>
    <t>2000182D</t>
  </si>
  <si>
    <t>1012260A-N</t>
  </si>
  <si>
    <t>1012260B-N</t>
  </si>
  <si>
    <t>1012260C-N</t>
  </si>
  <si>
    <t>1012260D-N</t>
  </si>
  <si>
    <t>1012259A-N</t>
  </si>
  <si>
    <t>1012259B-N</t>
  </si>
  <si>
    <t>1012259C-N</t>
  </si>
  <si>
    <t>1012259D-N</t>
  </si>
  <si>
    <t>2000780A-N</t>
  </si>
  <si>
    <t>2000780B-N</t>
  </si>
  <si>
    <t>2000780C-N</t>
  </si>
  <si>
    <t>2000780D-N</t>
  </si>
  <si>
    <t>2000779A-N</t>
  </si>
  <si>
    <t>2000779B-N</t>
  </si>
  <si>
    <t>2000779C-N</t>
  </si>
  <si>
    <t>2000779D-N</t>
  </si>
  <si>
    <t>2000424-N</t>
  </si>
  <si>
    <t>2000424A-N</t>
  </si>
  <si>
    <t>2000424B-N</t>
  </si>
  <si>
    <t>2000424C-N</t>
  </si>
  <si>
    <t>2000423-N</t>
  </si>
  <si>
    <t>2000423A-N</t>
  </si>
  <si>
    <t>2000423B-N</t>
  </si>
  <si>
    <t>2000423C-N</t>
  </si>
  <si>
    <t>GESBAN-AEMP</t>
  </si>
  <si>
    <t>BANCO SANTANDER</t>
  </si>
  <si>
    <t>Cuenta de Contrato</t>
  </si>
  <si>
    <t>PENDIENTES</t>
  </si>
  <si>
    <t>VALIDACION</t>
  </si>
  <si>
    <t>KANTENAH</t>
  </si>
  <si>
    <t>KANTENAH SERVICIOS SC</t>
  </si>
  <si>
    <t>VIDANTA DESARROLLO VALLARTA</t>
  </si>
  <si>
    <t>CASA SAUZA</t>
  </si>
  <si>
    <t>2001047A-N</t>
  </si>
  <si>
    <t>2001047B-N</t>
  </si>
  <si>
    <t>2001047C-N</t>
  </si>
  <si>
    <t>2001047D-N</t>
  </si>
  <si>
    <t>2001046A-N</t>
  </si>
  <si>
    <t>2001046B-N</t>
  </si>
  <si>
    <t>2001046C-N</t>
  </si>
  <si>
    <t>2001046D-N</t>
  </si>
  <si>
    <t xml:space="preserve"> VIVEICA CONSTRUCCION Y DESARROLLO</t>
  </si>
  <si>
    <t>2001022A-N</t>
  </si>
  <si>
    <t>2001022B-N</t>
  </si>
  <si>
    <t>2001022C-N</t>
  </si>
  <si>
    <t>2001022D-N</t>
  </si>
  <si>
    <t>FONHAPO</t>
  </si>
  <si>
    <t>ENVASES PRIMO CUEVAS</t>
  </si>
  <si>
    <t>GESTION</t>
  </si>
  <si>
    <t>PENSIONES</t>
  </si>
  <si>
    <t>CAJA AHORRO</t>
  </si>
  <si>
    <t>KANTENAH SERVICIOS SC FONDO DE AHORRO</t>
  </si>
  <si>
    <t>SERVICIOS MODELO DE COAHUILA</t>
  </si>
  <si>
    <t>PRESTADORA DE SERVICIOS PARA HOTELES Y RESTAURANTES GP</t>
  </si>
  <si>
    <t>PRESIDENTE 2000486</t>
  </si>
  <si>
    <t>HEB</t>
  </si>
  <si>
    <t>AVONSIND</t>
  </si>
  <si>
    <t>AVONEMPL</t>
  </si>
  <si>
    <t>VIDANTA</t>
  </si>
  <si>
    <t>OTISSIND</t>
  </si>
  <si>
    <t>OTISADMON</t>
  </si>
  <si>
    <t>C.B. EMPL</t>
  </si>
  <si>
    <t>C.B. CIA</t>
  </si>
  <si>
    <t>Especial</t>
  </si>
  <si>
    <t>Comercial</t>
  </si>
  <si>
    <t>Retiro</t>
  </si>
  <si>
    <t>X</t>
  </si>
  <si>
    <t>Documento</t>
  </si>
  <si>
    <t>Ruta Contratos</t>
  </si>
  <si>
    <t>Contratos</t>
  </si>
  <si>
    <t>Ruta reportes</t>
  </si>
  <si>
    <t>TIPO</t>
  </si>
  <si>
    <t>CONTRATO OPICS</t>
  </si>
  <si>
    <t>SISTEMA RK</t>
  </si>
  <si>
    <t>NOMBRE P/VALUACIÓN</t>
  </si>
  <si>
    <t>EMPRESA</t>
  </si>
  <si>
    <t>TIPO DE FONDO</t>
  </si>
  <si>
    <t>ACTUALIZA</t>
  </si>
  <si>
    <t xml:space="preserve">BASE </t>
  </si>
  <si>
    <t>MANUAL</t>
  </si>
  <si>
    <t>INSTITU</t>
  </si>
  <si>
    <t>F AHORRO</t>
  </si>
  <si>
    <t>ICA PRIM</t>
  </si>
  <si>
    <t>MOTOROLA</t>
  </si>
  <si>
    <t>AXALTO</t>
  </si>
  <si>
    <t>FIANZAS</t>
  </si>
  <si>
    <t>FOMENTO MINERO</t>
  </si>
  <si>
    <t xml:space="preserve">GESTIÓN </t>
  </si>
  <si>
    <t xml:space="preserve">CASA  SAUZA </t>
  </si>
  <si>
    <t>x</t>
  </si>
  <si>
    <t>NACIONAL MONTE DE PIEDAD I.A.P. VIVE 50</t>
  </si>
  <si>
    <t xml:space="preserve">NACIONALMONTE DE PIEDAD, I.A.P. </t>
  </si>
  <si>
    <t>CASA LEY (ASESORES NORESTE)</t>
  </si>
  <si>
    <t>AIG</t>
  </si>
  <si>
    <t>MANTARA</t>
  </si>
  <si>
    <t>BOLSA MEXICANA</t>
  </si>
  <si>
    <t>U.J.A.T UNIV TABASCO /BCO SANTANDER (MEXICO) FIDEICOMISO F/2001447-1</t>
  </si>
  <si>
    <t xml:space="preserve">UNIV TABASCO </t>
  </si>
  <si>
    <t>UNIV EDO MÉXICO</t>
  </si>
  <si>
    <t>AFIANZADORA (ASERTA)</t>
  </si>
  <si>
    <t>TRIBUNAL</t>
  </si>
  <si>
    <t>UADY CAJA AHORRO/BCO.SANTANDER MEXICO S.A FID.2001672-1</t>
  </si>
  <si>
    <t>U.A.D.Y.</t>
  </si>
  <si>
    <t>PRESIDENTE 2000206</t>
  </si>
  <si>
    <t xml:space="preserve">HOTELES PRESIDENTE </t>
  </si>
  <si>
    <t>PRESIDENTE 2000205</t>
  </si>
  <si>
    <t>SANTEP20</t>
  </si>
  <si>
    <t>SANTCIA20</t>
  </si>
  <si>
    <t>SANTEMP35</t>
  </si>
  <si>
    <t>SANTEMP50</t>
  </si>
  <si>
    <t>SANTEMP60</t>
  </si>
  <si>
    <t>SANTCIA35</t>
  </si>
  <si>
    <t>SANTCIA50</t>
  </si>
  <si>
    <t>SANTCIA60</t>
  </si>
  <si>
    <t xml:space="preserve">ELAVONSCC CIA </t>
  </si>
  <si>
    <t>ELAVON</t>
  </si>
  <si>
    <t>ELAVONSCE EMP</t>
  </si>
  <si>
    <t>ELAVONCE CIA</t>
  </si>
  <si>
    <t>ELAVONCE EMP</t>
  </si>
  <si>
    <t>ISSSTEP</t>
  </si>
  <si>
    <t>ALBANY CIA</t>
  </si>
  <si>
    <t>ALBANY</t>
  </si>
  <si>
    <t>ALBANY EMPL</t>
  </si>
  <si>
    <t>EL POTOSI</t>
  </si>
  <si>
    <t>SAP</t>
  </si>
  <si>
    <t>Palace</t>
  </si>
  <si>
    <t xml:space="preserve"> Grupo Palace Resorts</t>
  </si>
  <si>
    <t>GESBAN-HACIA</t>
  </si>
  <si>
    <t>MARZAM</t>
  </si>
  <si>
    <t>AGUABON QUINCENAL</t>
  </si>
  <si>
    <t>ENVASADORA</t>
  </si>
  <si>
    <t>AGUABON SEMANAL</t>
  </si>
  <si>
    <t>ANAHUAC - INVESTIGACIONES Y ESTUDIOS SUPERIORES SC</t>
  </si>
  <si>
    <t xml:space="preserve">ANAHUAC INVESTIGACIONES Y ESTUDIOS SUPERIORES SC  </t>
  </si>
  <si>
    <t>AVON COSMETICS EMPLEADOS</t>
  </si>
  <si>
    <t>AVON</t>
  </si>
  <si>
    <t>AVON COSMETICS SINDICALIZADO</t>
  </si>
  <si>
    <t>BOSE</t>
  </si>
  <si>
    <t>HEB SUPER MERCADOS INT</t>
  </si>
  <si>
    <t xml:space="preserve">IEST </t>
  </si>
  <si>
    <t>IEST - INSTITUTO DE  ESTUDIOS SUPERIORES DE TAMAULIPAS, A.C.</t>
  </si>
  <si>
    <t>INSTITUTO DE ESTUDIOS SUPERIORES DE TAMAULIPAS A.C. CAJA DE AHORRO</t>
  </si>
  <si>
    <t xml:space="preserve">CAJA DE AHORRO </t>
  </si>
  <si>
    <t>IESTPS - IEST PLAN DE PENSIONES</t>
  </si>
  <si>
    <t>INSTITUTO DE ESTUDIOS SUPERIORES DE TAMAULIPAS A.C. PLAN DE PENSIONES</t>
  </si>
  <si>
    <t>IESTPSCONT - IEST PLAN DE PENSIONES CONTINGENCIA</t>
  </si>
  <si>
    <t>INSTITUTO DE ESTUDIOS SUPERIORES DE TAMAULIPAS A.C. PENSIONES CONTINGENCIA</t>
  </si>
  <si>
    <t>DANONE LIQUIMEX FDO AHORRO</t>
  </si>
  <si>
    <t>GRUPO DANONE</t>
  </si>
  <si>
    <t>DANONE OAM FDO AHORRO</t>
  </si>
  <si>
    <t xml:space="preserve">OASIS LATINOAMERICA </t>
  </si>
  <si>
    <t>DANONE OFR SINDICALIZADO FDO AHORRO</t>
  </si>
  <si>
    <t>DANONE OFR NO SINDICALIZADO FDO AHORRO</t>
  </si>
  <si>
    <t>Elevadores OTIS Fondo de Ahorro Empleados</t>
  </si>
  <si>
    <t>OTIS</t>
  </si>
  <si>
    <t>Elevadores OTIS Fondo de Ahorro Sindicalizados</t>
  </si>
  <si>
    <t>Fuentes</t>
  </si>
  <si>
    <t>TXT</t>
  </si>
  <si>
    <t>CSV</t>
  </si>
  <si>
    <t>Columnas Consulta</t>
  </si>
  <si>
    <t>C</t>
  </si>
  <si>
    <t>D</t>
  </si>
  <si>
    <t>NumCliente</t>
  </si>
  <si>
    <t>CASA SAUZA PENSIONES</t>
  </si>
  <si>
    <t>NACIONAL MONTE DE PIEDAD I.A.P. VIVE 20</t>
  </si>
  <si>
    <t>NACIONAL MONTE DE PIEDAD I.A.P. VIVE 60</t>
  </si>
  <si>
    <t>NACIONAL MONTE DE PIEDAD I.A.P. VIVE 35</t>
  </si>
  <si>
    <t>GESTION EMPL</t>
  </si>
  <si>
    <t>GESTION CIA</t>
  </si>
  <si>
    <t xml:space="preserve">TOPSAM CIA </t>
  </si>
  <si>
    <t>TOPSAM EMP</t>
  </si>
  <si>
    <t>BANCO S3 EMP</t>
  </si>
  <si>
    <t>BANCO S3 CIA</t>
  </si>
  <si>
    <t xml:space="preserve"> COATS MEXICO</t>
  </si>
  <si>
    <t xml:space="preserve">GENERAL MOTORS FINANCIAL </t>
  </si>
  <si>
    <t>SERVICIOS GMACFA</t>
  </si>
  <si>
    <t>F. AHORRO</t>
  </si>
  <si>
    <t>E</t>
  </si>
  <si>
    <t>C:\Reportes\Reportes</t>
  </si>
  <si>
    <t>Y:\Operativa\CONTRATOS DEFINITIVOS.xlsx</t>
  </si>
  <si>
    <t>PPR</t>
  </si>
  <si>
    <t xml:space="preserve">AP NO DEDUCIBLE </t>
  </si>
  <si>
    <t>P.P.R.</t>
  </si>
  <si>
    <t xml:space="preserve">AP DEDUCIBLE </t>
  </si>
  <si>
    <t>AP DEDUCIBLE RV</t>
  </si>
  <si>
    <t>AP DEDUCIBLE GUBERNAMENTAL</t>
  </si>
  <si>
    <t>EAMSIND</t>
  </si>
  <si>
    <t>EAMEMP</t>
  </si>
  <si>
    <t>CGA</t>
  </si>
  <si>
    <t>OASIS</t>
  </si>
  <si>
    <t>F.AHORRO</t>
  </si>
  <si>
    <t>CGA - Compañía General de Aguas</t>
  </si>
  <si>
    <t>EAMSIND - Envasadoras de Aguas en México Sind</t>
  </si>
  <si>
    <t>EAMEMP - Envasadoras de Aguas en México Empl</t>
  </si>
  <si>
    <t>Ajemex Consultores</t>
  </si>
  <si>
    <t>RADIOPOLIS CA</t>
  </si>
  <si>
    <t>RADIOPOLIS FA</t>
  </si>
  <si>
    <t>RADIOPOLIS CA - RADIOPOLIS CAJA DE AHORRO</t>
  </si>
  <si>
    <t>RADIOPOLIS FA - RADIOPOLIS FONDO DE AHORRO</t>
  </si>
  <si>
    <t>UDG - UNIVERSIDAD DE GUADALAJARA</t>
  </si>
  <si>
    <t>BANCO</t>
  </si>
  <si>
    <t>UDG</t>
  </si>
  <si>
    <t>UNIVERSIDAD DE GUADALAJARA</t>
  </si>
  <si>
    <t>Ajemex</t>
  </si>
  <si>
    <t>Cocentro</t>
  </si>
  <si>
    <t>Ajegroup</t>
  </si>
  <si>
    <t>Ajemex - Ajemex</t>
  </si>
  <si>
    <t>Cocentro - Cocentro</t>
  </si>
  <si>
    <t>Ajegroup - Ajegroup</t>
  </si>
  <si>
    <t>FECHA</t>
  </si>
  <si>
    <t>RODEO CESANTIA</t>
  </si>
  <si>
    <t>RODEO RETIRO</t>
  </si>
  <si>
    <t>RODEO VIVIENDA</t>
  </si>
  <si>
    <t>UTDCESANTIA</t>
  </si>
  <si>
    <t>UTD SUBCUENTA</t>
  </si>
  <si>
    <t>UTDRETIRO</t>
  </si>
  <si>
    <t>UTDVIVIENDA</t>
  </si>
  <si>
    <t>BONAFONT QUIN</t>
  </si>
  <si>
    <t>BONAFONT QUIN - BONAFONT QUIN</t>
  </si>
  <si>
    <t>Danone de México Q</t>
  </si>
  <si>
    <t>Danone de México Q - Danone de México Quin</t>
  </si>
  <si>
    <t>La suprema</t>
  </si>
  <si>
    <t>SUPREMA</t>
  </si>
  <si>
    <t>BONAFONT SEM</t>
  </si>
  <si>
    <t>BONAFONT SEMANAL</t>
  </si>
  <si>
    <t>Danone de México S</t>
  </si>
  <si>
    <t>DANONE DE MEXICO SEMANAL</t>
  </si>
  <si>
    <t>Bonafont Pens</t>
  </si>
  <si>
    <t>Danone Mex pensiones</t>
  </si>
  <si>
    <t>Bonafont Pens - Bonafont Pensiones</t>
  </si>
  <si>
    <t>Danone de México</t>
  </si>
  <si>
    <t>DANONE</t>
  </si>
  <si>
    <t>Arcelor Mittal México</t>
  </si>
  <si>
    <t>Arcelor Mittal Portuarios</t>
  </si>
  <si>
    <t xml:space="preserve">Arcelor Mittal Las Truchas </t>
  </si>
  <si>
    <t>Corporación del Balsas</t>
  </si>
  <si>
    <t>AM</t>
  </si>
  <si>
    <t>AP</t>
  </si>
  <si>
    <t>AT</t>
  </si>
  <si>
    <t>CB</t>
  </si>
  <si>
    <t>Envasadora de Aguas Pensiones</t>
  </si>
  <si>
    <t xml:space="preserve">CASA LEY FONDO DE AHORRO - CASA LEY SAPI SA DE CV (PLAN DE PENSION) </t>
  </si>
  <si>
    <t>CASA LEY SAPI PENS</t>
  </si>
  <si>
    <t>CFE</t>
  </si>
  <si>
    <t>CFEnergía</t>
  </si>
  <si>
    <t>61A0</t>
  </si>
  <si>
    <t>61A2</t>
  </si>
  <si>
    <t>61C0</t>
  </si>
  <si>
    <t>25D0</t>
  </si>
  <si>
    <t>25D1</t>
  </si>
  <si>
    <t>41D0</t>
  </si>
  <si>
    <t>61A1</t>
  </si>
  <si>
    <t>698W</t>
  </si>
  <si>
    <t>86F0</t>
  </si>
  <si>
    <t>904W</t>
  </si>
  <si>
    <t>MX10</t>
  </si>
  <si>
    <t>Robert Bosch México Sistemas Automotrices, S.A. de C.V. (Fondo de Ahorro 61A0)</t>
  </si>
  <si>
    <t>Robert Bosch México Sistemas Automotrices, S.A. de C.V. (Fondo de Ahorro 61A2)</t>
  </si>
  <si>
    <t>Robert Bosch México Sistemas Automotrices, S.A. de C.V. (Fondo de Ahorro 61C0)</t>
  </si>
  <si>
    <t>Robert Bosch México Sistemas de Seguridad, S.A. de C.V. (Fondo de Ahorro 1528)</t>
  </si>
  <si>
    <t>Robert Bosch México, S.A. de C.V. (Fondo de Ahorro 25D0)</t>
  </si>
  <si>
    <t>Robert Bosch México, S.A. de C.V. (Fondo de Ahorro 25D1)</t>
  </si>
  <si>
    <t>Robert Bosch Tool de México, S.A de C.V. (Fondo de Ahorro 41D0)</t>
  </si>
  <si>
    <t>Robert Bosch México Sistemas de Frenos, S. de R.L. de C.V. (Fondo de Ahorro 61A1)</t>
  </si>
  <si>
    <t>Robert Bosch Sistemas Automotrices S.A de C.V (Fondo de Ahorro 6981)</t>
  </si>
  <si>
    <t>Robert Bosch Sistemas Automotrices S.A. de C.V. (Fondo de Ahorro 698W)</t>
  </si>
  <si>
    <t>Frenados Mexicanos, S.A. de C.V. (Fondo de Ahorro 86F0)</t>
  </si>
  <si>
    <t>Robert Bosch S de RL de CV (Fondo de Ahorro 904W)</t>
  </si>
  <si>
    <t>Bosch Rexroth S.A. de C.V. (Fondo de Ahorro MX10)</t>
  </si>
  <si>
    <t>BSH</t>
  </si>
  <si>
    <t>BSH Home Appliances, S.A de C.V. (Fondo de Ahorro</t>
  </si>
  <si>
    <t>Alpamayo</t>
  </si>
  <si>
    <t>Inmobiliaria Alpamayo, S.A. de C.V</t>
  </si>
  <si>
    <t xml:space="preserve">CASA LEY SAPI SA DE CV (FONDO DE AHORRO) </t>
  </si>
  <si>
    <t>CASA LEY SAPI FA</t>
  </si>
  <si>
    <t>QUE1</t>
  </si>
  <si>
    <t>Bosch Rexroth, S.A. de C.V. (Fondo de Ahorro QUE1)</t>
  </si>
  <si>
    <t>EPER</t>
  </si>
  <si>
    <t>Gestion</t>
  </si>
  <si>
    <t xml:space="preserve">El Cliente no ha enviado su información / ya se solicitó vía correo </t>
  </si>
  <si>
    <t>Envasabon Pensiones</t>
  </si>
  <si>
    <t>CONTRATO CON POSICION DE $682.60</t>
  </si>
  <si>
    <t>Cancelacion de contrato</t>
  </si>
  <si>
    <t>SERV. PANAMERICANOS DE PROTECCIÓN</t>
  </si>
  <si>
    <t>SERVICIOS PAN AMERICANO DE PROTECCION CAJA DE AHORRO</t>
  </si>
  <si>
    <t>CONTRATO LIQUIDADO</t>
  </si>
  <si>
    <t>UNIVERSIDAD AUTONOMA DE AGUASCALIENTES</t>
  </si>
  <si>
    <t>T+2</t>
  </si>
  <si>
    <t>INCLUSION FINANCIERA</t>
  </si>
  <si>
    <t>t+2</t>
  </si>
  <si>
    <t>DANONE DE MEXICO QUINCENAL</t>
  </si>
  <si>
    <t>BONAFONT QUINENAL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</si>
</sst>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00"/>
    <numFmt numFmtId="165" formatCode="#,##0.00_ ;[Red]\-#,##0.00\ "/>
    <numFmt numFmtId="166" formatCode="\$##,##0.00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7"/>
      <name val="Arial"/>
      <family val="2"/>
    </font>
    <font>
      <sz val="10"/>
      <name val="Arial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55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6" fillId="0" borderId="0"/>
    <xf numFmtId="0" fontId="24" fillId="0" borderId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27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27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27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27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2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2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27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27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27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27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27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23" fillId="13" borderId="0" applyNumberFormat="0" applyBorder="0" applyAlignment="0" applyProtection="0"/>
    <xf numFmtId="0" fontId="23" fillId="17" borderId="0" applyNumberFormat="0" applyBorder="0" applyAlignment="0" applyProtection="0"/>
    <xf numFmtId="0" fontId="23" fillId="21" borderId="0" applyNumberFormat="0" applyBorder="0" applyAlignment="0" applyProtection="0"/>
    <xf numFmtId="0" fontId="23" fillId="25" borderId="0" applyNumberFormat="0" applyBorder="0" applyAlignment="0" applyProtection="0"/>
    <xf numFmtId="0" fontId="23" fillId="29" borderId="0" applyNumberFormat="0" applyBorder="0" applyAlignment="0" applyProtection="0"/>
    <xf numFmtId="0" fontId="23" fillId="33" borderId="0" applyNumberFormat="0" applyBorder="0" applyAlignment="0" applyProtection="0"/>
    <xf numFmtId="0" fontId="28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8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8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8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8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8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10" borderId="0" applyNumberFormat="0" applyBorder="0" applyAlignment="0" applyProtection="0"/>
    <xf numFmtId="0" fontId="23" fillId="14" borderId="0" applyNumberFormat="0" applyBorder="0" applyAlignment="0" applyProtection="0"/>
    <xf numFmtId="0" fontId="23" fillId="18" borderId="0" applyNumberFormat="0" applyBorder="0" applyAlignment="0" applyProtection="0"/>
    <xf numFmtId="0" fontId="23" fillId="22" borderId="0" applyNumberFormat="0" applyBorder="0" applyAlignment="0" applyProtection="0"/>
    <xf numFmtId="0" fontId="23" fillId="26" borderId="0" applyNumberFormat="0" applyBorder="0" applyAlignment="0" applyProtection="0"/>
    <xf numFmtId="0" fontId="23" fillId="30" borderId="0" applyNumberFormat="0" applyBorder="0" applyAlignment="0" applyProtection="0"/>
    <xf numFmtId="0" fontId="14" fillId="4" borderId="0" applyNumberFormat="0" applyBorder="0" applyAlignment="0" applyProtection="0"/>
    <xf numFmtId="0" fontId="2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8" fillId="7" borderId="7" applyNumberFormat="0" applyAlignment="0" applyProtection="0"/>
    <xf numFmtId="0" fontId="30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31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32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20" fillId="8" borderId="10" applyNumberFormat="0" applyAlignment="0" applyProtection="0"/>
    <xf numFmtId="0" fontId="3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8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8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8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8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8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8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34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22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6" fillId="6" borderId="7" applyNumberFormat="0" applyAlignment="0" applyProtection="0"/>
    <xf numFmtId="0" fontId="19" fillId="0" borderId="9" applyNumberFormat="0" applyFill="0" applyAlignment="0" applyProtection="0"/>
    <xf numFmtId="43" fontId="2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/>
    <xf numFmtId="0" fontId="7" fillId="0" borderId="0">
      <protection locked="0"/>
    </xf>
    <xf numFmtId="0" fontId="1" fillId="0" borderId="0"/>
    <xf numFmtId="0" fontId="7" fillId="0" borderId="0">
      <protection locked="0"/>
    </xf>
    <xf numFmtId="0" fontId="7" fillId="0" borderId="0">
      <protection locked="0"/>
    </xf>
    <xf numFmtId="0" fontId="7" fillId="0" borderId="0">
      <protection locked="0"/>
    </xf>
    <xf numFmtId="0" fontId="7" fillId="0" borderId="0">
      <protection locked="0"/>
    </xf>
    <xf numFmtId="0" fontId="7" fillId="0" borderId="0">
      <protection locked="0"/>
    </xf>
    <xf numFmtId="0" fontId="7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7" fillId="9" borderId="11" applyNumberFormat="0" applyFont="0" applyAlignment="0" applyProtection="0"/>
    <xf numFmtId="0" fontId="17" fillId="7" borderId="8" applyNumberFormat="0" applyAlignment="0" applyProtection="0"/>
    <xf numFmtId="0" fontId="3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3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4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33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42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21" fillId="0" borderId="0" applyNumberFormat="0" applyFill="0" applyBorder="0" applyAlignment="0" applyProtection="0"/>
    <xf numFmtId="43" fontId="2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3" fillId="0" borderId="0"/>
    <xf numFmtId="43" fontId="4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4" fillId="0" borderId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5" fillId="0" borderId="0"/>
    <xf numFmtId="43" fontId="4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6" fillId="0" borderId="0"/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" fillId="0" borderId="0">
      <protection locked="0"/>
    </xf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" fillId="0" borderId="0">
      <protection locked="0"/>
    </xf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>
      <protection locked="0"/>
    </xf>
    <xf numFmtId="0" fontId="7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>
      <protection locked="0"/>
    </xf>
    <xf numFmtId="0" fontId="49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4" fillId="0" borderId="0"/>
    <xf numFmtId="0" fontId="29" fillId="3" borderId="0" applyNumberFormat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>
      <protection locked="0"/>
    </xf>
    <xf numFmtId="0" fontId="5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>
      <protection locked="0"/>
    </xf>
    <xf numFmtId="0" fontId="57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8" fillId="0" borderId="0"/>
    <xf numFmtId="0" fontId="59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6" fillId="0" borderId="0"/>
    <xf numFmtId="0" fontId="67" fillId="0" borderId="0"/>
    <xf numFmtId="0" fontId="68" fillId="0" borderId="0"/>
    <xf numFmtId="0" fontId="69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0" fillId="0" borderId="0"/>
    <xf numFmtId="0" fontId="71" fillId="0" borderId="0"/>
    <xf numFmtId="0" fontId="72" fillId="0" borderId="0"/>
    <xf numFmtId="0" fontId="73" fillId="0" borderId="0"/>
    <xf numFmtId="0" fontId="10" fillId="0" borderId="4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74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75" fillId="5" borderId="0" applyNumberFormat="0" applyBorder="0" applyAlignment="0" applyProtection="0"/>
    <xf numFmtId="0" fontId="1" fillId="9" borderId="11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>
      <protection locked="0"/>
    </xf>
    <xf numFmtId="0" fontId="3" fillId="0" borderId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1" fillId="9" borderId="11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76" fillId="0" borderId="0"/>
    <xf numFmtId="0" fontId="77" fillId="0" borderId="0"/>
    <xf numFmtId="0" fontId="78" fillId="0" borderId="0"/>
    <xf numFmtId="0" fontId="81" fillId="0" borderId="0"/>
    <xf numFmtId="0" fontId="82" fillId="0" borderId="0"/>
    <xf numFmtId="0" fontId="84" fillId="0" borderId="0"/>
    <xf numFmtId="0" fontId="86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98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4" fillId="0" borderId="0" xfId="0" applyFont="1"/>
    <xf numFmtId="49" fontId="0" fillId="0" borderId="0" xfId="0" applyNumberForma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5" fillId="0" borderId="0" xfId="0" applyFont="1" applyAlignment="1">
      <alignment horizontal="left" wrapText="1"/>
    </xf>
    <xf numFmtId="37" fontId="5" fillId="0" borderId="0" xfId="0" applyNumberFormat="1" applyFont="1" applyAlignment="1">
      <alignment horizontal="right" wrapText="1"/>
    </xf>
    <xf numFmtId="7" fontId="5" fillId="0" borderId="0" xfId="0" applyNumberFormat="1" applyFont="1" applyAlignment="1">
      <alignment horizontal="right" wrapText="1"/>
    </xf>
    <xf numFmtId="0" fontId="8" fillId="2" borderId="1" xfId="0" applyFont="1" applyFill="1" applyBorder="1" applyAlignment="1">
      <alignment horizontal="center" wrapText="1"/>
    </xf>
    <xf numFmtId="43" fontId="1" fillId="0" borderId="0" xfId="1" applyFont="1"/>
    <xf numFmtId="7" fontId="0" fillId="0" borderId="0" xfId="0" applyNumberFormat="1"/>
    <xf numFmtId="43" fontId="1" fillId="0" borderId="0" xfId="1" applyFont="1" applyFill="1"/>
    <xf numFmtId="0" fontId="9" fillId="0" borderId="0" xfId="0" applyFont="1"/>
    <xf numFmtId="43" fontId="9" fillId="0" borderId="0" xfId="1" applyFont="1"/>
    <xf numFmtId="7" fontId="9" fillId="0" borderId="0" xfId="0" applyNumberFormat="1" applyFont="1"/>
    <xf numFmtId="0" fontId="3" fillId="0" borderId="0" xfId="0" applyFont="1"/>
    <xf numFmtId="0" fontId="50" fillId="0" borderId="0" xfId="1738"/>
    <xf numFmtId="0" fontId="0" fillId="42" borderId="2" xfId="0" applyFill="1" applyBorder="1" applyAlignment="1">
      <alignment wrapText="1"/>
    </xf>
    <xf numFmtId="0" fontId="0" fillId="42" borderId="2" xfId="0" applyFill="1" applyBorder="1" applyAlignment="1">
      <alignment horizontal="center" wrapText="1"/>
    </xf>
    <xf numFmtId="0" fontId="0" fillId="4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2" fillId="0" borderId="2" xfId="0" applyFont="1" applyBorder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44" borderId="2" xfId="0" applyFill="1" applyBorder="1" applyAlignment="1">
      <alignment wrapText="1"/>
    </xf>
    <xf numFmtId="0" fontId="0" fillId="44" borderId="2" xfId="0" applyFill="1" applyBorder="1" applyAlignment="1">
      <alignment horizontal="center" wrapText="1"/>
    </xf>
    <xf numFmtId="0" fontId="53" fillId="0" borderId="0" xfId="0" applyFont="1"/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0" fillId="0" borderId="0" xfId="0" applyAlignment="1">
      <alignment wrapText="1"/>
    </xf>
    <xf numFmtId="0" fontId="9" fillId="0" borderId="2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45" borderId="2" xfId="0" applyFill="1" applyBorder="1" applyAlignment="1">
      <alignment horizontal="left" wrapText="1"/>
    </xf>
    <xf numFmtId="0" fontId="51" fillId="41" borderId="0" xfId="0" applyFont="1" applyFill="1" applyAlignment="1">
      <alignment horizontal="center" vertical="center" wrapText="1"/>
    </xf>
    <xf numFmtId="0" fontId="65" fillId="0" borderId="0" xfId="0" applyFont="1" applyAlignment="1">
      <alignment horizontal="left" wrapText="1"/>
    </xf>
    <xf numFmtId="7" fontId="65" fillId="0" borderId="0" xfId="0" applyNumberFormat="1" applyFont="1" applyAlignment="1">
      <alignment horizontal="right" wrapText="1"/>
    </xf>
    <xf numFmtId="37" fontId="65" fillId="0" borderId="0" xfId="0" applyNumberFormat="1" applyFont="1" applyAlignment="1">
      <alignment horizontal="right" wrapText="1"/>
    </xf>
    <xf numFmtId="0" fontId="5" fillId="0" borderId="0" xfId="2" applyFont="1" applyAlignment="1">
      <alignment horizontal="left" wrapText="1"/>
    </xf>
    <xf numFmtId="0" fontId="0" fillId="0" borderId="0" xfId="0" applyAlignment="1">
      <alignment horizontal="center" wrapText="1"/>
    </xf>
    <xf numFmtId="37" fontId="5" fillId="0" borderId="0" xfId="2" applyNumberFormat="1" applyFont="1" applyAlignment="1">
      <alignment horizontal="right" wrapText="1"/>
    </xf>
    <xf numFmtId="7" fontId="5" fillId="0" borderId="0" xfId="2" applyNumberFormat="1" applyFont="1" applyAlignment="1">
      <alignment horizontal="right" wrapText="1"/>
    </xf>
    <xf numFmtId="0" fontId="0" fillId="0" borderId="2" xfId="0" applyBorder="1"/>
    <xf numFmtId="0" fontId="79" fillId="0" borderId="2" xfId="0" applyFont="1" applyBorder="1" applyAlignment="1">
      <alignment horizontal="center"/>
    </xf>
    <xf numFmtId="0" fontId="79" fillId="0" borderId="2" xfId="0" applyFont="1" applyBorder="1" applyAlignment="1">
      <alignment horizontal="center" wrapText="1"/>
    </xf>
    <xf numFmtId="0" fontId="79" fillId="0" borderId="2" xfId="0" applyFont="1" applyBorder="1" applyAlignment="1">
      <alignment wrapText="1"/>
    </xf>
    <xf numFmtId="44" fontId="79" fillId="0" borderId="2" xfId="0" applyNumberFormat="1" applyFont="1" applyBorder="1" applyAlignment="1">
      <alignment wrapText="1"/>
    </xf>
    <xf numFmtId="165" fontId="79" fillId="0" borderId="2" xfId="0" applyNumberFormat="1" applyFont="1" applyBorder="1"/>
    <xf numFmtId="0" fontId="80" fillId="0" borderId="2" xfId="0" applyFont="1" applyBorder="1" applyAlignment="1">
      <alignment vertical="center" wrapText="1"/>
    </xf>
    <xf numFmtId="14" fontId="79" fillId="0" borderId="2" xfId="0" applyNumberFormat="1" applyFont="1" applyBorder="1" applyAlignment="1">
      <alignment horizontal="center" wrapText="1"/>
    </xf>
    <xf numFmtId="0" fontId="0" fillId="0" borderId="0" xfId="0" applyAlignment="1">
      <alignment vertical="center"/>
    </xf>
    <xf numFmtId="43" fontId="0" fillId="0" borderId="0" xfId="1" applyFont="1" applyAlignment="1">
      <alignment vertical="center"/>
    </xf>
    <xf numFmtId="0" fontId="0" fillId="0" borderId="0" xfId="0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83" fillId="0" borderId="2" xfId="0" applyFont="1" applyBorder="1" applyAlignment="1">
      <alignment horizontal="center"/>
    </xf>
    <xf numFmtId="0" fontId="83" fillId="0" borderId="2" xfId="0" applyFont="1" applyBorder="1" applyAlignment="1">
      <alignment horizontal="center" wrapText="1"/>
    </xf>
    <xf numFmtId="165" fontId="83" fillId="0" borderId="2" xfId="0" applyNumberFormat="1" applyFont="1" applyBorder="1"/>
    <xf numFmtId="165" fontId="83" fillId="0" borderId="3" xfId="0" applyNumberFormat="1" applyFont="1" applyBorder="1"/>
    <xf numFmtId="0" fontId="85" fillId="0" borderId="0" xfId="3565" applyFont="1" applyAlignment="1">
      <alignment horizontal="left" wrapText="1"/>
    </xf>
    <xf numFmtId="37" fontId="85" fillId="0" borderId="0" xfId="3565" applyNumberFormat="1" applyFont="1" applyAlignment="1">
      <alignment horizontal="right" wrapText="1"/>
    </xf>
    <xf numFmtId="7" fontId="85" fillId="0" borderId="0" xfId="3565" applyNumberFormat="1" applyFont="1" applyAlignment="1">
      <alignment horizontal="right" wrapText="1"/>
    </xf>
    <xf numFmtId="14" fontId="80" fillId="46" borderId="2" xfId="0" applyNumberFormat="1" applyFont="1" applyFill="1" applyBorder="1" applyAlignment="1">
      <alignment horizontal="center" wrapText="1"/>
    </xf>
    <xf numFmtId="0" fontId="0" fillId="0" borderId="0" xfId="0" quotePrefix="1" applyAlignment="1">
      <alignment horizontal="left" vertical="center"/>
    </xf>
    <xf numFmtId="0" fontId="87" fillId="0" borderId="0" xfId="3566" applyFont="1" applyAlignment="1">
      <alignment horizontal="left" wrapText="1"/>
    </xf>
    <xf numFmtId="37" fontId="87" fillId="0" borderId="0" xfId="3566" applyNumberFormat="1" applyFont="1" applyAlignment="1">
      <alignment horizontal="right" wrapText="1"/>
    </xf>
    <xf numFmtId="7" fontId="87" fillId="0" borderId="0" xfId="3566" applyNumberFormat="1" applyFont="1" applyAlignment="1">
      <alignment horizontal="right" wrapText="1"/>
    </xf>
    <xf numFmtId="0" fontId="79" fillId="0" borderId="3" xfId="0" applyFont="1" applyBorder="1" applyAlignment="1">
      <alignment horizontal="center"/>
    </xf>
    <xf numFmtId="0" fontId="79" fillId="0" borderId="3" xfId="0" applyFont="1" applyBorder="1" applyAlignment="1">
      <alignment horizontal="center" wrapText="1"/>
    </xf>
    <xf numFmtId="14" fontId="79" fillId="0" borderId="3" xfId="0" applyNumberFormat="1" applyFont="1" applyBorder="1" applyAlignment="1">
      <alignment horizontal="center" wrapText="1"/>
    </xf>
    <xf numFmtId="0" fontId="83" fillId="0" borderId="2" xfId="0" applyFont="1" applyBorder="1" applyAlignment="1">
      <alignment wrapText="1"/>
    </xf>
    <xf numFmtId="0" fontId="88" fillId="0" borderId="2" xfId="0" applyFont="1" applyBorder="1" applyAlignment="1">
      <alignment vertical="center" wrapText="1"/>
    </xf>
    <xf numFmtId="0" fontId="5" fillId="0" borderId="0" xfId="0" applyFont="1" applyAlignment="1">
      <alignment horizontal="left" vertical="center"/>
    </xf>
    <xf numFmtId="3" fontId="5" fillId="0" borderId="0" xfId="0" applyNumberFormat="1" applyFont="1" applyAlignment="1">
      <alignment horizontal="right" vertical="center"/>
    </xf>
    <xf numFmtId="166" fontId="5" fillId="0" borderId="0" xfId="0" applyNumberFormat="1" applyFont="1" applyAlignment="1">
      <alignment horizontal="right" vertical="center"/>
    </xf>
    <xf numFmtId="0" fontId="79" fillId="0" borderId="3" xfId="0" applyFont="1" applyBorder="1" applyAlignment="1">
      <alignment wrapText="1"/>
    </xf>
    <xf numFmtId="44" fontId="79" fillId="0" borderId="0" xfId="0" applyNumberFormat="1" applyFont="1" applyAlignment="1">
      <alignment wrapText="1"/>
    </xf>
    <xf numFmtId="165" fontId="79" fillId="0" borderId="3" xfId="0" applyNumberFormat="1" applyFont="1" applyBorder="1"/>
    <xf numFmtId="14" fontId="80" fillId="46" borderId="3" xfId="0" applyNumberFormat="1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2" fillId="2" borderId="1" xfId="3567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89" fillId="44" borderId="0" xfId="0" applyFont="1" applyFill="1"/>
    <xf numFmtId="0" fontId="0" fillId="0" borderId="0" xfId="0" applyAlignment="1">
      <alignment horizontal="center" wrapText="1"/>
    </xf>
    <xf numFmtId="0" fontId="51" fillId="41" borderId="0" xfId="0" applyFont="1" applyFill="1" applyAlignment="1">
      <alignment horizontal="center" vertical="center" wrapText="1"/>
    </xf>
    <xf numFmtId="0" fontId="51" fillId="41" borderId="13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pivotButton="1" applyFont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NumberFormat="1" applyFont="1"/>
    <xf numFmtId="0" fontId="0" fillId="0" borderId="0" xfId="0" applyFont="1" applyAlignment="1">
      <alignment horizontal="left" indent="1"/>
    </xf>
  </cellXfs>
  <cellStyles count="5554">
    <cellStyle name="20% - Accent1" xfId="5" xr:uid="{00000000-0005-0000-0000-000000000000}"/>
    <cellStyle name="20% - Accent1 2" xfId="3122" xr:uid="{F6C73542-4290-4DCC-9442-4F95CDDDAFD4}"/>
    <cellStyle name="20% - Accent2" xfId="6" xr:uid="{00000000-0005-0000-0000-000001000000}"/>
    <cellStyle name="20% - Accent2 2" xfId="3123" xr:uid="{7CCD0DE4-2E7D-485E-AE4D-81849AEB9F52}"/>
    <cellStyle name="20% - Accent3" xfId="7" xr:uid="{00000000-0005-0000-0000-000002000000}"/>
    <cellStyle name="20% - Accent3 2" xfId="3124" xr:uid="{B5596A3A-7643-4650-BC73-782F26E9E32A}"/>
    <cellStyle name="20% - Accent4" xfId="8" xr:uid="{00000000-0005-0000-0000-000003000000}"/>
    <cellStyle name="20% - Accent4 2" xfId="3125" xr:uid="{F4F81C8F-E9E8-4D2F-B56B-124CD8A022C8}"/>
    <cellStyle name="20% - Accent5" xfId="9" xr:uid="{00000000-0005-0000-0000-000004000000}"/>
    <cellStyle name="20% - Accent5 2" xfId="3126" xr:uid="{4B482C50-D9CD-4144-A012-1B2E442F53CC}"/>
    <cellStyle name="20% - Accent6" xfId="10" xr:uid="{00000000-0005-0000-0000-000005000000}"/>
    <cellStyle name="20% - Accent6 2" xfId="3127" xr:uid="{5360FC54-9120-41BB-BA24-2C93DFAC055D}"/>
    <cellStyle name="20% - Énfasis1 10" xfId="12" xr:uid="{00000000-0005-0000-0000-000006000000}"/>
    <cellStyle name="20% - Énfasis1 10 2" xfId="13" xr:uid="{00000000-0005-0000-0000-000007000000}"/>
    <cellStyle name="20% - Énfasis1 10 2 2" xfId="3129" xr:uid="{8F6645A6-A153-4DC7-B046-D07BCC481798}"/>
    <cellStyle name="20% - Énfasis1 10 3" xfId="3128" xr:uid="{B2F92312-CF3F-4AAD-B63E-48F62D05D347}"/>
    <cellStyle name="20% - Énfasis1 11" xfId="14" xr:uid="{00000000-0005-0000-0000-000008000000}"/>
    <cellStyle name="20% - Énfasis1 11 2" xfId="15" xr:uid="{00000000-0005-0000-0000-000009000000}"/>
    <cellStyle name="20% - Énfasis1 11 2 2" xfId="3131" xr:uid="{47ADE2C9-41CB-4849-B6A4-939318D9E373}"/>
    <cellStyle name="20% - Énfasis1 11 3" xfId="3130" xr:uid="{7DA96D5C-40C4-436E-8C60-6A8851B0F526}"/>
    <cellStyle name="20% - Énfasis1 12" xfId="16" xr:uid="{00000000-0005-0000-0000-00000A000000}"/>
    <cellStyle name="20% - Énfasis1 12 2" xfId="17" xr:uid="{00000000-0005-0000-0000-00000B000000}"/>
    <cellStyle name="20% - Énfasis1 12 2 2" xfId="3133" xr:uid="{DC80FD96-7381-4380-971A-49B8E7250676}"/>
    <cellStyle name="20% - Énfasis1 12 3" xfId="3132" xr:uid="{917BC63B-FF42-478B-8B6F-CB15893AF1A5}"/>
    <cellStyle name="20% - Énfasis1 13" xfId="18" xr:uid="{00000000-0005-0000-0000-00000C000000}"/>
    <cellStyle name="20% - Énfasis1 13 2" xfId="19" xr:uid="{00000000-0005-0000-0000-00000D000000}"/>
    <cellStyle name="20% - Énfasis1 13 2 2" xfId="3135" xr:uid="{A9571757-1D8E-49EE-88F6-0511B018678E}"/>
    <cellStyle name="20% - Énfasis1 13 3" xfId="3134" xr:uid="{C4A51286-8D92-4114-BA6A-26923DB38EF9}"/>
    <cellStyle name="20% - Énfasis1 14" xfId="20" xr:uid="{00000000-0005-0000-0000-00000E000000}"/>
    <cellStyle name="20% - Énfasis1 14 2" xfId="21" xr:uid="{00000000-0005-0000-0000-00000F000000}"/>
    <cellStyle name="20% - Énfasis1 14 2 2" xfId="3137" xr:uid="{AC02592B-4CB0-4AC9-B4A3-39F106BD46B5}"/>
    <cellStyle name="20% - Énfasis1 14 3" xfId="3136" xr:uid="{19A7FE8F-49E9-428D-A299-1AE018F4DAB9}"/>
    <cellStyle name="20% - Énfasis1 15" xfId="11" xr:uid="{00000000-0005-0000-0000-000010000000}"/>
    <cellStyle name="20% - Énfasis1 16" xfId="3104" xr:uid="{61DFDF29-C08D-4692-AF22-D90B1F2FF36E}"/>
    <cellStyle name="20% - Énfasis1 16 2" xfId="3542" xr:uid="{F404E2EE-F1D8-4497-86BA-B849E63A18E9}"/>
    <cellStyle name="20% - Énfasis1 2" xfId="22" xr:uid="{00000000-0005-0000-0000-000011000000}"/>
    <cellStyle name="20% - Énfasis1 2 2" xfId="23" xr:uid="{00000000-0005-0000-0000-000012000000}"/>
    <cellStyle name="20% - Énfasis1 2 2 2" xfId="3139" xr:uid="{F1646A9A-24DF-43A6-87F5-17A31EEC8CF5}"/>
    <cellStyle name="20% - Énfasis1 2 3" xfId="3138" xr:uid="{A18FCA8D-C507-4435-BE42-9856DE81DC9C}"/>
    <cellStyle name="20% - Énfasis1 3" xfId="24" xr:uid="{00000000-0005-0000-0000-000013000000}"/>
    <cellStyle name="20% - Énfasis1 3 2" xfId="25" xr:uid="{00000000-0005-0000-0000-000014000000}"/>
    <cellStyle name="20% - Énfasis1 3 2 2" xfId="3141" xr:uid="{D9B62E6B-7A2D-4C13-9C28-9D71424B8648}"/>
    <cellStyle name="20% - Énfasis1 3 3" xfId="3140" xr:uid="{003253AD-8FE5-43DC-88C9-279AEDC57213}"/>
    <cellStyle name="20% - Énfasis1 4" xfId="26" xr:uid="{00000000-0005-0000-0000-000015000000}"/>
    <cellStyle name="20% - Énfasis1 4 2" xfId="27" xr:uid="{00000000-0005-0000-0000-000016000000}"/>
    <cellStyle name="20% - Énfasis1 4 2 2" xfId="3143" xr:uid="{844955CE-F894-471B-A59D-53B8B8A9A898}"/>
    <cellStyle name="20% - Énfasis1 4 3" xfId="3142" xr:uid="{A301E22B-9DCD-4D9E-9295-6EE6292632A8}"/>
    <cellStyle name="20% - Énfasis1 5" xfId="28" xr:uid="{00000000-0005-0000-0000-000017000000}"/>
    <cellStyle name="20% - Énfasis1 5 2" xfId="29" xr:uid="{00000000-0005-0000-0000-000018000000}"/>
    <cellStyle name="20% - Énfasis1 5 2 2" xfId="3145" xr:uid="{87ED9246-60F5-49D0-AEAB-1CDF2422082C}"/>
    <cellStyle name="20% - Énfasis1 5 3" xfId="3144" xr:uid="{F64887CE-0B80-4BE5-87B9-17F8EABE109A}"/>
    <cellStyle name="20% - Énfasis1 6" xfId="30" xr:uid="{00000000-0005-0000-0000-000019000000}"/>
    <cellStyle name="20% - Énfasis1 6 2" xfId="31" xr:uid="{00000000-0005-0000-0000-00001A000000}"/>
    <cellStyle name="20% - Énfasis1 6 2 2" xfId="3147" xr:uid="{87AF9251-0B46-49F2-B635-067DF410F6D8}"/>
    <cellStyle name="20% - Énfasis1 6 3" xfId="3146" xr:uid="{0D3DB278-694C-44D9-94F2-3B802607BCF4}"/>
    <cellStyle name="20% - Énfasis1 7" xfId="32" xr:uid="{00000000-0005-0000-0000-00001B000000}"/>
    <cellStyle name="20% - Énfasis1 7 2" xfId="33" xr:uid="{00000000-0005-0000-0000-00001C000000}"/>
    <cellStyle name="20% - Énfasis1 7 2 2" xfId="3149" xr:uid="{90B8C504-5458-411D-BD03-7D98F207B73F}"/>
    <cellStyle name="20% - Énfasis1 7 3" xfId="3148" xr:uid="{1AD5ACAB-54CB-4FEB-8B2F-7D0B955A9895}"/>
    <cellStyle name="20% - Énfasis1 8" xfId="34" xr:uid="{00000000-0005-0000-0000-00001D000000}"/>
    <cellStyle name="20% - Énfasis1 8 2" xfId="35" xr:uid="{00000000-0005-0000-0000-00001E000000}"/>
    <cellStyle name="20% - Énfasis1 8 2 2" xfId="3151" xr:uid="{60397889-DCFA-4C0D-8335-7C0788F2EBD8}"/>
    <cellStyle name="20% - Énfasis1 8 3" xfId="3150" xr:uid="{37007E58-B0C9-43FD-9E43-8CF97F9DF6BA}"/>
    <cellStyle name="20% - Énfasis1 9" xfId="36" xr:uid="{00000000-0005-0000-0000-00001F000000}"/>
    <cellStyle name="20% - Énfasis1 9 2" xfId="37" xr:uid="{00000000-0005-0000-0000-000020000000}"/>
    <cellStyle name="20% - Énfasis1 9 2 2" xfId="3153" xr:uid="{68629474-9A73-44FC-82AC-C82242876108}"/>
    <cellStyle name="20% - Énfasis1 9 3" xfId="3152" xr:uid="{89443071-6F04-411B-901F-4C0930F4B836}"/>
    <cellStyle name="20% - Énfasis2 10" xfId="39" xr:uid="{00000000-0005-0000-0000-000021000000}"/>
    <cellStyle name="20% - Énfasis2 10 2" xfId="40" xr:uid="{00000000-0005-0000-0000-000022000000}"/>
    <cellStyle name="20% - Énfasis2 10 2 2" xfId="3155" xr:uid="{10CFA615-3A12-4C20-9445-F1D8EF0F8C1A}"/>
    <cellStyle name="20% - Énfasis2 10 3" xfId="3154" xr:uid="{47904C94-2453-4FB5-8798-E81AE77A4F91}"/>
    <cellStyle name="20% - Énfasis2 11" xfId="41" xr:uid="{00000000-0005-0000-0000-000023000000}"/>
    <cellStyle name="20% - Énfasis2 11 2" xfId="42" xr:uid="{00000000-0005-0000-0000-000024000000}"/>
    <cellStyle name="20% - Énfasis2 11 2 2" xfId="3157" xr:uid="{00852D0B-02A0-40B9-A2DD-40DFE3E4D085}"/>
    <cellStyle name="20% - Énfasis2 11 3" xfId="3156" xr:uid="{FA53CCAA-6A04-4028-A444-3AB7D1C250A0}"/>
    <cellStyle name="20% - Énfasis2 12" xfId="43" xr:uid="{00000000-0005-0000-0000-000025000000}"/>
    <cellStyle name="20% - Énfasis2 12 2" xfId="44" xr:uid="{00000000-0005-0000-0000-000026000000}"/>
    <cellStyle name="20% - Énfasis2 12 2 2" xfId="3159" xr:uid="{58443043-A5F2-4960-AA75-080964CCC438}"/>
    <cellStyle name="20% - Énfasis2 12 3" xfId="3158" xr:uid="{5158EF33-5C86-43E6-95FD-B7534A651744}"/>
    <cellStyle name="20% - Énfasis2 13" xfId="45" xr:uid="{00000000-0005-0000-0000-000027000000}"/>
    <cellStyle name="20% - Énfasis2 13 2" xfId="46" xr:uid="{00000000-0005-0000-0000-000028000000}"/>
    <cellStyle name="20% - Énfasis2 13 2 2" xfId="3161" xr:uid="{75B1076D-29DB-4AA7-A19E-C5E3425DDFF0}"/>
    <cellStyle name="20% - Énfasis2 13 3" xfId="3160" xr:uid="{45BF099B-459C-4F75-A6C0-9EDB904B1B27}"/>
    <cellStyle name="20% - Énfasis2 14" xfId="47" xr:uid="{00000000-0005-0000-0000-000029000000}"/>
    <cellStyle name="20% - Énfasis2 14 2" xfId="48" xr:uid="{00000000-0005-0000-0000-00002A000000}"/>
    <cellStyle name="20% - Énfasis2 14 2 2" xfId="3163" xr:uid="{A2BC5C2E-711B-4323-A1DA-1B6EE7B4B03B}"/>
    <cellStyle name="20% - Énfasis2 14 3" xfId="3162" xr:uid="{35EA446A-21BA-42A7-A1A0-DBDCD526A3E8}"/>
    <cellStyle name="20% - Énfasis2 15" xfId="38" xr:uid="{00000000-0005-0000-0000-00002B000000}"/>
    <cellStyle name="20% - Énfasis2 16" xfId="3107" xr:uid="{A6B5DE61-05CB-45D0-85F7-5E5887849703}"/>
    <cellStyle name="20% - Énfasis2 16 2" xfId="3545" xr:uid="{CAF3C47C-233F-4AF0-8A97-58937136CC31}"/>
    <cellStyle name="20% - Énfasis2 2" xfId="49" xr:uid="{00000000-0005-0000-0000-00002C000000}"/>
    <cellStyle name="20% - Énfasis2 2 2" xfId="50" xr:uid="{00000000-0005-0000-0000-00002D000000}"/>
    <cellStyle name="20% - Énfasis2 2 2 2" xfId="3165" xr:uid="{31921430-19A1-448D-B6CF-8D10D807CE6E}"/>
    <cellStyle name="20% - Énfasis2 2 3" xfId="3164" xr:uid="{307A0FF2-BEE4-4686-ABB6-65A7F6715817}"/>
    <cellStyle name="20% - Énfasis2 3" xfId="51" xr:uid="{00000000-0005-0000-0000-00002E000000}"/>
    <cellStyle name="20% - Énfasis2 3 2" xfId="52" xr:uid="{00000000-0005-0000-0000-00002F000000}"/>
    <cellStyle name="20% - Énfasis2 3 2 2" xfId="3167" xr:uid="{A1C89517-39B2-4FEE-9B75-F2C983EFC113}"/>
    <cellStyle name="20% - Énfasis2 3 3" xfId="3166" xr:uid="{864326B4-076F-41D7-ADAC-E24D832A3BBA}"/>
    <cellStyle name="20% - Énfasis2 4" xfId="53" xr:uid="{00000000-0005-0000-0000-000030000000}"/>
    <cellStyle name="20% - Énfasis2 4 2" xfId="54" xr:uid="{00000000-0005-0000-0000-000031000000}"/>
    <cellStyle name="20% - Énfasis2 4 2 2" xfId="3169" xr:uid="{B75E6459-2D1E-4629-A524-DB1416FE7E8F}"/>
    <cellStyle name="20% - Énfasis2 4 3" xfId="3168" xr:uid="{4D6A7685-F274-4360-BD7F-0F3FBB6F739D}"/>
    <cellStyle name="20% - Énfasis2 5" xfId="55" xr:uid="{00000000-0005-0000-0000-000032000000}"/>
    <cellStyle name="20% - Énfasis2 5 2" xfId="56" xr:uid="{00000000-0005-0000-0000-000033000000}"/>
    <cellStyle name="20% - Énfasis2 5 2 2" xfId="3171" xr:uid="{314B326C-0CBC-4993-8D32-043E5B1A9C82}"/>
    <cellStyle name="20% - Énfasis2 5 3" xfId="3170" xr:uid="{33A9DFDB-EB21-4B90-902B-EA3EE4B464BA}"/>
    <cellStyle name="20% - Énfasis2 6" xfId="57" xr:uid="{00000000-0005-0000-0000-000034000000}"/>
    <cellStyle name="20% - Énfasis2 6 2" xfId="58" xr:uid="{00000000-0005-0000-0000-000035000000}"/>
    <cellStyle name="20% - Énfasis2 6 2 2" xfId="3173" xr:uid="{7A2B47E3-F73E-4427-9928-56E5099A0260}"/>
    <cellStyle name="20% - Énfasis2 6 3" xfId="3172" xr:uid="{E040953E-12A6-4156-9C75-39EF4349B4AC}"/>
    <cellStyle name="20% - Énfasis2 7" xfId="59" xr:uid="{00000000-0005-0000-0000-000036000000}"/>
    <cellStyle name="20% - Énfasis2 7 2" xfId="60" xr:uid="{00000000-0005-0000-0000-000037000000}"/>
    <cellStyle name="20% - Énfasis2 7 2 2" xfId="3175" xr:uid="{3554716B-6D61-4950-8D8D-72A9917107DA}"/>
    <cellStyle name="20% - Énfasis2 7 3" xfId="3174" xr:uid="{F3EB8074-82F9-4C08-B8CF-01FDEAB32030}"/>
    <cellStyle name="20% - Énfasis2 8" xfId="61" xr:uid="{00000000-0005-0000-0000-000038000000}"/>
    <cellStyle name="20% - Énfasis2 8 2" xfId="62" xr:uid="{00000000-0005-0000-0000-000039000000}"/>
    <cellStyle name="20% - Énfasis2 8 2 2" xfId="3177" xr:uid="{1F550CE6-E71C-4BFA-A9BA-DA005B1ECAB7}"/>
    <cellStyle name="20% - Énfasis2 8 3" xfId="3176" xr:uid="{58BA7F02-79A9-4420-974C-E8D34020A19E}"/>
    <cellStyle name="20% - Énfasis2 9" xfId="63" xr:uid="{00000000-0005-0000-0000-00003A000000}"/>
    <cellStyle name="20% - Énfasis2 9 2" xfId="64" xr:uid="{00000000-0005-0000-0000-00003B000000}"/>
    <cellStyle name="20% - Énfasis2 9 2 2" xfId="3179" xr:uid="{9CECD722-B001-45FF-8E99-8A761FF1DE0F}"/>
    <cellStyle name="20% - Énfasis2 9 3" xfId="3178" xr:uid="{F4700724-B16C-40A0-9832-BEB3A0938E44}"/>
    <cellStyle name="20% - Énfasis3 10" xfId="66" xr:uid="{00000000-0005-0000-0000-00003C000000}"/>
    <cellStyle name="20% - Énfasis3 10 2" xfId="67" xr:uid="{00000000-0005-0000-0000-00003D000000}"/>
    <cellStyle name="20% - Énfasis3 10 2 2" xfId="3181" xr:uid="{59C1710D-8307-49AF-8F70-E8DEDD4EFD10}"/>
    <cellStyle name="20% - Énfasis3 10 3" xfId="3180" xr:uid="{27075650-2F81-48E3-B094-250CA89DC1B2}"/>
    <cellStyle name="20% - Énfasis3 11" xfId="68" xr:uid="{00000000-0005-0000-0000-00003E000000}"/>
    <cellStyle name="20% - Énfasis3 11 2" xfId="69" xr:uid="{00000000-0005-0000-0000-00003F000000}"/>
    <cellStyle name="20% - Énfasis3 11 2 2" xfId="3183" xr:uid="{E4F05264-7F0E-4647-976F-5A8E46EB1225}"/>
    <cellStyle name="20% - Énfasis3 11 3" xfId="3182" xr:uid="{A9EFB014-9E52-4317-8DCE-4D5179536806}"/>
    <cellStyle name="20% - Énfasis3 12" xfId="70" xr:uid="{00000000-0005-0000-0000-000040000000}"/>
    <cellStyle name="20% - Énfasis3 12 2" xfId="71" xr:uid="{00000000-0005-0000-0000-000041000000}"/>
    <cellStyle name="20% - Énfasis3 12 2 2" xfId="3185" xr:uid="{E95EB21C-3626-4986-9CAE-079699688416}"/>
    <cellStyle name="20% - Énfasis3 12 3" xfId="3184" xr:uid="{89B093BF-F091-4BEF-85D5-869A125DF05D}"/>
    <cellStyle name="20% - Énfasis3 13" xfId="72" xr:uid="{00000000-0005-0000-0000-000042000000}"/>
    <cellStyle name="20% - Énfasis3 13 2" xfId="73" xr:uid="{00000000-0005-0000-0000-000043000000}"/>
    <cellStyle name="20% - Énfasis3 13 2 2" xfId="3187" xr:uid="{00AD48C4-7840-42B9-A181-264848F39C21}"/>
    <cellStyle name="20% - Énfasis3 13 3" xfId="3186" xr:uid="{80E6AC1D-94BE-4E21-81CE-294E91C42368}"/>
    <cellStyle name="20% - Énfasis3 14" xfId="74" xr:uid="{00000000-0005-0000-0000-000044000000}"/>
    <cellStyle name="20% - Énfasis3 14 2" xfId="75" xr:uid="{00000000-0005-0000-0000-000045000000}"/>
    <cellStyle name="20% - Énfasis3 14 2 2" xfId="3189" xr:uid="{2F4D81F6-E1C7-4293-8695-E4F942E37619}"/>
    <cellStyle name="20% - Énfasis3 14 3" xfId="3188" xr:uid="{307A9969-A634-441A-8BF4-67A37492CBBE}"/>
    <cellStyle name="20% - Énfasis3 15" xfId="65" xr:uid="{00000000-0005-0000-0000-000046000000}"/>
    <cellStyle name="20% - Énfasis3 16" xfId="3110" xr:uid="{3C6259C0-A7DD-4AB7-AB41-528CE4B2BDC3}"/>
    <cellStyle name="20% - Énfasis3 16 2" xfId="3548" xr:uid="{721136AA-A26C-4085-9868-1971EAB53509}"/>
    <cellStyle name="20% - Énfasis3 2" xfId="76" xr:uid="{00000000-0005-0000-0000-000047000000}"/>
    <cellStyle name="20% - Énfasis3 2 2" xfId="77" xr:uid="{00000000-0005-0000-0000-000048000000}"/>
    <cellStyle name="20% - Énfasis3 2 2 2" xfId="3191" xr:uid="{23FB28F4-8670-41A4-AF06-21512F19E151}"/>
    <cellStyle name="20% - Énfasis3 2 3" xfId="3190" xr:uid="{03CC3702-EBBD-4234-BCB7-E4A43B40422A}"/>
    <cellStyle name="20% - Énfasis3 3" xfId="78" xr:uid="{00000000-0005-0000-0000-000049000000}"/>
    <cellStyle name="20% - Énfasis3 3 2" xfId="79" xr:uid="{00000000-0005-0000-0000-00004A000000}"/>
    <cellStyle name="20% - Énfasis3 3 2 2" xfId="3193" xr:uid="{9FF107CA-B821-45D9-B1D3-E92637F17F3B}"/>
    <cellStyle name="20% - Énfasis3 3 3" xfId="3192" xr:uid="{89ACAA25-C0E4-4935-BC26-A0D54F70CEF3}"/>
    <cellStyle name="20% - Énfasis3 4" xfId="80" xr:uid="{00000000-0005-0000-0000-00004B000000}"/>
    <cellStyle name="20% - Énfasis3 4 2" xfId="81" xr:uid="{00000000-0005-0000-0000-00004C000000}"/>
    <cellStyle name="20% - Énfasis3 4 2 2" xfId="3195" xr:uid="{E7AB2B64-EE3D-458A-9A87-08E240A71DEA}"/>
    <cellStyle name="20% - Énfasis3 4 3" xfId="3194" xr:uid="{68C45C6C-A47B-4901-9FA6-23057BE493C1}"/>
    <cellStyle name="20% - Énfasis3 5" xfId="82" xr:uid="{00000000-0005-0000-0000-00004D000000}"/>
    <cellStyle name="20% - Énfasis3 5 2" xfId="83" xr:uid="{00000000-0005-0000-0000-00004E000000}"/>
    <cellStyle name="20% - Énfasis3 5 2 2" xfId="3197" xr:uid="{00D80F47-60D3-43EC-B864-D384D3C9B045}"/>
    <cellStyle name="20% - Énfasis3 5 3" xfId="3196" xr:uid="{ECC9B3E0-3E11-4179-8FA5-1CD6EEC1E675}"/>
    <cellStyle name="20% - Énfasis3 6" xfId="84" xr:uid="{00000000-0005-0000-0000-00004F000000}"/>
    <cellStyle name="20% - Énfasis3 6 2" xfId="85" xr:uid="{00000000-0005-0000-0000-000050000000}"/>
    <cellStyle name="20% - Énfasis3 6 2 2" xfId="3199" xr:uid="{C173DBE9-6F1E-42AF-AB19-490EC1EAEAA8}"/>
    <cellStyle name="20% - Énfasis3 6 3" xfId="3198" xr:uid="{6C7D4B2D-4A1D-4E92-AA61-F6B24172A4BB}"/>
    <cellStyle name="20% - Énfasis3 7" xfId="86" xr:uid="{00000000-0005-0000-0000-000051000000}"/>
    <cellStyle name="20% - Énfasis3 7 2" xfId="87" xr:uid="{00000000-0005-0000-0000-000052000000}"/>
    <cellStyle name="20% - Énfasis3 7 2 2" xfId="3201" xr:uid="{8E40986D-78D6-44C5-9B1E-71A137C6C855}"/>
    <cellStyle name="20% - Énfasis3 7 3" xfId="3200" xr:uid="{024EAC48-E340-4F03-982C-D6F3CCD5DD09}"/>
    <cellStyle name="20% - Énfasis3 8" xfId="88" xr:uid="{00000000-0005-0000-0000-000053000000}"/>
    <cellStyle name="20% - Énfasis3 8 2" xfId="89" xr:uid="{00000000-0005-0000-0000-000054000000}"/>
    <cellStyle name="20% - Énfasis3 8 2 2" xfId="3203" xr:uid="{78D6B982-ED60-4434-B479-FD1FB519CD54}"/>
    <cellStyle name="20% - Énfasis3 8 3" xfId="3202" xr:uid="{AB68385E-9B6F-4DBA-8F8B-FAE750683C7A}"/>
    <cellStyle name="20% - Énfasis3 9" xfId="90" xr:uid="{00000000-0005-0000-0000-000055000000}"/>
    <cellStyle name="20% - Énfasis3 9 2" xfId="91" xr:uid="{00000000-0005-0000-0000-000056000000}"/>
    <cellStyle name="20% - Énfasis3 9 2 2" xfId="3205" xr:uid="{F26D5FE1-738A-4AAE-B676-ADE5A793BF2D}"/>
    <cellStyle name="20% - Énfasis3 9 3" xfId="3204" xr:uid="{41FA2AA6-3432-4AB0-9409-85DEA3493330}"/>
    <cellStyle name="20% - Énfasis4 10" xfId="93" xr:uid="{00000000-0005-0000-0000-000057000000}"/>
    <cellStyle name="20% - Énfasis4 10 2" xfId="94" xr:uid="{00000000-0005-0000-0000-000058000000}"/>
    <cellStyle name="20% - Énfasis4 10 2 2" xfId="3207" xr:uid="{84CA1BD1-CEFC-40B9-853A-73663D4A9418}"/>
    <cellStyle name="20% - Énfasis4 10 3" xfId="3206" xr:uid="{C6A49DCF-D370-4658-9D43-E325BDE58BE0}"/>
    <cellStyle name="20% - Énfasis4 11" xfId="95" xr:uid="{00000000-0005-0000-0000-000059000000}"/>
    <cellStyle name="20% - Énfasis4 11 2" xfId="96" xr:uid="{00000000-0005-0000-0000-00005A000000}"/>
    <cellStyle name="20% - Énfasis4 11 2 2" xfId="3209" xr:uid="{C851FA4E-8523-4621-9BE7-76928BC280E4}"/>
    <cellStyle name="20% - Énfasis4 11 3" xfId="3208" xr:uid="{6DA98D0B-51DF-42D3-84DD-0585381D5C7C}"/>
    <cellStyle name="20% - Énfasis4 12" xfId="97" xr:uid="{00000000-0005-0000-0000-00005B000000}"/>
    <cellStyle name="20% - Énfasis4 12 2" xfId="98" xr:uid="{00000000-0005-0000-0000-00005C000000}"/>
    <cellStyle name="20% - Énfasis4 12 2 2" xfId="3211" xr:uid="{392A2B42-498B-439E-B307-4E4AF7DEA39C}"/>
    <cellStyle name="20% - Énfasis4 12 3" xfId="3210" xr:uid="{FD09EB39-6EF6-4354-A940-2E1ACBD0796A}"/>
    <cellStyle name="20% - Énfasis4 13" xfId="99" xr:uid="{00000000-0005-0000-0000-00005D000000}"/>
    <cellStyle name="20% - Énfasis4 13 2" xfId="100" xr:uid="{00000000-0005-0000-0000-00005E000000}"/>
    <cellStyle name="20% - Énfasis4 13 2 2" xfId="3213" xr:uid="{66B6FEFC-9188-4891-8C35-44F0E3303B9D}"/>
    <cellStyle name="20% - Énfasis4 13 3" xfId="3212" xr:uid="{D0A7FFDE-957D-45F9-9C36-A5C59E958E52}"/>
    <cellStyle name="20% - Énfasis4 14" xfId="101" xr:uid="{00000000-0005-0000-0000-00005F000000}"/>
    <cellStyle name="20% - Énfasis4 14 2" xfId="102" xr:uid="{00000000-0005-0000-0000-000060000000}"/>
    <cellStyle name="20% - Énfasis4 14 2 2" xfId="3215" xr:uid="{46BE0C04-D116-4A4C-B86B-1E7C8AAD4B31}"/>
    <cellStyle name="20% - Énfasis4 14 3" xfId="3214" xr:uid="{00764606-ADFC-4C9E-B777-D4B0109FE406}"/>
    <cellStyle name="20% - Énfasis4 15" xfId="92" xr:uid="{00000000-0005-0000-0000-000061000000}"/>
    <cellStyle name="20% - Énfasis4 16" xfId="3113" xr:uid="{A41B8C20-9491-43FA-881E-7A31B0701B5B}"/>
    <cellStyle name="20% - Énfasis4 16 2" xfId="3551" xr:uid="{5A88AB31-BC33-4AEC-A654-3B462DD52E34}"/>
    <cellStyle name="20% - Énfasis4 2" xfId="103" xr:uid="{00000000-0005-0000-0000-000062000000}"/>
    <cellStyle name="20% - Énfasis4 2 2" xfId="104" xr:uid="{00000000-0005-0000-0000-000063000000}"/>
    <cellStyle name="20% - Énfasis4 2 2 2" xfId="3217" xr:uid="{C332F909-AF9D-46EF-AE9F-6F59357E3719}"/>
    <cellStyle name="20% - Énfasis4 2 3" xfId="3216" xr:uid="{1B79C1D6-5E6B-444E-BBD2-7AF4FBED48BF}"/>
    <cellStyle name="20% - Énfasis4 3" xfId="105" xr:uid="{00000000-0005-0000-0000-000064000000}"/>
    <cellStyle name="20% - Énfasis4 3 2" xfId="106" xr:uid="{00000000-0005-0000-0000-000065000000}"/>
    <cellStyle name="20% - Énfasis4 3 2 2" xfId="3219" xr:uid="{0E6B7867-4F9C-4E5C-9C1B-67EA519CBE45}"/>
    <cellStyle name="20% - Énfasis4 3 3" xfId="3218" xr:uid="{4FCD4224-E6FB-42CD-8B85-9251EBCEDFFD}"/>
    <cellStyle name="20% - Énfasis4 4" xfId="107" xr:uid="{00000000-0005-0000-0000-000066000000}"/>
    <cellStyle name="20% - Énfasis4 4 2" xfId="108" xr:uid="{00000000-0005-0000-0000-000067000000}"/>
    <cellStyle name="20% - Énfasis4 4 2 2" xfId="3221" xr:uid="{C764511C-32E8-4294-9E58-BE552AF82681}"/>
    <cellStyle name="20% - Énfasis4 4 3" xfId="3220" xr:uid="{B4B43EAB-4FDA-4D5A-938A-44E3C57B4C9B}"/>
    <cellStyle name="20% - Énfasis4 5" xfId="109" xr:uid="{00000000-0005-0000-0000-000068000000}"/>
    <cellStyle name="20% - Énfasis4 5 2" xfId="110" xr:uid="{00000000-0005-0000-0000-000069000000}"/>
    <cellStyle name="20% - Énfasis4 5 2 2" xfId="3223" xr:uid="{8A130845-DAB1-4054-84E6-15CF71F901B6}"/>
    <cellStyle name="20% - Énfasis4 5 3" xfId="3222" xr:uid="{EB988788-FCEF-4505-82C6-CCB19241B0DB}"/>
    <cellStyle name="20% - Énfasis4 6" xfId="111" xr:uid="{00000000-0005-0000-0000-00006A000000}"/>
    <cellStyle name="20% - Énfasis4 6 2" xfId="112" xr:uid="{00000000-0005-0000-0000-00006B000000}"/>
    <cellStyle name="20% - Énfasis4 6 2 2" xfId="3225" xr:uid="{A58C29B4-6531-4E96-BAA1-D134007233B9}"/>
    <cellStyle name="20% - Énfasis4 6 3" xfId="3224" xr:uid="{62BA0DB7-EBA0-48F8-89E4-C3049EF4C727}"/>
    <cellStyle name="20% - Énfasis4 7" xfId="113" xr:uid="{00000000-0005-0000-0000-00006C000000}"/>
    <cellStyle name="20% - Énfasis4 7 2" xfId="114" xr:uid="{00000000-0005-0000-0000-00006D000000}"/>
    <cellStyle name="20% - Énfasis4 7 2 2" xfId="3227" xr:uid="{355C3AFA-C33D-49AF-ABB0-81D0FDA5387D}"/>
    <cellStyle name="20% - Énfasis4 7 3" xfId="3226" xr:uid="{71834889-A0C1-462D-91D1-7A9AC145104A}"/>
    <cellStyle name="20% - Énfasis4 8" xfId="115" xr:uid="{00000000-0005-0000-0000-00006E000000}"/>
    <cellStyle name="20% - Énfasis4 8 2" xfId="116" xr:uid="{00000000-0005-0000-0000-00006F000000}"/>
    <cellStyle name="20% - Énfasis4 8 2 2" xfId="3229" xr:uid="{170F2EAB-B265-48E5-AD52-6E5766F2231D}"/>
    <cellStyle name="20% - Énfasis4 8 3" xfId="3228" xr:uid="{7DFFB8AC-4144-4928-BA9A-0BAA768A3C67}"/>
    <cellStyle name="20% - Énfasis4 9" xfId="117" xr:uid="{00000000-0005-0000-0000-000070000000}"/>
    <cellStyle name="20% - Énfasis4 9 2" xfId="118" xr:uid="{00000000-0005-0000-0000-000071000000}"/>
    <cellStyle name="20% - Énfasis4 9 2 2" xfId="3231" xr:uid="{52B3DCF4-7420-40CE-BFC0-AAEA4FAA5F7F}"/>
    <cellStyle name="20% - Énfasis4 9 3" xfId="3230" xr:uid="{F5918B1E-2F7A-4D42-9D26-117EC16A1B5A}"/>
    <cellStyle name="20% - Énfasis5 10" xfId="120" xr:uid="{00000000-0005-0000-0000-000072000000}"/>
    <cellStyle name="20% - Énfasis5 10 2" xfId="121" xr:uid="{00000000-0005-0000-0000-000073000000}"/>
    <cellStyle name="20% - Énfasis5 10 2 2" xfId="3233" xr:uid="{CC8351F3-8DF3-4F90-BEA4-251EE66DE60E}"/>
    <cellStyle name="20% - Énfasis5 10 3" xfId="3232" xr:uid="{45C3CF08-27E8-4D74-836E-EA9A290B3CBA}"/>
    <cellStyle name="20% - Énfasis5 11" xfId="122" xr:uid="{00000000-0005-0000-0000-000074000000}"/>
    <cellStyle name="20% - Énfasis5 11 2" xfId="123" xr:uid="{00000000-0005-0000-0000-000075000000}"/>
    <cellStyle name="20% - Énfasis5 11 2 2" xfId="3235" xr:uid="{9F53E611-40A3-4E37-8976-7C989B313363}"/>
    <cellStyle name="20% - Énfasis5 11 3" xfId="3234" xr:uid="{27EC76DA-4C7C-476C-809E-541053316560}"/>
    <cellStyle name="20% - Énfasis5 12" xfId="124" xr:uid="{00000000-0005-0000-0000-000076000000}"/>
    <cellStyle name="20% - Énfasis5 12 2" xfId="125" xr:uid="{00000000-0005-0000-0000-000077000000}"/>
    <cellStyle name="20% - Énfasis5 12 2 2" xfId="3237" xr:uid="{1D61A059-2141-4280-9930-9074166BCE93}"/>
    <cellStyle name="20% - Énfasis5 12 3" xfId="3236" xr:uid="{3F37DF19-AF4C-46FF-9BBC-09C4ECC3A86F}"/>
    <cellStyle name="20% - Énfasis5 13" xfId="126" xr:uid="{00000000-0005-0000-0000-000078000000}"/>
    <cellStyle name="20% - Énfasis5 13 2" xfId="127" xr:uid="{00000000-0005-0000-0000-000079000000}"/>
    <cellStyle name="20% - Énfasis5 13 2 2" xfId="3239" xr:uid="{38188F39-9398-4C97-9330-CA56587A5C60}"/>
    <cellStyle name="20% - Énfasis5 13 3" xfId="3238" xr:uid="{879CBCAC-5BD9-4585-AEAA-E38EBA53E927}"/>
    <cellStyle name="20% - Énfasis5 14" xfId="128" xr:uid="{00000000-0005-0000-0000-00007A000000}"/>
    <cellStyle name="20% - Énfasis5 14 2" xfId="129" xr:uid="{00000000-0005-0000-0000-00007B000000}"/>
    <cellStyle name="20% - Énfasis5 14 2 2" xfId="3241" xr:uid="{F8F12D77-7994-4F31-BBB3-B56F72E05C3D}"/>
    <cellStyle name="20% - Énfasis5 14 3" xfId="3240" xr:uid="{B512876B-4920-4CB5-ACE3-3ECAFA35C902}"/>
    <cellStyle name="20% - Énfasis5 15" xfId="119" xr:uid="{00000000-0005-0000-0000-00007C000000}"/>
    <cellStyle name="20% - Énfasis5 16" xfId="3116" xr:uid="{32D38F27-6CF8-4A3E-9586-B0857A91C863}"/>
    <cellStyle name="20% - Énfasis5 16 2" xfId="3554" xr:uid="{786D868D-4800-4DDF-A06B-E7BE579B64DA}"/>
    <cellStyle name="20% - Énfasis5 2" xfId="130" xr:uid="{00000000-0005-0000-0000-00007D000000}"/>
    <cellStyle name="20% - Énfasis5 2 2" xfId="131" xr:uid="{00000000-0005-0000-0000-00007E000000}"/>
    <cellStyle name="20% - Énfasis5 2 2 2" xfId="3243" xr:uid="{5837E9BC-1FE3-43C9-961A-1A1FC93EBA1D}"/>
    <cellStyle name="20% - Énfasis5 2 3" xfId="3242" xr:uid="{A5F9BA1D-994A-4AEC-9D42-50B551C02238}"/>
    <cellStyle name="20% - Énfasis5 3" xfId="132" xr:uid="{00000000-0005-0000-0000-00007F000000}"/>
    <cellStyle name="20% - Énfasis5 3 2" xfId="133" xr:uid="{00000000-0005-0000-0000-000080000000}"/>
    <cellStyle name="20% - Énfasis5 3 2 2" xfId="3245" xr:uid="{F30C640F-5E48-4842-A250-B9331DC2C108}"/>
    <cellStyle name="20% - Énfasis5 3 3" xfId="3244" xr:uid="{98F13638-E695-490C-AC0D-B2BD236894C3}"/>
    <cellStyle name="20% - Énfasis5 4" xfId="134" xr:uid="{00000000-0005-0000-0000-000081000000}"/>
    <cellStyle name="20% - Énfasis5 4 2" xfId="135" xr:uid="{00000000-0005-0000-0000-000082000000}"/>
    <cellStyle name="20% - Énfasis5 4 2 2" xfId="3247" xr:uid="{E6786148-DE35-4E7C-B246-4738DC378917}"/>
    <cellStyle name="20% - Énfasis5 4 3" xfId="3246" xr:uid="{4CCE36F3-2511-4745-AB1A-CF62983151E2}"/>
    <cellStyle name="20% - Énfasis5 5" xfId="136" xr:uid="{00000000-0005-0000-0000-000083000000}"/>
    <cellStyle name="20% - Énfasis5 5 2" xfId="137" xr:uid="{00000000-0005-0000-0000-000084000000}"/>
    <cellStyle name="20% - Énfasis5 5 2 2" xfId="3249" xr:uid="{6560AF82-121D-47F9-AB85-5FF141B7CFC6}"/>
    <cellStyle name="20% - Énfasis5 5 3" xfId="3248" xr:uid="{1AEAB87D-F5B6-4645-8523-48C8A47C3CDE}"/>
    <cellStyle name="20% - Énfasis5 6" xfId="138" xr:uid="{00000000-0005-0000-0000-000085000000}"/>
    <cellStyle name="20% - Énfasis5 6 2" xfId="139" xr:uid="{00000000-0005-0000-0000-000086000000}"/>
    <cellStyle name="20% - Énfasis5 6 2 2" xfId="3251" xr:uid="{7810301F-0CE3-437F-8FA7-BDEADFB4735A}"/>
    <cellStyle name="20% - Énfasis5 6 3" xfId="3250" xr:uid="{30CA46B1-4BAC-4A3D-A6E5-F1F34B93FE41}"/>
    <cellStyle name="20% - Énfasis5 7" xfId="140" xr:uid="{00000000-0005-0000-0000-000087000000}"/>
    <cellStyle name="20% - Énfasis5 7 2" xfId="141" xr:uid="{00000000-0005-0000-0000-000088000000}"/>
    <cellStyle name="20% - Énfasis5 7 2 2" xfId="3253" xr:uid="{A3846588-77E3-4981-A0B2-2D9F51F915D3}"/>
    <cellStyle name="20% - Énfasis5 7 3" xfId="3252" xr:uid="{D6C62BD2-EA0B-4EA0-A0B1-EB5487F69AFC}"/>
    <cellStyle name="20% - Énfasis5 8" xfId="142" xr:uid="{00000000-0005-0000-0000-000089000000}"/>
    <cellStyle name="20% - Énfasis5 8 2" xfId="143" xr:uid="{00000000-0005-0000-0000-00008A000000}"/>
    <cellStyle name="20% - Énfasis5 8 2 2" xfId="3255" xr:uid="{213C0C90-BDFF-4AD1-94CD-E6FE5506DB2B}"/>
    <cellStyle name="20% - Énfasis5 8 3" xfId="3254" xr:uid="{D38BA4E9-83A6-422D-90C3-7B29BAAAEF55}"/>
    <cellStyle name="20% - Énfasis5 9" xfId="144" xr:uid="{00000000-0005-0000-0000-00008B000000}"/>
    <cellStyle name="20% - Énfasis5 9 2" xfId="145" xr:uid="{00000000-0005-0000-0000-00008C000000}"/>
    <cellStyle name="20% - Énfasis5 9 2 2" xfId="3257" xr:uid="{D7E85116-35D2-4CFA-9A7B-7CBECA03F79A}"/>
    <cellStyle name="20% - Énfasis5 9 3" xfId="3256" xr:uid="{028AC600-137B-4BA1-B56E-FDB7FBC36098}"/>
    <cellStyle name="20% - Énfasis6 10" xfId="147" xr:uid="{00000000-0005-0000-0000-00008D000000}"/>
    <cellStyle name="20% - Énfasis6 10 2" xfId="148" xr:uid="{00000000-0005-0000-0000-00008E000000}"/>
    <cellStyle name="20% - Énfasis6 10 2 2" xfId="3259" xr:uid="{93D32B26-8795-4ACF-9321-6E24D56E4A41}"/>
    <cellStyle name="20% - Énfasis6 10 3" xfId="3258" xr:uid="{D5B23F34-F695-4033-92D3-EAFD6020D22F}"/>
    <cellStyle name="20% - Énfasis6 11" xfId="149" xr:uid="{00000000-0005-0000-0000-00008F000000}"/>
    <cellStyle name="20% - Énfasis6 11 2" xfId="150" xr:uid="{00000000-0005-0000-0000-000090000000}"/>
    <cellStyle name="20% - Énfasis6 11 2 2" xfId="3261" xr:uid="{255862AC-4E23-4DBD-AAAC-79AE69F54E15}"/>
    <cellStyle name="20% - Énfasis6 11 3" xfId="3260" xr:uid="{7124C01E-C45E-40B3-B1ED-798EE281D3A1}"/>
    <cellStyle name="20% - Énfasis6 12" xfId="151" xr:uid="{00000000-0005-0000-0000-000091000000}"/>
    <cellStyle name="20% - Énfasis6 12 2" xfId="152" xr:uid="{00000000-0005-0000-0000-000092000000}"/>
    <cellStyle name="20% - Énfasis6 12 2 2" xfId="3263" xr:uid="{8A73DFD9-F33F-4E25-9CC9-27E34F907D55}"/>
    <cellStyle name="20% - Énfasis6 12 3" xfId="3262" xr:uid="{5142D36C-0057-4920-A612-5D260AD0C594}"/>
    <cellStyle name="20% - Énfasis6 13" xfId="153" xr:uid="{00000000-0005-0000-0000-000093000000}"/>
    <cellStyle name="20% - Énfasis6 13 2" xfId="154" xr:uid="{00000000-0005-0000-0000-000094000000}"/>
    <cellStyle name="20% - Énfasis6 13 2 2" xfId="3265" xr:uid="{A2857D1C-6D2A-42CD-B264-83294F96C4F6}"/>
    <cellStyle name="20% - Énfasis6 13 3" xfId="3264" xr:uid="{246904D4-056C-4D01-B959-022C9D539A1B}"/>
    <cellStyle name="20% - Énfasis6 14" xfId="155" xr:uid="{00000000-0005-0000-0000-000095000000}"/>
    <cellStyle name="20% - Énfasis6 14 2" xfId="156" xr:uid="{00000000-0005-0000-0000-000096000000}"/>
    <cellStyle name="20% - Énfasis6 14 2 2" xfId="3267" xr:uid="{ED4DFC84-7FD2-439D-B16E-1DBDAA10CB10}"/>
    <cellStyle name="20% - Énfasis6 14 3" xfId="3266" xr:uid="{F534753C-BAC7-47D9-9A1A-9712A3D0E23E}"/>
    <cellStyle name="20% - Énfasis6 15" xfId="146" xr:uid="{00000000-0005-0000-0000-000097000000}"/>
    <cellStyle name="20% - Énfasis6 16" xfId="3119" xr:uid="{3D4EF18F-2619-4C41-9BB0-A77DCE8AD0FA}"/>
    <cellStyle name="20% - Énfasis6 16 2" xfId="3557" xr:uid="{1F29136A-5084-46A3-9E45-D6EDBCC8C69A}"/>
    <cellStyle name="20% - Énfasis6 2" xfId="157" xr:uid="{00000000-0005-0000-0000-000098000000}"/>
    <cellStyle name="20% - Énfasis6 2 2" xfId="158" xr:uid="{00000000-0005-0000-0000-000099000000}"/>
    <cellStyle name="20% - Énfasis6 2 2 2" xfId="3269" xr:uid="{B7B0E932-E09E-4DE0-9E93-9171AEAE5DE3}"/>
    <cellStyle name="20% - Énfasis6 2 3" xfId="3268" xr:uid="{A6D68CB5-3C8B-43BE-B016-0CFB07F1B225}"/>
    <cellStyle name="20% - Énfasis6 3" xfId="159" xr:uid="{00000000-0005-0000-0000-00009A000000}"/>
    <cellStyle name="20% - Énfasis6 3 2" xfId="160" xr:uid="{00000000-0005-0000-0000-00009B000000}"/>
    <cellStyle name="20% - Énfasis6 3 2 2" xfId="3271" xr:uid="{5D2495B9-7575-41E2-8481-6702563CA56C}"/>
    <cellStyle name="20% - Énfasis6 3 3" xfId="3270" xr:uid="{82464383-866F-4C41-A569-B95F5988E291}"/>
    <cellStyle name="20% - Énfasis6 4" xfId="161" xr:uid="{00000000-0005-0000-0000-00009C000000}"/>
    <cellStyle name="20% - Énfasis6 4 2" xfId="162" xr:uid="{00000000-0005-0000-0000-00009D000000}"/>
    <cellStyle name="20% - Énfasis6 4 2 2" xfId="3273" xr:uid="{D2860CFA-8046-4E2A-A796-8D44E2432374}"/>
    <cellStyle name="20% - Énfasis6 4 3" xfId="3272" xr:uid="{635FF142-B26B-4484-B545-AD983B796FE3}"/>
    <cellStyle name="20% - Énfasis6 5" xfId="163" xr:uid="{00000000-0005-0000-0000-00009E000000}"/>
    <cellStyle name="20% - Énfasis6 5 2" xfId="164" xr:uid="{00000000-0005-0000-0000-00009F000000}"/>
    <cellStyle name="20% - Énfasis6 5 2 2" xfId="3275" xr:uid="{886ADD3E-4B1C-4A4D-8D28-C3EC35BB1A7F}"/>
    <cellStyle name="20% - Énfasis6 5 3" xfId="3274" xr:uid="{2A0667E2-DFE3-4BA7-8117-1C99D1A9961F}"/>
    <cellStyle name="20% - Énfasis6 6" xfId="165" xr:uid="{00000000-0005-0000-0000-0000A0000000}"/>
    <cellStyle name="20% - Énfasis6 6 2" xfId="166" xr:uid="{00000000-0005-0000-0000-0000A1000000}"/>
    <cellStyle name="20% - Énfasis6 6 2 2" xfId="3277" xr:uid="{1F177771-749A-420C-BE06-241DE6E4BBCD}"/>
    <cellStyle name="20% - Énfasis6 6 3" xfId="3276" xr:uid="{9A5C2659-364C-40A9-B9E9-B70EEA2FC2E1}"/>
    <cellStyle name="20% - Énfasis6 7" xfId="167" xr:uid="{00000000-0005-0000-0000-0000A2000000}"/>
    <cellStyle name="20% - Énfasis6 7 2" xfId="168" xr:uid="{00000000-0005-0000-0000-0000A3000000}"/>
    <cellStyle name="20% - Énfasis6 7 2 2" xfId="3279" xr:uid="{CFFB7BCD-027C-4D7D-87B0-3E2796A8095D}"/>
    <cellStyle name="20% - Énfasis6 7 3" xfId="3278" xr:uid="{5BE5AA97-C436-45DE-8ABC-316CFE2E6170}"/>
    <cellStyle name="20% - Énfasis6 8" xfId="169" xr:uid="{00000000-0005-0000-0000-0000A4000000}"/>
    <cellStyle name="20% - Énfasis6 8 2" xfId="170" xr:uid="{00000000-0005-0000-0000-0000A5000000}"/>
    <cellStyle name="20% - Énfasis6 8 2 2" xfId="3281" xr:uid="{F358EB5B-4B87-4FB1-9ED2-A4A4C640DD02}"/>
    <cellStyle name="20% - Énfasis6 8 3" xfId="3280" xr:uid="{D19CEDCB-863D-4946-9D41-DD152C885D8D}"/>
    <cellStyle name="20% - Énfasis6 9" xfId="171" xr:uid="{00000000-0005-0000-0000-0000A6000000}"/>
    <cellStyle name="20% - Énfasis6 9 2" xfId="172" xr:uid="{00000000-0005-0000-0000-0000A7000000}"/>
    <cellStyle name="20% - Énfasis6 9 2 2" xfId="3283" xr:uid="{1FFCB381-CD60-4EF6-824A-ADEBBE13EF69}"/>
    <cellStyle name="20% - Énfasis6 9 3" xfId="3282" xr:uid="{893F2AC8-3A55-4372-990A-2B81CB47CCDB}"/>
    <cellStyle name="40% - Accent1" xfId="173" xr:uid="{00000000-0005-0000-0000-0000A8000000}"/>
    <cellStyle name="40% - Accent1 2" xfId="3284" xr:uid="{FFA6BCD3-94BE-4D01-B4E9-3AB2B193E384}"/>
    <cellStyle name="40% - Accent2" xfId="174" xr:uid="{00000000-0005-0000-0000-0000A9000000}"/>
    <cellStyle name="40% - Accent2 2" xfId="3285" xr:uid="{E14EC03E-7357-4BB0-BA22-2DA6380EB00C}"/>
    <cellStyle name="40% - Accent3" xfId="175" xr:uid="{00000000-0005-0000-0000-0000AA000000}"/>
    <cellStyle name="40% - Accent3 2" xfId="3286" xr:uid="{78023988-18CB-4CB9-AE99-4EF731CCE3E8}"/>
    <cellStyle name="40% - Accent4" xfId="176" xr:uid="{00000000-0005-0000-0000-0000AB000000}"/>
    <cellStyle name="40% - Accent4 2" xfId="3287" xr:uid="{48C30B4E-F8A3-4D46-AC38-C0F94A1F1EA9}"/>
    <cellStyle name="40% - Accent5" xfId="177" xr:uid="{00000000-0005-0000-0000-0000AC000000}"/>
    <cellStyle name="40% - Accent5 2" xfId="3288" xr:uid="{1D636E48-A1D5-4C9F-A509-90A9B3E48486}"/>
    <cellStyle name="40% - Accent6" xfId="178" xr:uid="{00000000-0005-0000-0000-0000AD000000}"/>
    <cellStyle name="40% - Accent6 2" xfId="3289" xr:uid="{4D85F4C8-69B5-4AC8-AC39-9AE47AA51197}"/>
    <cellStyle name="40% - Énfasis1 10" xfId="180" xr:uid="{00000000-0005-0000-0000-0000AE000000}"/>
    <cellStyle name="40% - Énfasis1 10 2" xfId="181" xr:uid="{00000000-0005-0000-0000-0000AF000000}"/>
    <cellStyle name="40% - Énfasis1 10 2 2" xfId="3291" xr:uid="{70623AD7-ACF3-4E65-92AB-8BF4F058D49F}"/>
    <cellStyle name="40% - Énfasis1 10 3" xfId="3290" xr:uid="{9E84AC2D-2F05-4652-97D3-0368AAC521FF}"/>
    <cellStyle name="40% - Énfasis1 11" xfId="182" xr:uid="{00000000-0005-0000-0000-0000B0000000}"/>
    <cellStyle name="40% - Énfasis1 11 2" xfId="183" xr:uid="{00000000-0005-0000-0000-0000B1000000}"/>
    <cellStyle name="40% - Énfasis1 11 2 2" xfId="3293" xr:uid="{29B87BA0-9878-408B-A4D6-29E8DEC74AB4}"/>
    <cellStyle name="40% - Énfasis1 11 3" xfId="3292" xr:uid="{FF9D8C3B-4A2D-4425-9691-100811908C42}"/>
    <cellStyle name="40% - Énfasis1 12" xfId="184" xr:uid="{00000000-0005-0000-0000-0000B2000000}"/>
    <cellStyle name="40% - Énfasis1 12 2" xfId="185" xr:uid="{00000000-0005-0000-0000-0000B3000000}"/>
    <cellStyle name="40% - Énfasis1 12 2 2" xfId="3295" xr:uid="{14F0272B-40A3-40CD-BC3A-BFB992C3F0DE}"/>
    <cellStyle name="40% - Énfasis1 12 3" xfId="3294" xr:uid="{D917E063-4077-45A5-A9F1-3629AF706184}"/>
    <cellStyle name="40% - Énfasis1 13" xfId="186" xr:uid="{00000000-0005-0000-0000-0000B4000000}"/>
    <cellStyle name="40% - Énfasis1 13 2" xfId="187" xr:uid="{00000000-0005-0000-0000-0000B5000000}"/>
    <cellStyle name="40% - Énfasis1 13 2 2" xfId="3297" xr:uid="{3A4A086A-CE3E-442A-9A72-EB41A28D1453}"/>
    <cellStyle name="40% - Énfasis1 13 3" xfId="3296" xr:uid="{296C39E6-14C9-4BE6-8AC4-8D010769DDD7}"/>
    <cellStyle name="40% - Énfasis1 14" xfId="188" xr:uid="{00000000-0005-0000-0000-0000B6000000}"/>
    <cellStyle name="40% - Énfasis1 14 2" xfId="189" xr:uid="{00000000-0005-0000-0000-0000B7000000}"/>
    <cellStyle name="40% - Énfasis1 14 2 2" xfId="3299" xr:uid="{6EDB8791-5BE8-48B4-ADDE-E679F1319A37}"/>
    <cellStyle name="40% - Énfasis1 14 3" xfId="3298" xr:uid="{2D20A8C8-428D-42C6-9FB0-0160768BA970}"/>
    <cellStyle name="40% - Énfasis1 15" xfId="179" xr:uid="{00000000-0005-0000-0000-0000B8000000}"/>
    <cellStyle name="40% - Énfasis1 16" xfId="3105" xr:uid="{5702DC89-9EC1-4CE3-87D5-E4F30DBED61B}"/>
    <cellStyle name="40% - Énfasis1 16 2" xfId="3543" xr:uid="{2A3A8D81-EEDC-4530-BEA2-22694FFF6709}"/>
    <cellStyle name="40% - Énfasis1 2" xfId="190" xr:uid="{00000000-0005-0000-0000-0000B9000000}"/>
    <cellStyle name="40% - Énfasis1 2 2" xfId="191" xr:uid="{00000000-0005-0000-0000-0000BA000000}"/>
    <cellStyle name="40% - Énfasis1 2 2 2" xfId="3301" xr:uid="{FE752741-F733-4C93-81B7-EB053094656B}"/>
    <cellStyle name="40% - Énfasis1 2 3" xfId="3300" xr:uid="{1C66EDED-17AE-4C3E-A94D-DEA7A77C48BE}"/>
    <cellStyle name="40% - Énfasis1 3" xfId="192" xr:uid="{00000000-0005-0000-0000-0000BB000000}"/>
    <cellStyle name="40% - Énfasis1 3 2" xfId="193" xr:uid="{00000000-0005-0000-0000-0000BC000000}"/>
    <cellStyle name="40% - Énfasis1 3 2 2" xfId="3303" xr:uid="{45EB768B-5691-4827-8E1D-3C42FB131D99}"/>
    <cellStyle name="40% - Énfasis1 3 3" xfId="3302" xr:uid="{3A1559F7-24CF-48BB-B870-94EB1B47602C}"/>
    <cellStyle name="40% - Énfasis1 4" xfId="194" xr:uid="{00000000-0005-0000-0000-0000BD000000}"/>
    <cellStyle name="40% - Énfasis1 4 2" xfId="195" xr:uid="{00000000-0005-0000-0000-0000BE000000}"/>
    <cellStyle name="40% - Énfasis1 4 2 2" xfId="3305" xr:uid="{E01F8368-8B0A-4692-89BD-9D3A06050FED}"/>
    <cellStyle name="40% - Énfasis1 4 3" xfId="3304" xr:uid="{C66B94CC-4E21-4D5C-BF1C-344F34AA19B9}"/>
    <cellStyle name="40% - Énfasis1 5" xfId="196" xr:uid="{00000000-0005-0000-0000-0000BF000000}"/>
    <cellStyle name="40% - Énfasis1 5 2" xfId="197" xr:uid="{00000000-0005-0000-0000-0000C0000000}"/>
    <cellStyle name="40% - Énfasis1 5 2 2" xfId="3307" xr:uid="{0070B2CC-3CBB-40FB-ACBE-0888427D8E02}"/>
    <cellStyle name="40% - Énfasis1 5 3" xfId="3306" xr:uid="{A6C8B88C-B4D9-4DA0-871E-DD211D19FAAA}"/>
    <cellStyle name="40% - Énfasis1 6" xfId="198" xr:uid="{00000000-0005-0000-0000-0000C1000000}"/>
    <cellStyle name="40% - Énfasis1 6 2" xfId="199" xr:uid="{00000000-0005-0000-0000-0000C2000000}"/>
    <cellStyle name="40% - Énfasis1 6 2 2" xfId="3309" xr:uid="{A52A23BF-689A-4222-B55E-B294DADBD703}"/>
    <cellStyle name="40% - Énfasis1 6 3" xfId="3308" xr:uid="{138CB20C-EC3F-4EDB-9F0E-37C2632B5E9A}"/>
    <cellStyle name="40% - Énfasis1 7" xfId="200" xr:uid="{00000000-0005-0000-0000-0000C3000000}"/>
    <cellStyle name="40% - Énfasis1 7 2" xfId="201" xr:uid="{00000000-0005-0000-0000-0000C4000000}"/>
    <cellStyle name="40% - Énfasis1 7 2 2" xfId="3311" xr:uid="{7CAD5873-9773-4D29-89D4-418CA8D79CA9}"/>
    <cellStyle name="40% - Énfasis1 7 3" xfId="3310" xr:uid="{44155404-11AE-4EE6-A717-7D9269721CCD}"/>
    <cellStyle name="40% - Énfasis1 8" xfId="202" xr:uid="{00000000-0005-0000-0000-0000C5000000}"/>
    <cellStyle name="40% - Énfasis1 8 2" xfId="203" xr:uid="{00000000-0005-0000-0000-0000C6000000}"/>
    <cellStyle name="40% - Énfasis1 8 2 2" xfId="3313" xr:uid="{859B73E0-27FA-40FE-B213-99B12EDD947E}"/>
    <cellStyle name="40% - Énfasis1 8 3" xfId="3312" xr:uid="{DCB84E3F-A88D-4748-9ADB-241068F70C1E}"/>
    <cellStyle name="40% - Énfasis1 9" xfId="204" xr:uid="{00000000-0005-0000-0000-0000C7000000}"/>
    <cellStyle name="40% - Énfasis1 9 2" xfId="205" xr:uid="{00000000-0005-0000-0000-0000C8000000}"/>
    <cellStyle name="40% - Énfasis1 9 2 2" xfId="3315" xr:uid="{234F6ED9-9FA3-4E37-9573-85D3171F1FA1}"/>
    <cellStyle name="40% - Énfasis1 9 3" xfId="3314" xr:uid="{629C897D-F77A-47FE-9AA3-85C895EEE15B}"/>
    <cellStyle name="40% - Énfasis2 10" xfId="207" xr:uid="{00000000-0005-0000-0000-0000C9000000}"/>
    <cellStyle name="40% - Énfasis2 10 2" xfId="208" xr:uid="{00000000-0005-0000-0000-0000CA000000}"/>
    <cellStyle name="40% - Énfasis2 10 2 2" xfId="3317" xr:uid="{EF55F232-1F14-40DC-93C2-FA268C66E7EA}"/>
    <cellStyle name="40% - Énfasis2 10 3" xfId="3316" xr:uid="{5A61D17D-381B-405C-B9AB-A486344ED9BA}"/>
    <cellStyle name="40% - Énfasis2 11" xfId="209" xr:uid="{00000000-0005-0000-0000-0000CB000000}"/>
    <cellStyle name="40% - Énfasis2 11 2" xfId="210" xr:uid="{00000000-0005-0000-0000-0000CC000000}"/>
    <cellStyle name="40% - Énfasis2 11 2 2" xfId="3319" xr:uid="{48C0F42A-0AD6-4E3E-8504-036E59C57D0C}"/>
    <cellStyle name="40% - Énfasis2 11 3" xfId="3318" xr:uid="{B0167C04-AC46-4D51-9AA0-2C810B42374D}"/>
    <cellStyle name="40% - Énfasis2 12" xfId="211" xr:uid="{00000000-0005-0000-0000-0000CD000000}"/>
    <cellStyle name="40% - Énfasis2 12 2" xfId="212" xr:uid="{00000000-0005-0000-0000-0000CE000000}"/>
    <cellStyle name="40% - Énfasis2 12 2 2" xfId="3321" xr:uid="{C858E43E-154E-45D7-91AE-29F04D838626}"/>
    <cellStyle name="40% - Énfasis2 12 3" xfId="3320" xr:uid="{B0A8196B-2A05-48CB-9B13-22BA4C49C472}"/>
    <cellStyle name="40% - Énfasis2 13" xfId="213" xr:uid="{00000000-0005-0000-0000-0000CF000000}"/>
    <cellStyle name="40% - Énfasis2 13 2" xfId="214" xr:uid="{00000000-0005-0000-0000-0000D0000000}"/>
    <cellStyle name="40% - Énfasis2 13 2 2" xfId="3323" xr:uid="{8ED1789A-5A08-49A5-B434-72519E561D1D}"/>
    <cellStyle name="40% - Énfasis2 13 3" xfId="3322" xr:uid="{91EEE414-B036-4562-8EF5-723537D88ACE}"/>
    <cellStyle name="40% - Énfasis2 14" xfId="215" xr:uid="{00000000-0005-0000-0000-0000D1000000}"/>
    <cellStyle name="40% - Énfasis2 14 2" xfId="216" xr:uid="{00000000-0005-0000-0000-0000D2000000}"/>
    <cellStyle name="40% - Énfasis2 14 2 2" xfId="3325" xr:uid="{4BA0EF60-F29D-4C9F-A1F7-07A6D54ED2B9}"/>
    <cellStyle name="40% - Énfasis2 14 3" xfId="3324" xr:uid="{D5B4974C-2B11-43B5-A6BC-9045FD095B3A}"/>
    <cellStyle name="40% - Énfasis2 15" xfId="206" xr:uid="{00000000-0005-0000-0000-0000D3000000}"/>
    <cellStyle name="40% - Énfasis2 16" xfId="3108" xr:uid="{44E085A6-5F28-4B44-9F1E-059ECB7ACB8A}"/>
    <cellStyle name="40% - Énfasis2 16 2" xfId="3546" xr:uid="{2923477E-0148-47AC-986B-4EBAB4708865}"/>
    <cellStyle name="40% - Énfasis2 2" xfId="217" xr:uid="{00000000-0005-0000-0000-0000D4000000}"/>
    <cellStyle name="40% - Énfasis2 2 2" xfId="218" xr:uid="{00000000-0005-0000-0000-0000D5000000}"/>
    <cellStyle name="40% - Énfasis2 2 2 2" xfId="3327" xr:uid="{07607E85-742E-4AFD-A072-FCE35861C0D6}"/>
    <cellStyle name="40% - Énfasis2 2 3" xfId="3326" xr:uid="{1F046F9C-DFA0-4F8E-8E72-D319A8658CC7}"/>
    <cellStyle name="40% - Énfasis2 3" xfId="219" xr:uid="{00000000-0005-0000-0000-0000D6000000}"/>
    <cellStyle name="40% - Énfasis2 3 2" xfId="220" xr:uid="{00000000-0005-0000-0000-0000D7000000}"/>
    <cellStyle name="40% - Énfasis2 3 2 2" xfId="3329" xr:uid="{2EC09327-757B-4605-B2DB-BB92B3984E17}"/>
    <cellStyle name="40% - Énfasis2 3 3" xfId="3328" xr:uid="{8C2F0281-8CD7-45F1-88C5-5BB6F17E0B03}"/>
    <cellStyle name="40% - Énfasis2 4" xfId="221" xr:uid="{00000000-0005-0000-0000-0000D8000000}"/>
    <cellStyle name="40% - Énfasis2 4 2" xfId="222" xr:uid="{00000000-0005-0000-0000-0000D9000000}"/>
    <cellStyle name="40% - Énfasis2 4 2 2" xfId="3331" xr:uid="{965577EB-79CF-44B8-B022-F559B36078A7}"/>
    <cellStyle name="40% - Énfasis2 4 3" xfId="3330" xr:uid="{14B78668-834C-4C8A-9454-598687051937}"/>
    <cellStyle name="40% - Énfasis2 5" xfId="223" xr:uid="{00000000-0005-0000-0000-0000DA000000}"/>
    <cellStyle name="40% - Énfasis2 5 2" xfId="224" xr:uid="{00000000-0005-0000-0000-0000DB000000}"/>
    <cellStyle name="40% - Énfasis2 5 2 2" xfId="3333" xr:uid="{A8BA64D4-A2A3-47DA-B2E6-FE26EDC070D4}"/>
    <cellStyle name="40% - Énfasis2 5 3" xfId="3332" xr:uid="{7DEBAD23-FD06-4E95-B190-C514DA40E3B9}"/>
    <cellStyle name="40% - Énfasis2 6" xfId="225" xr:uid="{00000000-0005-0000-0000-0000DC000000}"/>
    <cellStyle name="40% - Énfasis2 6 2" xfId="226" xr:uid="{00000000-0005-0000-0000-0000DD000000}"/>
    <cellStyle name="40% - Énfasis2 6 2 2" xfId="3335" xr:uid="{6EF86BC4-5AF9-4A46-974C-D7460F31C958}"/>
    <cellStyle name="40% - Énfasis2 6 3" xfId="3334" xr:uid="{D30A06FD-542A-4DDD-9B78-59E0E5B526D7}"/>
    <cellStyle name="40% - Énfasis2 7" xfId="227" xr:uid="{00000000-0005-0000-0000-0000DE000000}"/>
    <cellStyle name="40% - Énfasis2 7 2" xfId="228" xr:uid="{00000000-0005-0000-0000-0000DF000000}"/>
    <cellStyle name="40% - Énfasis2 7 2 2" xfId="3337" xr:uid="{4A765A0A-A40E-4AE3-A390-B9DD1FC18EA2}"/>
    <cellStyle name="40% - Énfasis2 7 3" xfId="3336" xr:uid="{F8418BCA-8039-4665-B07C-DF8EBDBE10A4}"/>
    <cellStyle name="40% - Énfasis2 8" xfId="229" xr:uid="{00000000-0005-0000-0000-0000E0000000}"/>
    <cellStyle name="40% - Énfasis2 8 2" xfId="230" xr:uid="{00000000-0005-0000-0000-0000E1000000}"/>
    <cellStyle name="40% - Énfasis2 8 2 2" xfId="3339" xr:uid="{FE63B63A-2825-4D79-9E29-5C292D4EA0B6}"/>
    <cellStyle name="40% - Énfasis2 8 3" xfId="3338" xr:uid="{22124285-6235-4517-8F8C-497665C8E740}"/>
    <cellStyle name="40% - Énfasis2 9" xfId="231" xr:uid="{00000000-0005-0000-0000-0000E2000000}"/>
    <cellStyle name="40% - Énfasis2 9 2" xfId="232" xr:uid="{00000000-0005-0000-0000-0000E3000000}"/>
    <cellStyle name="40% - Énfasis2 9 2 2" xfId="3341" xr:uid="{A4D65980-F2DF-456C-A656-B158AD4DEC09}"/>
    <cellStyle name="40% - Énfasis2 9 3" xfId="3340" xr:uid="{DA07271B-4224-41BF-88AD-1B556EAC010F}"/>
    <cellStyle name="40% - Énfasis3 10" xfId="234" xr:uid="{00000000-0005-0000-0000-0000E4000000}"/>
    <cellStyle name="40% - Énfasis3 10 2" xfId="235" xr:uid="{00000000-0005-0000-0000-0000E5000000}"/>
    <cellStyle name="40% - Énfasis3 10 2 2" xfId="3343" xr:uid="{A971F87C-7D8A-4B73-91E8-7C230BA4FC8A}"/>
    <cellStyle name="40% - Énfasis3 10 3" xfId="3342" xr:uid="{817659E0-D4D8-41B4-940B-0C5E50577AC6}"/>
    <cellStyle name="40% - Énfasis3 11" xfId="236" xr:uid="{00000000-0005-0000-0000-0000E6000000}"/>
    <cellStyle name="40% - Énfasis3 11 2" xfId="237" xr:uid="{00000000-0005-0000-0000-0000E7000000}"/>
    <cellStyle name="40% - Énfasis3 11 2 2" xfId="3345" xr:uid="{47D7FF20-0862-4E75-9132-B8931979649C}"/>
    <cellStyle name="40% - Énfasis3 11 3" xfId="3344" xr:uid="{7DD8313C-C361-48A2-B44C-1B5449ABCC98}"/>
    <cellStyle name="40% - Énfasis3 12" xfId="238" xr:uid="{00000000-0005-0000-0000-0000E8000000}"/>
    <cellStyle name="40% - Énfasis3 12 2" xfId="239" xr:uid="{00000000-0005-0000-0000-0000E9000000}"/>
    <cellStyle name="40% - Énfasis3 12 2 2" xfId="3347" xr:uid="{DBD283C6-737E-4156-B9E8-2EAE9C37619B}"/>
    <cellStyle name="40% - Énfasis3 12 3" xfId="3346" xr:uid="{11B34238-DF75-42FA-9495-D7AA1E8AE60B}"/>
    <cellStyle name="40% - Énfasis3 13" xfId="240" xr:uid="{00000000-0005-0000-0000-0000EA000000}"/>
    <cellStyle name="40% - Énfasis3 13 2" xfId="241" xr:uid="{00000000-0005-0000-0000-0000EB000000}"/>
    <cellStyle name="40% - Énfasis3 13 2 2" xfId="3349" xr:uid="{6022507F-AE77-49A9-86D6-EC3FD99BD9F8}"/>
    <cellStyle name="40% - Énfasis3 13 3" xfId="3348" xr:uid="{F3B7BD9C-8C2B-4836-A56D-48DB13F9E72A}"/>
    <cellStyle name="40% - Énfasis3 14" xfId="242" xr:uid="{00000000-0005-0000-0000-0000EC000000}"/>
    <cellStyle name="40% - Énfasis3 14 2" xfId="243" xr:uid="{00000000-0005-0000-0000-0000ED000000}"/>
    <cellStyle name="40% - Énfasis3 14 2 2" xfId="3351" xr:uid="{73473E3D-182D-4FA8-B588-5DFE25A6FFB6}"/>
    <cellStyle name="40% - Énfasis3 14 3" xfId="3350" xr:uid="{870DE158-E6E9-428C-A8EE-152FC90CA242}"/>
    <cellStyle name="40% - Énfasis3 15" xfId="233" xr:uid="{00000000-0005-0000-0000-0000EE000000}"/>
    <cellStyle name="40% - Énfasis3 16" xfId="3111" xr:uid="{1A4F227D-D129-412A-91A5-ED27B68D2967}"/>
    <cellStyle name="40% - Énfasis3 16 2" xfId="3549" xr:uid="{8D7A2C12-1238-4DE2-B445-ECA0316E1C4E}"/>
    <cellStyle name="40% - Énfasis3 2" xfId="244" xr:uid="{00000000-0005-0000-0000-0000EF000000}"/>
    <cellStyle name="40% - Énfasis3 2 2" xfId="245" xr:uid="{00000000-0005-0000-0000-0000F0000000}"/>
    <cellStyle name="40% - Énfasis3 2 2 2" xfId="3353" xr:uid="{4F747AC0-8A5C-4DF3-BC3C-7C8722C2E85B}"/>
    <cellStyle name="40% - Énfasis3 2 3" xfId="3352" xr:uid="{18C77BB2-85AF-4C1C-81B9-B6EFB16D2478}"/>
    <cellStyle name="40% - Énfasis3 3" xfId="246" xr:uid="{00000000-0005-0000-0000-0000F1000000}"/>
    <cellStyle name="40% - Énfasis3 3 2" xfId="247" xr:uid="{00000000-0005-0000-0000-0000F2000000}"/>
    <cellStyle name="40% - Énfasis3 3 2 2" xfId="3355" xr:uid="{53422FD9-8BFD-4CB3-BDF1-BBAB80690B42}"/>
    <cellStyle name="40% - Énfasis3 3 3" xfId="3354" xr:uid="{920F94E1-8F14-4A9B-A5F4-1F8282694A12}"/>
    <cellStyle name="40% - Énfasis3 4" xfId="248" xr:uid="{00000000-0005-0000-0000-0000F3000000}"/>
    <cellStyle name="40% - Énfasis3 4 2" xfId="249" xr:uid="{00000000-0005-0000-0000-0000F4000000}"/>
    <cellStyle name="40% - Énfasis3 4 2 2" xfId="3357" xr:uid="{17927DD2-4B77-49C7-AF8F-2CE629148AD0}"/>
    <cellStyle name="40% - Énfasis3 4 3" xfId="3356" xr:uid="{6A948C6E-EA82-4AB8-B232-1FF732EA761C}"/>
    <cellStyle name="40% - Énfasis3 5" xfId="250" xr:uid="{00000000-0005-0000-0000-0000F5000000}"/>
    <cellStyle name="40% - Énfasis3 5 2" xfId="251" xr:uid="{00000000-0005-0000-0000-0000F6000000}"/>
    <cellStyle name="40% - Énfasis3 5 2 2" xfId="3359" xr:uid="{1575DC80-C69D-47A4-B4BC-CD2FC9117079}"/>
    <cellStyle name="40% - Énfasis3 5 3" xfId="3358" xr:uid="{A2DCAD5C-351D-4EF9-A9BD-9C02FE154362}"/>
    <cellStyle name="40% - Énfasis3 6" xfId="252" xr:uid="{00000000-0005-0000-0000-0000F7000000}"/>
    <cellStyle name="40% - Énfasis3 6 2" xfId="253" xr:uid="{00000000-0005-0000-0000-0000F8000000}"/>
    <cellStyle name="40% - Énfasis3 6 2 2" xfId="3361" xr:uid="{D23D737D-8D04-48C3-934A-E1A59F0185C4}"/>
    <cellStyle name="40% - Énfasis3 6 3" xfId="3360" xr:uid="{783F088F-D2C5-420B-AEC2-59E320B5A8B1}"/>
    <cellStyle name="40% - Énfasis3 7" xfId="254" xr:uid="{00000000-0005-0000-0000-0000F9000000}"/>
    <cellStyle name="40% - Énfasis3 7 2" xfId="255" xr:uid="{00000000-0005-0000-0000-0000FA000000}"/>
    <cellStyle name="40% - Énfasis3 7 2 2" xfId="3363" xr:uid="{A4B08464-0034-4D2D-824C-2C8782020E8F}"/>
    <cellStyle name="40% - Énfasis3 7 3" xfId="3362" xr:uid="{EDAFB5F7-5FC8-4AB3-B5A6-F515F4CC94C7}"/>
    <cellStyle name="40% - Énfasis3 8" xfId="256" xr:uid="{00000000-0005-0000-0000-0000FB000000}"/>
    <cellStyle name="40% - Énfasis3 8 2" xfId="257" xr:uid="{00000000-0005-0000-0000-0000FC000000}"/>
    <cellStyle name="40% - Énfasis3 8 2 2" xfId="3365" xr:uid="{4E822A61-5379-43A6-9B75-F4B76B275EBB}"/>
    <cellStyle name="40% - Énfasis3 8 3" xfId="3364" xr:uid="{064195BC-EFA1-4850-9730-33EC71548769}"/>
    <cellStyle name="40% - Énfasis3 9" xfId="258" xr:uid="{00000000-0005-0000-0000-0000FD000000}"/>
    <cellStyle name="40% - Énfasis3 9 2" xfId="259" xr:uid="{00000000-0005-0000-0000-0000FE000000}"/>
    <cellStyle name="40% - Énfasis3 9 2 2" xfId="3367" xr:uid="{66A68DA6-F69B-481E-9331-B6DD6F87FC4E}"/>
    <cellStyle name="40% - Énfasis3 9 3" xfId="3366" xr:uid="{7E4248D0-91B9-47C7-82CE-E76094CD70CE}"/>
    <cellStyle name="40% - Énfasis4 10" xfId="261" xr:uid="{00000000-0005-0000-0000-0000FF000000}"/>
    <cellStyle name="40% - Énfasis4 10 2" xfId="262" xr:uid="{00000000-0005-0000-0000-000000010000}"/>
    <cellStyle name="40% - Énfasis4 10 2 2" xfId="3369" xr:uid="{00686315-4AAB-4C21-A288-4DAD142DFCDA}"/>
    <cellStyle name="40% - Énfasis4 10 3" xfId="3368" xr:uid="{330E677E-BCDE-4BA8-AC7E-8301DAE8B49E}"/>
    <cellStyle name="40% - Énfasis4 11" xfId="263" xr:uid="{00000000-0005-0000-0000-000001010000}"/>
    <cellStyle name="40% - Énfasis4 11 2" xfId="264" xr:uid="{00000000-0005-0000-0000-000002010000}"/>
    <cellStyle name="40% - Énfasis4 11 2 2" xfId="3371" xr:uid="{DD57B817-0B19-4A1A-8B56-D80263483CD5}"/>
    <cellStyle name="40% - Énfasis4 11 3" xfId="3370" xr:uid="{0FB24753-0522-4901-B0F8-13D47C0FCE52}"/>
    <cellStyle name="40% - Énfasis4 12" xfId="265" xr:uid="{00000000-0005-0000-0000-000003010000}"/>
    <cellStyle name="40% - Énfasis4 12 2" xfId="266" xr:uid="{00000000-0005-0000-0000-000004010000}"/>
    <cellStyle name="40% - Énfasis4 12 2 2" xfId="3373" xr:uid="{0DB1779B-CE22-4EEF-AEEA-EB3935E747A0}"/>
    <cellStyle name="40% - Énfasis4 12 3" xfId="3372" xr:uid="{E9DF9D72-C7E6-4BDE-832F-AC6EFBE6856F}"/>
    <cellStyle name="40% - Énfasis4 13" xfId="267" xr:uid="{00000000-0005-0000-0000-000005010000}"/>
    <cellStyle name="40% - Énfasis4 13 2" xfId="268" xr:uid="{00000000-0005-0000-0000-000006010000}"/>
    <cellStyle name="40% - Énfasis4 13 2 2" xfId="3375" xr:uid="{F87662DA-C95A-43FC-85F9-AECBA728E935}"/>
    <cellStyle name="40% - Énfasis4 13 3" xfId="3374" xr:uid="{437A6092-435A-4915-B6C7-FC7EB73A63FD}"/>
    <cellStyle name="40% - Énfasis4 14" xfId="269" xr:uid="{00000000-0005-0000-0000-000007010000}"/>
    <cellStyle name="40% - Énfasis4 14 2" xfId="270" xr:uid="{00000000-0005-0000-0000-000008010000}"/>
    <cellStyle name="40% - Énfasis4 14 2 2" xfId="3377" xr:uid="{72B870AD-E382-42FF-8699-2B1C9D058BF1}"/>
    <cellStyle name="40% - Énfasis4 14 3" xfId="3376" xr:uid="{125C197C-F794-4A3E-B090-9905E9DFC726}"/>
    <cellStyle name="40% - Énfasis4 15" xfId="260" xr:uid="{00000000-0005-0000-0000-000009010000}"/>
    <cellStyle name="40% - Énfasis4 16" xfId="3114" xr:uid="{0E6B8B70-E94F-433F-A27B-9D5C46E9788F}"/>
    <cellStyle name="40% - Énfasis4 16 2" xfId="3552" xr:uid="{C84AB1EC-AA8D-40DF-AE54-BC6865DA349B}"/>
    <cellStyle name="40% - Énfasis4 2" xfId="271" xr:uid="{00000000-0005-0000-0000-00000A010000}"/>
    <cellStyle name="40% - Énfasis4 2 2" xfId="272" xr:uid="{00000000-0005-0000-0000-00000B010000}"/>
    <cellStyle name="40% - Énfasis4 2 2 2" xfId="3379" xr:uid="{0957C791-0092-4FA5-A005-03CC6E0FA64A}"/>
    <cellStyle name="40% - Énfasis4 2 3" xfId="3378" xr:uid="{24035773-7370-42DA-A796-3ACD58848988}"/>
    <cellStyle name="40% - Énfasis4 3" xfId="273" xr:uid="{00000000-0005-0000-0000-00000C010000}"/>
    <cellStyle name="40% - Énfasis4 3 2" xfId="274" xr:uid="{00000000-0005-0000-0000-00000D010000}"/>
    <cellStyle name="40% - Énfasis4 3 2 2" xfId="3381" xr:uid="{C6E1570D-0075-44A9-BBC9-32A7871C4445}"/>
    <cellStyle name="40% - Énfasis4 3 3" xfId="3380" xr:uid="{7D715F67-9623-4A21-ADA3-9214FBA9A590}"/>
    <cellStyle name="40% - Énfasis4 4" xfId="275" xr:uid="{00000000-0005-0000-0000-00000E010000}"/>
    <cellStyle name="40% - Énfasis4 4 2" xfId="276" xr:uid="{00000000-0005-0000-0000-00000F010000}"/>
    <cellStyle name="40% - Énfasis4 4 2 2" xfId="3383" xr:uid="{8EE41416-8B20-4B40-A2B3-FEA4236FF8A3}"/>
    <cellStyle name="40% - Énfasis4 4 3" xfId="3382" xr:uid="{67CFADC0-3B37-445E-BA3E-4855F570FCC9}"/>
    <cellStyle name="40% - Énfasis4 5" xfId="277" xr:uid="{00000000-0005-0000-0000-000010010000}"/>
    <cellStyle name="40% - Énfasis4 5 2" xfId="278" xr:uid="{00000000-0005-0000-0000-000011010000}"/>
    <cellStyle name="40% - Énfasis4 5 2 2" xfId="3385" xr:uid="{C7487D67-F80E-4DA2-BE2F-2B7C80E81375}"/>
    <cellStyle name="40% - Énfasis4 5 3" xfId="3384" xr:uid="{1194515B-76A5-4600-A0B8-EDBD84CDDD22}"/>
    <cellStyle name="40% - Énfasis4 6" xfId="279" xr:uid="{00000000-0005-0000-0000-000012010000}"/>
    <cellStyle name="40% - Énfasis4 6 2" xfId="280" xr:uid="{00000000-0005-0000-0000-000013010000}"/>
    <cellStyle name="40% - Énfasis4 6 2 2" xfId="3387" xr:uid="{7ED4A83C-4E85-49EE-8C5B-22B3B8BE771F}"/>
    <cellStyle name="40% - Énfasis4 6 3" xfId="3386" xr:uid="{59365741-75CB-450A-87C5-AD79B7E38171}"/>
    <cellStyle name="40% - Énfasis4 7" xfId="281" xr:uid="{00000000-0005-0000-0000-000014010000}"/>
    <cellStyle name="40% - Énfasis4 7 2" xfId="282" xr:uid="{00000000-0005-0000-0000-000015010000}"/>
    <cellStyle name="40% - Énfasis4 7 2 2" xfId="3389" xr:uid="{26E8EDEF-9136-4464-AB11-9696A11E7F21}"/>
    <cellStyle name="40% - Énfasis4 7 3" xfId="3388" xr:uid="{3AEF91BB-E234-4244-B739-7341110348C4}"/>
    <cellStyle name="40% - Énfasis4 8" xfId="283" xr:uid="{00000000-0005-0000-0000-000016010000}"/>
    <cellStyle name="40% - Énfasis4 8 2" xfId="284" xr:uid="{00000000-0005-0000-0000-000017010000}"/>
    <cellStyle name="40% - Énfasis4 8 2 2" xfId="3391" xr:uid="{AC511DD4-346C-40DA-B2B0-AAA3EB227562}"/>
    <cellStyle name="40% - Énfasis4 8 3" xfId="3390" xr:uid="{783773C1-E723-44CB-B98B-388D76139C12}"/>
    <cellStyle name="40% - Énfasis4 9" xfId="285" xr:uid="{00000000-0005-0000-0000-000018010000}"/>
    <cellStyle name="40% - Énfasis4 9 2" xfId="286" xr:uid="{00000000-0005-0000-0000-000019010000}"/>
    <cellStyle name="40% - Énfasis4 9 2 2" xfId="3393" xr:uid="{A293E72A-BF80-40F5-AB7B-B89D56628286}"/>
    <cellStyle name="40% - Énfasis4 9 3" xfId="3392" xr:uid="{E41D1D2C-BB45-423A-AC92-903E147B30B8}"/>
    <cellStyle name="40% - Énfasis5 10" xfId="288" xr:uid="{00000000-0005-0000-0000-00001A010000}"/>
    <cellStyle name="40% - Énfasis5 10 2" xfId="289" xr:uid="{00000000-0005-0000-0000-00001B010000}"/>
    <cellStyle name="40% - Énfasis5 10 2 2" xfId="3395" xr:uid="{3B103D62-9441-40D0-86F3-13462FEF3D70}"/>
    <cellStyle name="40% - Énfasis5 10 3" xfId="3394" xr:uid="{2D40820D-EEB6-4AD5-AE4E-BB0B30C02E96}"/>
    <cellStyle name="40% - Énfasis5 11" xfId="290" xr:uid="{00000000-0005-0000-0000-00001C010000}"/>
    <cellStyle name="40% - Énfasis5 11 2" xfId="291" xr:uid="{00000000-0005-0000-0000-00001D010000}"/>
    <cellStyle name="40% - Énfasis5 11 2 2" xfId="3397" xr:uid="{D5814416-52B2-490E-B9B1-7CED1F097B01}"/>
    <cellStyle name="40% - Énfasis5 11 3" xfId="3396" xr:uid="{938789F0-2195-4EB3-AE7C-C25AC9786ABB}"/>
    <cellStyle name="40% - Énfasis5 12" xfId="292" xr:uid="{00000000-0005-0000-0000-00001E010000}"/>
    <cellStyle name="40% - Énfasis5 12 2" xfId="293" xr:uid="{00000000-0005-0000-0000-00001F010000}"/>
    <cellStyle name="40% - Énfasis5 12 2 2" xfId="3399" xr:uid="{E6A1B9CE-67C6-4118-8984-8197E273A99C}"/>
    <cellStyle name="40% - Énfasis5 12 3" xfId="3398" xr:uid="{50E0B21B-2CAC-470F-A1B9-B9FCD207C97A}"/>
    <cellStyle name="40% - Énfasis5 13" xfId="294" xr:uid="{00000000-0005-0000-0000-000020010000}"/>
    <cellStyle name="40% - Énfasis5 13 2" xfId="295" xr:uid="{00000000-0005-0000-0000-000021010000}"/>
    <cellStyle name="40% - Énfasis5 13 2 2" xfId="3401" xr:uid="{2803BA91-EC66-493D-8E62-A8F82774577C}"/>
    <cellStyle name="40% - Énfasis5 13 3" xfId="3400" xr:uid="{76992686-F0C7-40E5-9935-2EECA41353DE}"/>
    <cellStyle name="40% - Énfasis5 14" xfId="296" xr:uid="{00000000-0005-0000-0000-000022010000}"/>
    <cellStyle name="40% - Énfasis5 14 2" xfId="297" xr:uid="{00000000-0005-0000-0000-000023010000}"/>
    <cellStyle name="40% - Énfasis5 14 2 2" xfId="3403" xr:uid="{A47D605F-6684-48F5-B641-E4714D3D7A4C}"/>
    <cellStyle name="40% - Énfasis5 14 3" xfId="3402" xr:uid="{F17A8793-B894-426A-967E-BB4ED0DF203F}"/>
    <cellStyle name="40% - Énfasis5 15" xfId="287" xr:uid="{00000000-0005-0000-0000-000024010000}"/>
    <cellStyle name="40% - Énfasis5 16" xfId="3117" xr:uid="{BEC6D50B-8DC9-4792-9CD1-FA99359848B1}"/>
    <cellStyle name="40% - Énfasis5 16 2" xfId="3555" xr:uid="{B1427979-5146-4C0E-A8F8-7E1308A98D30}"/>
    <cellStyle name="40% - Énfasis5 2" xfId="298" xr:uid="{00000000-0005-0000-0000-000025010000}"/>
    <cellStyle name="40% - Énfasis5 2 2" xfId="299" xr:uid="{00000000-0005-0000-0000-000026010000}"/>
    <cellStyle name="40% - Énfasis5 2 2 2" xfId="3405" xr:uid="{518AE02E-388E-48F2-BA97-3980782B2F09}"/>
    <cellStyle name="40% - Énfasis5 2 3" xfId="3404" xr:uid="{455BB764-EA7D-40C6-A7D3-5F45EDC304D0}"/>
    <cellStyle name="40% - Énfasis5 3" xfId="300" xr:uid="{00000000-0005-0000-0000-000027010000}"/>
    <cellStyle name="40% - Énfasis5 3 2" xfId="301" xr:uid="{00000000-0005-0000-0000-000028010000}"/>
    <cellStyle name="40% - Énfasis5 3 2 2" xfId="3407" xr:uid="{8296B26A-908C-406A-8B31-79D5676407CB}"/>
    <cellStyle name="40% - Énfasis5 3 3" xfId="3406" xr:uid="{EDDA3B9E-1BEF-453D-8587-52D179A90504}"/>
    <cellStyle name="40% - Énfasis5 4" xfId="302" xr:uid="{00000000-0005-0000-0000-000029010000}"/>
    <cellStyle name="40% - Énfasis5 4 2" xfId="303" xr:uid="{00000000-0005-0000-0000-00002A010000}"/>
    <cellStyle name="40% - Énfasis5 4 2 2" xfId="3409" xr:uid="{AB8FF8EE-BF52-4BE9-81F4-31BD63AC411D}"/>
    <cellStyle name="40% - Énfasis5 4 3" xfId="3408" xr:uid="{6EA5FD45-1149-472C-978C-9F728902590A}"/>
    <cellStyle name="40% - Énfasis5 5" xfId="304" xr:uid="{00000000-0005-0000-0000-00002B010000}"/>
    <cellStyle name="40% - Énfasis5 5 2" xfId="305" xr:uid="{00000000-0005-0000-0000-00002C010000}"/>
    <cellStyle name="40% - Énfasis5 5 2 2" xfId="3411" xr:uid="{25366D67-5848-43C6-A34B-B52BB2B94A46}"/>
    <cellStyle name="40% - Énfasis5 5 3" xfId="3410" xr:uid="{E20D7847-359A-45A1-B34E-05E9FC02A5F3}"/>
    <cellStyle name="40% - Énfasis5 6" xfId="306" xr:uid="{00000000-0005-0000-0000-00002D010000}"/>
    <cellStyle name="40% - Énfasis5 6 2" xfId="307" xr:uid="{00000000-0005-0000-0000-00002E010000}"/>
    <cellStyle name="40% - Énfasis5 6 2 2" xfId="3413" xr:uid="{2A991D9F-A578-428C-BF08-CD82710E60B5}"/>
    <cellStyle name="40% - Énfasis5 6 3" xfId="3412" xr:uid="{3F72BD85-F8D4-4A0F-B05F-373ED183FFDB}"/>
    <cellStyle name="40% - Énfasis5 7" xfId="308" xr:uid="{00000000-0005-0000-0000-00002F010000}"/>
    <cellStyle name="40% - Énfasis5 7 2" xfId="309" xr:uid="{00000000-0005-0000-0000-000030010000}"/>
    <cellStyle name="40% - Énfasis5 7 2 2" xfId="3415" xr:uid="{B28A37B7-5BCC-4F54-B491-63B5BD4DD64A}"/>
    <cellStyle name="40% - Énfasis5 7 3" xfId="3414" xr:uid="{4F3A93A9-6D42-4D3C-BDCA-0D0D65878DC2}"/>
    <cellStyle name="40% - Énfasis5 8" xfId="310" xr:uid="{00000000-0005-0000-0000-000031010000}"/>
    <cellStyle name="40% - Énfasis5 8 2" xfId="311" xr:uid="{00000000-0005-0000-0000-000032010000}"/>
    <cellStyle name="40% - Énfasis5 8 2 2" xfId="3417" xr:uid="{C1E114B5-69E3-480B-85CC-D0B8CBCD1149}"/>
    <cellStyle name="40% - Énfasis5 8 3" xfId="3416" xr:uid="{7DAE838C-28BD-442E-B348-0C09CC1B9016}"/>
    <cellStyle name="40% - Énfasis5 9" xfId="312" xr:uid="{00000000-0005-0000-0000-000033010000}"/>
    <cellStyle name="40% - Énfasis5 9 2" xfId="313" xr:uid="{00000000-0005-0000-0000-000034010000}"/>
    <cellStyle name="40% - Énfasis5 9 2 2" xfId="3419" xr:uid="{070E24EA-C2DD-48FF-992F-FEC8A72E4F66}"/>
    <cellStyle name="40% - Énfasis5 9 3" xfId="3418" xr:uid="{AC165636-E1BC-4137-A038-F574D243D1AD}"/>
    <cellStyle name="40% - Énfasis6 10" xfId="315" xr:uid="{00000000-0005-0000-0000-000035010000}"/>
    <cellStyle name="40% - Énfasis6 10 2" xfId="316" xr:uid="{00000000-0005-0000-0000-000036010000}"/>
    <cellStyle name="40% - Énfasis6 10 2 2" xfId="3421" xr:uid="{2C570473-FE2D-4BD3-8357-9E5E69EAE424}"/>
    <cellStyle name="40% - Énfasis6 10 3" xfId="3420" xr:uid="{4F777046-834A-4860-97B4-E8D6C9ECBC84}"/>
    <cellStyle name="40% - Énfasis6 11" xfId="317" xr:uid="{00000000-0005-0000-0000-000037010000}"/>
    <cellStyle name="40% - Énfasis6 11 2" xfId="318" xr:uid="{00000000-0005-0000-0000-000038010000}"/>
    <cellStyle name="40% - Énfasis6 11 2 2" xfId="3423" xr:uid="{6A2469B8-CBF8-4FFA-86C6-863A0B62915B}"/>
    <cellStyle name="40% - Énfasis6 11 3" xfId="3422" xr:uid="{21D89044-1A18-49C4-900F-A21B814D423D}"/>
    <cellStyle name="40% - Énfasis6 12" xfId="319" xr:uid="{00000000-0005-0000-0000-000039010000}"/>
    <cellStyle name="40% - Énfasis6 12 2" xfId="320" xr:uid="{00000000-0005-0000-0000-00003A010000}"/>
    <cellStyle name="40% - Énfasis6 12 2 2" xfId="3425" xr:uid="{81C1C89F-B09F-4C6C-BE8A-1FFE9FBFEEC2}"/>
    <cellStyle name="40% - Énfasis6 12 3" xfId="3424" xr:uid="{73BB1B04-72AB-4B25-AB8C-C200F31D1891}"/>
    <cellStyle name="40% - Énfasis6 13" xfId="321" xr:uid="{00000000-0005-0000-0000-00003B010000}"/>
    <cellStyle name="40% - Énfasis6 13 2" xfId="322" xr:uid="{00000000-0005-0000-0000-00003C010000}"/>
    <cellStyle name="40% - Énfasis6 13 2 2" xfId="3427" xr:uid="{ACF3BD54-4F5D-452F-909D-49924C269D43}"/>
    <cellStyle name="40% - Énfasis6 13 3" xfId="3426" xr:uid="{1EE915AF-C6E2-4EE0-A561-B084A515F3AF}"/>
    <cellStyle name="40% - Énfasis6 14" xfId="323" xr:uid="{00000000-0005-0000-0000-00003D010000}"/>
    <cellStyle name="40% - Énfasis6 14 2" xfId="324" xr:uid="{00000000-0005-0000-0000-00003E010000}"/>
    <cellStyle name="40% - Énfasis6 14 2 2" xfId="3429" xr:uid="{5337E1FE-2603-4325-AE31-8A0352903E19}"/>
    <cellStyle name="40% - Énfasis6 14 3" xfId="3428" xr:uid="{42EE657B-A98F-4156-8FD8-97ED94981CBA}"/>
    <cellStyle name="40% - Énfasis6 15" xfId="314" xr:uid="{00000000-0005-0000-0000-00003F010000}"/>
    <cellStyle name="40% - Énfasis6 16" xfId="3120" xr:uid="{DAB3A215-CDD9-4336-A33B-BC82F515F680}"/>
    <cellStyle name="40% - Énfasis6 16 2" xfId="3558" xr:uid="{15AC2AC0-49F3-4FB1-8786-3C359CB79237}"/>
    <cellStyle name="40% - Énfasis6 2" xfId="325" xr:uid="{00000000-0005-0000-0000-000040010000}"/>
    <cellStyle name="40% - Énfasis6 2 2" xfId="326" xr:uid="{00000000-0005-0000-0000-000041010000}"/>
    <cellStyle name="40% - Énfasis6 2 2 2" xfId="3431" xr:uid="{26613564-E734-44E0-80E3-1D873DFAF34F}"/>
    <cellStyle name="40% - Énfasis6 2 3" xfId="3430" xr:uid="{58493865-AD44-49F9-B87D-4DBD4C66132B}"/>
    <cellStyle name="40% - Énfasis6 3" xfId="327" xr:uid="{00000000-0005-0000-0000-000042010000}"/>
    <cellStyle name="40% - Énfasis6 3 2" xfId="328" xr:uid="{00000000-0005-0000-0000-000043010000}"/>
    <cellStyle name="40% - Énfasis6 3 2 2" xfId="3433" xr:uid="{06A4E60C-EC8A-41F0-8BE5-EA544ABD00DE}"/>
    <cellStyle name="40% - Énfasis6 3 3" xfId="3432" xr:uid="{08D00802-656A-47DC-86FC-A4282BB11C86}"/>
    <cellStyle name="40% - Énfasis6 4" xfId="329" xr:uid="{00000000-0005-0000-0000-000044010000}"/>
    <cellStyle name="40% - Énfasis6 4 2" xfId="330" xr:uid="{00000000-0005-0000-0000-000045010000}"/>
    <cellStyle name="40% - Énfasis6 4 2 2" xfId="3435" xr:uid="{5C737403-3206-4CC6-B48C-729C9562FA99}"/>
    <cellStyle name="40% - Énfasis6 4 3" xfId="3434" xr:uid="{A8F8556F-43C2-4828-B747-7F68AE580201}"/>
    <cellStyle name="40% - Énfasis6 5" xfId="331" xr:uid="{00000000-0005-0000-0000-000046010000}"/>
    <cellStyle name="40% - Énfasis6 5 2" xfId="332" xr:uid="{00000000-0005-0000-0000-000047010000}"/>
    <cellStyle name="40% - Énfasis6 5 2 2" xfId="3437" xr:uid="{574FF6C7-8BCB-4141-B1CF-7CBA40A4DF10}"/>
    <cellStyle name="40% - Énfasis6 5 3" xfId="3436" xr:uid="{E92D56E4-1E20-4CE1-9AFB-739136C60AB8}"/>
    <cellStyle name="40% - Énfasis6 6" xfId="333" xr:uid="{00000000-0005-0000-0000-000048010000}"/>
    <cellStyle name="40% - Énfasis6 6 2" xfId="334" xr:uid="{00000000-0005-0000-0000-000049010000}"/>
    <cellStyle name="40% - Énfasis6 6 2 2" xfId="3439" xr:uid="{CE7B98C6-085F-46C7-9D74-700CBF3CC81C}"/>
    <cellStyle name="40% - Énfasis6 6 3" xfId="3438" xr:uid="{8EF90350-FE1B-4C88-92DA-C6729B0A1B34}"/>
    <cellStyle name="40% - Énfasis6 7" xfId="335" xr:uid="{00000000-0005-0000-0000-00004A010000}"/>
    <cellStyle name="40% - Énfasis6 7 2" xfId="336" xr:uid="{00000000-0005-0000-0000-00004B010000}"/>
    <cellStyle name="40% - Énfasis6 7 2 2" xfId="3441" xr:uid="{FE41BED4-B6B8-4DD8-BC68-622B761A863E}"/>
    <cellStyle name="40% - Énfasis6 7 3" xfId="3440" xr:uid="{4CBBE9DD-F634-4DDC-8B85-B7F6E9C002D6}"/>
    <cellStyle name="40% - Énfasis6 8" xfId="337" xr:uid="{00000000-0005-0000-0000-00004C010000}"/>
    <cellStyle name="40% - Énfasis6 8 2" xfId="338" xr:uid="{00000000-0005-0000-0000-00004D010000}"/>
    <cellStyle name="40% - Énfasis6 8 2 2" xfId="3443" xr:uid="{9D0B8586-7D6E-4F6F-B547-A1AF5660AA71}"/>
    <cellStyle name="40% - Énfasis6 8 3" xfId="3442" xr:uid="{8A9E8C55-81E9-4905-8C12-48DBA7B6A5D4}"/>
    <cellStyle name="40% - Énfasis6 9" xfId="339" xr:uid="{00000000-0005-0000-0000-00004E010000}"/>
    <cellStyle name="40% - Énfasis6 9 2" xfId="340" xr:uid="{00000000-0005-0000-0000-00004F010000}"/>
    <cellStyle name="40% - Énfasis6 9 2 2" xfId="3445" xr:uid="{2684E456-9EC5-4067-8D27-B6C30F67962A}"/>
    <cellStyle name="40% - Énfasis6 9 3" xfId="3444" xr:uid="{74D37A3F-3FCF-45D7-91BF-CA5D460AF683}"/>
    <cellStyle name="60% - Accent1" xfId="341" xr:uid="{00000000-0005-0000-0000-000050010000}"/>
    <cellStyle name="60% - Accent2" xfId="342" xr:uid="{00000000-0005-0000-0000-000051010000}"/>
    <cellStyle name="60% - Accent3" xfId="343" xr:uid="{00000000-0005-0000-0000-000052010000}"/>
    <cellStyle name="60% - Accent4" xfId="344" xr:uid="{00000000-0005-0000-0000-000053010000}"/>
    <cellStyle name="60% - Accent5" xfId="345" xr:uid="{00000000-0005-0000-0000-000054010000}"/>
    <cellStyle name="60% - Accent6" xfId="346" xr:uid="{00000000-0005-0000-0000-000055010000}"/>
    <cellStyle name="60% - Énfasis1 10" xfId="348" xr:uid="{00000000-0005-0000-0000-000056010000}"/>
    <cellStyle name="60% - Énfasis1 10 2" xfId="349" xr:uid="{00000000-0005-0000-0000-000057010000}"/>
    <cellStyle name="60% - Énfasis1 11" xfId="350" xr:uid="{00000000-0005-0000-0000-000058010000}"/>
    <cellStyle name="60% - Énfasis1 11 2" xfId="351" xr:uid="{00000000-0005-0000-0000-000059010000}"/>
    <cellStyle name="60% - Énfasis1 12" xfId="352" xr:uid="{00000000-0005-0000-0000-00005A010000}"/>
    <cellStyle name="60% - Énfasis1 12 2" xfId="353" xr:uid="{00000000-0005-0000-0000-00005B010000}"/>
    <cellStyle name="60% - Énfasis1 13" xfId="354" xr:uid="{00000000-0005-0000-0000-00005C010000}"/>
    <cellStyle name="60% - Énfasis1 13 2" xfId="355" xr:uid="{00000000-0005-0000-0000-00005D010000}"/>
    <cellStyle name="60% - Énfasis1 14" xfId="356" xr:uid="{00000000-0005-0000-0000-00005E010000}"/>
    <cellStyle name="60% - Énfasis1 14 2" xfId="357" xr:uid="{00000000-0005-0000-0000-00005F010000}"/>
    <cellStyle name="60% - Énfasis1 15" xfId="347" xr:uid="{00000000-0005-0000-0000-000060010000}"/>
    <cellStyle name="60% - Énfasis1 16" xfId="3106" xr:uid="{A918A12C-FFA9-413D-A005-288B19D2E381}"/>
    <cellStyle name="60% - Énfasis1 16 2" xfId="3544" xr:uid="{85B5E56D-C51B-4777-A13E-9FC1B2A9E8A2}"/>
    <cellStyle name="60% - Énfasis1 2" xfId="358" xr:uid="{00000000-0005-0000-0000-000061010000}"/>
    <cellStyle name="60% - Énfasis1 2 2" xfId="359" xr:uid="{00000000-0005-0000-0000-000062010000}"/>
    <cellStyle name="60% - Énfasis1 3" xfId="360" xr:uid="{00000000-0005-0000-0000-000063010000}"/>
    <cellStyle name="60% - Énfasis1 3 2" xfId="361" xr:uid="{00000000-0005-0000-0000-000064010000}"/>
    <cellStyle name="60% - Énfasis1 4" xfId="362" xr:uid="{00000000-0005-0000-0000-000065010000}"/>
    <cellStyle name="60% - Énfasis1 4 2" xfId="363" xr:uid="{00000000-0005-0000-0000-000066010000}"/>
    <cellStyle name="60% - Énfasis1 5" xfId="364" xr:uid="{00000000-0005-0000-0000-000067010000}"/>
    <cellStyle name="60% - Énfasis1 5 2" xfId="365" xr:uid="{00000000-0005-0000-0000-000068010000}"/>
    <cellStyle name="60% - Énfasis1 6" xfId="366" xr:uid="{00000000-0005-0000-0000-000069010000}"/>
    <cellStyle name="60% - Énfasis1 6 2" xfId="367" xr:uid="{00000000-0005-0000-0000-00006A010000}"/>
    <cellStyle name="60% - Énfasis1 7" xfId="368" xr:uid="{00000000-0005-0000-0000-00006B010000}"/>
    <cellStyle name="60% - Énfasis1 7 2" xfId="369" xr:uid="{00000000-0005-0000-0000-00006C010000}"/>
    <cellStyle name="60% - Énfasis1 8" xfId="370" xr:uid="{00000000-0005-0000-0000-00006D010000}"/>
    <cellStyle name="60% - Énfasis1 8 2" xfId="371" xr:uid="{00000000-0005-0000-0000-00006E010000}"/>
    <cellStyle name="60% - Énfasis1 9" xfId="372" xr:uid="{00000000-0005-0000-0000-00006F010000}"/>
    <cellStyle name="60% - Énfasis1 9 2" xfId="373" xr:uid="{00000000-0005-0000-0000-000070010000}"/>
    <cellStyle name="60% - Énfasis2 10" xfId="375" xr:uid="{00000000-0005-0000-0000-000071010000}"/>
    <cellStyle name="60% - Énfasis2 10 2" xfId="376" xr:uid="{00000000-0005-0000-0000-000072010000}"/>
    <cellStyle name="60% - Énfasis2 11" xfId="377" xr:uid="{00000000-0005-0000-0000-000073010000}"/>
    <cellStyle name="60% - Énfasis2 11 2" xfId="378" xr:uid="{00000000-0005-0000-0000-000074010000}"/>
    <cellStyle name="60% - Énfasis2 12" xfId="379" xr:uid="{00000000-0005-0000-0000-000075010000}"/>
    <cellStyle name="60% - Énfasis2 12 2" xfId="380" xr:uid="{00000000-0005-0000-0000-000076010000}"/>
    <cellStyle name="60% - Énfasis2 13" xfId="381" xr:uid="{00000000-0005-0000-0000-000077010000}"/>
    <cellStyle name="60% - Énfasis2 13 2" xfId="382" xr:uid="{00000000-0005-0000-0000-000078010000}"/>
    <cellStyle name="60% - Énfasis2 14" xfId="383" xr:uid="{00000000-0005-0000-0000-000079010000}"/>
    <cellStyle name="60% - Énfasis2 14 2" xfId="384" xr:uid="{00000000-0005-0000-0000-00007A010000}"/>
    <cellStyle name="60% - Énfasis2 15" xfId="374" xr:uid="{00000000-0005-0000-0000-00007B010000}"/>
    <cellStyle name="60% - Énfasis2 16" xfId="3109" xr:uid="{D96468D2-4C33-4FEA-AEA4-5E7FE308A1CD}"/>
    <cellStyle name="60% - Énfasis2 16 2" xfId="3547" xr:uid="{4A6B6D8C-2D06-4D3D-8000-F432D0F8B17E}"/>
    <cellStyle name="60% - Énfasis2 2" xfId="385" xr:uid="{00000000-0005-0000-0000-00007C010000}"/>
    <cellStyle name="60% - Énfasis2 2 2" xfId="386" xr:uid="{00000000-0005-0000-0000-00007D010000}"/>
    <cellStyle name="60% - Énfasis2 3" xfId="387" xr:uid="{00000000-0005-0000-0000-00007E010000}"/>
    <cellStyle name="60% - Énfasis2 3 2" xfId="388" xr:uid="{00000000-0005-0000-0000-00007F010000}"/>
    <cellStyle name="60% - Énfasis2 4" xfId="389" xr:uid="{00000000-0005-0000-0000-000080010000}"/>
    <cellStyle name="60% - Énfasis2 4 2" xfId="390" xr:uid="{00000000-0005-0000-0000-000081010000}"/>
    <cellStyle name="60% - Énfasis2 5" xfId="391" xr:uid="{00000000-0005-0000-0000-000082010000}"/>
    <cellStyle name="60% - Énfasis2 5 2" xfId="392" xr:uid="{00000000-0005-0000-0000-000083010000}"/>
    <cellStyle name="60% - Énfasis2 6" xfId="393" xr:uid="{00000000-0005-0000-0000-000084010000}"/>
    <cellStyle name="60% - Énfasis2 6 2" xfId="394" xr:uid="{00000000-0005-0000-0000-000085010000}"/>
    <cellStyle name="60% - Énfasis2 7" xfId="395" xr:uid="{00000000-0005-0000-0000-000086010000}"/>
    <cellStyle name="60% - Énfasis2 7 2" xfId="396" xr:uid="{00000000-0005-0000-0000-000087010000}"/>
    <cellStyle name="60% - Énfasis2 8" xfId="397" xr:uid="{00000000-0005-0000-0000-000088010000}"/>
    <cellStyle name="60% - Énfasis2 8 2" xfId="398" xr:uid="{00000000-0005-0000-0000-000089010000}"/>
    <cellStyle name="60% - Énfasis2 9" xfId="399" xr:uid="{00000000-0005-0000-0000-00008A010000}"/>
    <cellStyle name="60% - Énfasis2 9 2" xfId="400" xr:uid="{00000000-0005-0000-0000-00008B010000}"/>
    <cellStyle name="60% - Énfasis3 10" xfId="402" xr:uid="{00000000-0005-0000-0000-00008C010000}"/>
    <cellStyle name="60% - Énfasis3 10 2" xfId="403" xr:uid="{00000000-0005-0000-0000-00008D010000}"/>
    <cellStyle name="60% - Énfasis3 11" xfId="404" xr:uid="{00000000-0005-0000-0000-00008E010000}"/>
    <cellStyle name="60% - Énfasis3 11 2" xfId="405" xr:uid="{00000000-0005-0000-0000-00008F010000}"/>
    <cellStyle name="60% - Énfasis3 12" xfId="406" xr:uid="{00000000-0005-0000-0000-000090010000}"/>
    <cellStyle name="60% - Énfasis3 12 2" xfId="407" xr:uid="{00000000-0005-0000-0000-000091010000}"/>
    <cellStyle name="60% - Énfasis3 13" xfId="408" xr:uid="{00000000-0005-0000-0000-000092010000}"/>
    <cellStyle name="60% - Énfasis3 13 2" xfId="409" xr:uid="{00000000-0005-0000-0000-000093010000}"/>
    <cellStyle name="60% - Énfasis3 14" xfId="410" xr:uid="{00000000-0005-0000-0000-000094010000}"/>
    <cellStyle name="60% - Énfasis3 14 2" xfId="411" xr:uid="{00000000-0005-0000-0000-000095010000}"/>
    <cellStyle name="60% - Énfasis3 15" xfId="401" xr:uid="{00000000-0005-0000-0000-000096010000}"/>
    <cellStyle name="60% - Énfasis3 16" xfId="3112" xr:uid="{2887A0CF-3B19-45DA-9E7C-CC3442ABE0D8}"/>
    <cellStyle name="60% - Énfasis3 16 2" xfId="3550" xr:uid="{5B0C15A3-5AC5-4C01-9EA9-0FA3E3100029}"/>
    <cellStyle name="60% - Énfasis3 2" xfId="412" xr:uid="{00000000-0005-0000-0000-000097010000}"/>
    <cellStyle name="60% - Énfasis3 2 2" xfId="413" xr:uid="{00000000-0005-0000-0000-000098010000}"/>
    <cellStyle name="60% - Énfasis3 3" xfId="414" xr:uid="{00000000-0005-0000-0000-000099010000}"/>
    <cellStyle name="60% - Énfasis3 3 2" xfId="415" xr:uid="{00000000-0005-0000-0000-00009A010000}"/>
    <cellStyle name="60% - Énfasis3 4" xfId="416" xr:uid="{00000000-0005-0000-0000-00009B010000}"/>
    <cellStyle name="60% - Énfasis3 4 2" xfId="417" xr:uid="{00000000-0005-0000-0000-00009C010000}"/>
    <cellStyle name="60% - Énfasis3 5" xfId="418" xr:uid="{00000000-0005-0000-0000-00009D010000}"/>
    <cellStyle name="60% - Énfasis3 5 2" xfId="419" xr:uid="{00000000-0005-0000-0000-00009E010000}"/>
    <cellStyle name="60% - Énfasis3 6" xfId="420" xr:uid="{00000000-0005-0000-0000-00009F010000}"/>
    <cellStyle name="60% - Énfasis3 6 2" xfId="421" xr:uid="{00000000-0005-0000-0000-0000A0010000}"/>
    <cellStyle name="60% - Énfasis3 7" xfId="422" xr:uid="{00000000-0005-0000-0000-0000A1010000}"/>
    <cellStyle name="60% - Énfasis3 7 2" xfId="423" xr:uid="{00000000-0005-0000-0000-0000A2010000}"/>
    <cellStyle name="60% - Énfasis3 8" xfId="424" xr:uid="{00000000-0005-0000-0000-0000A3010000}"/>
    <cellStyle name="60% - Énfasis3 8 2" xfId="425" xr:uid="{00000000-0005-0000-0000-0000A4010000}"/>
    <cellStyle name="60% - Énfasis3 9" xfId="426" xr:uid="{00000000-0005-0000-0000-0000A5010000}"/>
    <cellStyle name="60% - Énfasis3 9 2" xfId="427" xr:uid="{00000000-0005-0000-0000-0000A6010000}"/>
    <cellStyle name="60% - Énfasis4 10" xfId="429" xr:uid="{00000000-0005-0000-0000-0000A7010000}"/>
    <cellStyle name="60% - Énfasis4 10 2" xfId="430" xr:uid="{00000000-0005-0000-0000-0000A8010000}"/>
    <cellStyle name="60% - Énfasis4 11" xfId="431" xr:uid="{00000000-0005-0000-0000-0000A9010000}"/>
    <cellStyle name="60% - Énfasis4 11 2" xfId="432" xr:uid="{00000000-0005-0000-0000-0000AA010000}"/>
    <cellStyle name="60% - Énfasis4 12" xfId="433" xr:uid="{00000000-0005-0000-0000-0000AB010000}"/>
    <cellStyle name="60% - Énfasis4 12 2" xfId="434" xr:uid="{00000000-0005-0000-0000-0000AC010000}"/>
    <cellStyle name="60% - Énfasis4 13" xfId="435" xr:uid="{00000000-0005-0000-0000-0000AD010000}"/>
    <cellStyle name="60% - Énfasis4 13 2" xfId="436" xr:uid="{00000000-0005-0000-0000-0000AE010000}"/>
    <cellStyle name="60% - Énfasis4 14" xfId="437" xr:uid="{00000000-0005-0000-0000-0000AF010000}"/>
    <cellStyle name="60% - Énfasis4 14 2" xfId="438" xr:uid="{00000000-0005-0000-0000-0000B0010000}"/>
    <cellStyle name="60% - Énfasis4 15" xfId="428" xr:uid="{00000000-0005-0000-0000-0000B1010000}"/>
    <cellStyle name="60% - Énfasis4 16" xfId="3115" xr:uid="{8C692496-793A-4B0A-873C-5BF37A2924D8}"/>
    <cellStyle name="60% - Énfasis4 16 2" xfId="3553" xr:uid="{C02BD03A-2774-49FD-ADCC-F13D911D74BE}"/>
    <cellStyle name="60% - Énfasis4 2" xfId="439" xr:uid="{00000000-0005-0000-0000-0000B2010000}"/>
    <cellStyle name="60% - Énfasis4 2 2" xfId="440" xr:uid="{00000000-0005-0000-0000-0000B3010000}"/>
    <cellStyle name="60% - Énfasis4 3" xfId="441" xr:uid="{00000000-0005-0000-0000-0000B4010000}"/>
    <cellStyle name="60% - Énfasis4 3 2" xfId="442" xr:uid="{00000000-0005-0000-0000-0000B5010000}"/>
    <cellStyle name="60% - Énfasis4 4" xfId="443" xr:uid="{00000000-0005-0000-0000-0000B6010000}"/>
    <cellStyle name="60% - Énfasis4 4 2" xfId="444" xr:uid="{00000000-0005-0000-0000-0000B7010000}"/>
    <cellStyle name="60% - Énfasis4 5" xfId="445" xr:uid="{00000000-0005-0000-0000-0000B8010000}"/>
    <cellStyle name="60% - Énfasis4 5 2" xfId="446" xr:uid="{00000000-0005-0000-0000-0000B9010000}"/>
    <cellStyle name="60% - Énfasis4 6" xfId="447" xr:uid="{00000000-0005-0000-0000-0000BA010000}"/>
    <cellStyle name="60% - Énfasis4 6 2" xfId="448" xr:uid="{00000000-0005-0000-0000-0000BB010000}"/>
    <cellStyle name="60% - Énfasis4 7" xfId="449" xr:uid="{00000000-0005-0000-0000-0000BC010000}"/>
    <cellStyle name="60% - Énfasis4 7 2" xfId="450" xr:uid="{00000000-0005-0000-0000-0000BD010000}"/>
    <cellStyle name="60% - Énfasis4 8" xfId="451" xr:uid="{00000000-0005-0000-0000-0000BE010000}"/>
    <cellStyle name="60% - Énfasis4 8 2" xfId="452" xr:uid="{00000000-0005-0000-0000-0000BF010000}"/>
    <cellStyle name="60% - Énfasis4 9" xfId="453" xr:uid="{00000000-0005-0000-0000-0000C0010000}"/>
    <cellStyle name="60% - Énfasis4 9 2" xfId="454" xr:uid="{00000000-0005-0000-0000-0000C1010000}"/>
    <cellStyle name="60% - Énfasis5 10" xfId="456" xr:uid="{00000000-0005-0000-0000-0000C2010000}"/>
    <cellStyle name="60% - Énfasis5 10 2" xfId="457" xr:uid="{00000000-0005-0000-0000-0000C3010000}"/>
    <cellStyle name="60% - Énfasis5 11" xfId="458" xr:uid="{00000000-0005-0000-0000-0000C4010000}"/>
    <cellStyle name="60% - Énfasis5 11 2" xfId="459" xr:uid="{00000000-0005-0000-0000-0000C5010000}"/>
    <cellStyle name="60% - Énfasis5 12" xfId="460" xr:uid="{00000000-0005-0000-0000-0000C6010000}"/>
    <cellStyle name="60% - Énfasis5 12 2" xfId="461" xr:uid="{00000000-0005-0000-0000-0000C7010000}"/>
    <cellStyle name="60% - Énfasis5 13" xfId="462" xr:uid="{00000000-0005-0000-0000-0000C8010000}"/>
    <cellStyle name="60% - Énfasis5 13 2" xfId="463" xr:uid="{00000000-0005-0000-0000-0000C9010000}"/>
    <cellStyle name="60% - Énfasis5 14" xfId="464" xr:uid="{00000000-0005-0000-0000-0000CA010000}"/>
    <cellStyle name="60% - Énfasis5 14 2" xfId="465" xr:uid="{00000000-0005-0000-0000-0000CB010000}"/>
    <cellStyle name="60% - Énfasis5 15" xfId="455" xr:uid="{00000000-0005-0000-0000-0000CC010000}"/>
    <cellStyle name="60% - Énfasis5 16" xfId="3118" xr:uid="{B68DBFB2-EC57-47FA-82B3-6C93B7C7D553}"/>
    <cellStyle name="60% - Énfasis5 16 2" xfId="3556" xr:uid="{197561EC-C222-42B9-838C-8A079FA89364}"/>
    <cellStyle name="60% - Énfasis5 2" xfId="466" xr:uid="{00000000-0005-0000-0000-0000CD010000}"/>
    <cellStyle name="60% - Énfasis5 2 2" xfId="467" xr:uid="{00000000-0005-0000-0000-0000CE010000}"/>
    <cellStyle name="60% - Énfasis5 3" xfId="468" xr:uid="{00000000-0005-0000-0000-0000CF010000}"/>
    <cellStyle name="60% - Énfasis5 3 2" xfId="469" xr:uid="{00000000-0005-0000-0000-0000D0010000}"/>
    <cellStyle name="60% - Énfasis5 4" xfId="470" xr:uid="{00000000-0005-0000-0000-0000D1010000}"/>
    <cellStyle name="60% - Énfasis5 4 2" xfId="471" xr:uid="{00000000-0005-0000-0000-0000D2010000}"/>
    <cellStyle name="60% - Énfasis5 5" xfId="472" xr:uid="{00000000-0005-0000-0000-0000D3010000}"/>
    <cellStyle name="60% - Énfasis5 5 2" xfId="473" xr:uid="{00000000-0005-0000-0000-0000D4010000}"/>
    <cellStyle name="60% - Énfasis5 6" xfId="474" xr:uid="{00000000-0005-0000-0000-0000D5010000}"/>
    <cellStyle name="60% - Énfasis5 6 2" xfId="475" xr:uid="{00000000-0005-0000-0000-0000D6010000}"/>
    <cellStyle name="60% - Énfasis5 7" xfId="476" xr:uid="{00000000-0005-0000-0000-0000D7010000}"/>
    <cellStyle name="60% - Énfasis5 7 2" xfId="477" xr:uid="{00000000-0005-0000-0000-0000D8010000}"/>
    <cellStyle name="60% - Énfasis5 8" xfId="478" xr:uid="{00000000-0005-0000-0000-0000D9010000}"/>
    <cellStyle name="60% - Énfasis5 8 2" xfId="479" xr:uid="{00000000-0005-0000-0000-0000DA010000}"/>
    <cellStyle name="60% - Énfasis5 9" xfId="480" xr:uid="{00000000-0005-0000-0000-0000DB010000}"/>
    <cellStyle name="60% - Énfasis5 9 2" xfId="481" xr:uid="{00000000-0005-0000-0000-0000DC010000}"/>
    <cellStyle name="60% - Énfasis6 10" xfId="483" xr:uid="{00000000-0005-0000-0000-0000DD010000}"/>
    <cellStyle name="60% - Énfasis6 10 2" xfId="484" xr:uid="{00000000-0005-0000-0000-0000DE010000}"/>
    <cellStyle name="60% - Énfasis6 11" xfId="485" xr:uid="{00000000-0005-0000-0000-0000DF010000}"/>
    <cellStyle name="60% - Énfasis6 11 2" xfId="486" xr:uid="{00000000-0005-0000-0000-0000E0010000}"/>
    <cellStyle name="60% - Énfasis6 12" xfId="487" xr:uid="{00000000-0005-0000-0000-0000E1010000}"/>
    <cellStyle name="60% - Énfasis6 12 2" xfId="488" xr:uid="{00000000-0005-0000-0000-0000E2010000}"/>
    <cellStyle name="60% - Énfasis6 13" xfId="489" xr:uid="{00000000-0005-0000-0000-0000E3010000}"/>
    <cellStyle name="60% - Énfasis6 13 2" xfId="490" xr:uid="{00000000-0005-0000-0000-0000E4010000}"/>
    <cellStyle name="60% - Énfasis6 14" xfId="491" xr:uid="{00000000-0005-0000-0000-0000E5010000}"/>
    <cellStyle name="60% - Énfasis6 14 2" xfId="492" xr:uid="{00000000-0005-0000-0000-0000E6010000}"/>
    <cellStyle name="60% - Énfasis6 15" xfId="482" xr:uid="{00000000-0005-0000-0000-0000E7010000}"/>
    <cellStyle name="60% - Énfasis6 16" xfId="3121" xr:uid="{693FDBA6-2DE3-4ABC-8DD3-BA0FE4E68FD7}"/>
    <cellStyle name="60% - Énfasis6 16 2" xfId="3559" xr:uid="{D57F3294-EF6D-482D-9BF4-BC79C1D4F79A}"/>
    <cellStyle name="60% - Énfasis6 2" xfId="493" xr:uid="{00000000-0005-0000-0000-0000E8010000}"/>
    <cellStyle name="60% - Énfasis6 2 2" xfId="494" xr:uid="{00000000-0005-0000-0000-0000E9010000}"/>
    <cellStyle name="60% - Énfasis6 3" xfId="495" xr:uid="{00000000-0005-0000-0000-0000EA010000}"/>
    <cellStyle name="60% - Énfasis6 3 2" xfId="496" xr:uid="{00000000-0005-0000-0000-0000EB010000}"/>
    <cellStyle name="60% - Énfasis6 4" xfId="497" xr:uid="{00000000-0005-0000-0000-0000EC010000}"/>
    <cellStyle name="60% - Énfasis6 4 2" xfId="498" xr:uid="{00000000-0005-0000-0000-0000ED010000}"/>
    <cellStyle name="60% - Énfasis6 5" xfId="499" xr:uid="{00000000-0005-0000-0000-0000EE010000}"/>
    <cellStyle name="60% - Énfasis6 5 2" xfId="500" xr:uid="{00000000-0005-0000-0000-0000EF010000}"/>
    <cellStyle name="60% - Énfasis6 6" xfId="501" xr:uid="{00000000-0005-0000-0000-0000F0010000}"/>
    <cellStyle name="60% - Énfasis6 6 2" xfId="502" xr:uid="{00000000-0005-0000-0000-0000F1010000}"/>
    <cellStyle name="60% - Énfasis6 7" xfId="503" xr:uid="{00000000-0005-0000-0000-0000F2010000}"/>
    <cellStyle name="60% - Énfasis6 7 2" xfId="504" xr:uid="{00000000-0005-0000-0000-0000F3010000}"/>
    <cellStyle name="60% - Énfasis6 8" xfId="505" xr:uid="{00000000-0005-0000-0000-0000F4010000}"/>
    <cellStyle name="60% - Énfasis6 8 2" xfId="506" xr:uid="{00000000-0005-0000-0000-0000F5010000}"/>
    <cellStyle name="60% - Énfasis6 9" xfId="507" xr:uid="{00000000-0005-0000-0000-0000F6010000}"/>
    <cellStyle name="60% - Énfasis6 9 2" xfId="508" xr:uid="{00000000-0005-0000-0000-0000F7010000}"/>
    <cellStyle name="Accent1" xfId="509" xr:uid="{00000000-0005-0000-0000-0000F8010000}"/>
    <cellStyle name="Accent2" xfId="510" xr:uid="{00000000-0005-0000-0000-0000F9010000}"/>
    <cellStyle name="Accent3" xfId="511" xr:uid="{00000000-0005-0000-0000-0000FA010000}"/>
    <cellStyle name="Accent4" xfId="512" xr:uid="{00000000-0005-0000-0000-0000FB010000}"/>
    <cellStyle name="Accent5" xfId="513" xr:uid="{00000000-0005-0000-0000-0000FC010000}"/>
    <cellStyle name="Accent6" xfId="514" xr:uid="{00000000-0005-0000-0000-0000FD010000}"/>
    <cellStyle name="Bad" xfId="515" xr:uid="{00000000-0005-0000-0000-0000FE010000}"/>
    <cellStyle name="Buena 10" xfId="517" xr:uid="{00000000-0005-0000-0000-0000FF010000}"/>
    <cellStyle name="Buena 10 2" xfId="518" xr:uid="{00000000-0005-0000-0000-000000020000}"/>
    <cellStyle name="Buena 11" xfId="519" xr:uid="{00000000-0005-0000-0000-000001020000}"/>
    <cellStyle name="Buena 11 2" xfId="520" xr:uid="{00000000-0005-0000-0000-000002020000}"/>
    <cellStyle name="Buena 12" xfId="521" xr:uid="{00000000-0005-0000-0000-000003020000}"/>
    <cellStyle name="Buena 12 2" xfId="522" xr:uid="{00000000-0005-0000-0000-000004020000}"/>
    <cellStyle name="Buena 13" xfId="523" xr:uid="{00000000-0005-0000-0000-000005020000}"/>
    <cellStyle name="Buena 13 2" xfId="524" xr:uid="{00000000-0005-0000-0000-000006020000}"/>
    <cellStyle name="Buena 14" xfId="525" xr:uid="{00000000-0005-0000-0000-000007020000}"/>
    <cellStyle name="Buena 14 2" xfId="526" xr:uid="{00000000-0005-0000-0000-000008020000}"/>
    <cellStyle name="Buena 15" xfId="516" xr:uid="{00000000-0005-0000-0000-000009020000}"/>
    <cellStyle name="Buena 2" xfId="527" xr:uid="{00000000-0005-0000-0000-00000A020000}"/>
    <cellStyle name="Buena 2 2" xfId="528" xr:uid="{00000000-0005-0000-0000-00000B020000}"/>
    <cellStyle name="Buena 3" xfId="529" xr:uid="{00000000-0005-0000-0000-00000C020000}"/>
    <cellStyle name="Buena 3 2" xfId="530" xr:uid="{00000000-0005-0000-0000-00000D020000}"/>
    <cellStyle name="Buena 4" xfId="531" xr:uid="{00000000-0005-0000-0000-00000E020000}"/>
    <cellStyle name="Buena 4 2" xfId="532" xr:uid="{00000000-0005-0000-0000-00000F020000}"/>
    <cellStyle name="Buena 5" xfId="533" xr:uid="{00000000-0005-0000-0000-000010020000}"/>
    <cellStyle name="Buena 5 2" xfId="534" xr:uid="{00000000-0005-0000-0000-000011020000}"/>
    <cellStyle name="Buena 6" xfId="535" xr:uid="{00000000-0005-0000-0000-000012020000}"/>
    <cellStyle name="Buena 6 2" xfId="536" xr:uid="{00000000-0005-0000-0000-000013020000}"/>
    <cellStyle name="Buena 7" xfId="537" xr:uid="{00000000-0005-0000-0000-000014020000}"/>
    <cellStyle name="Buena 7 2" xfId="538" xr:uid="{00000000-0005-0000-0000-000015020000}"/>
    <cellStyle name="Buena 8" xfId="539" xr:uid="{00000000-0005-0000-0000-000016020000}"/>
    <cellStyle name="Buena 8 2" xfId="540" xr:uid="{00000000-0005-0000-0000-000017020000}"/>
    <cellStyle name="Buena 9" xfId="541" xr:uid="{00000000-0005-0000-0000-000018020000}"/>
    <cellStyle name="Buena 9 2" xfId="542" xr:uid="{00000000-0005-0000-0000-000019020000}"/>
    <cellStyle name="Bueno 2" xfId="1740" xr:uid="{00000000-0005-0000-0000-00001A020000}"/>
    <cellStyle name="Bueno 2 2" xfId="3101" xr:uid="{2117C172-F418-4C93-85C6-918E8818FA8E}"/>
    <cellStyle name="Calculation" xfId="543" xr:uid="{00000000-0005-0000-0000-00001B020000}"/>
    <cellStyle name="Cálculo 10" xfId="545" xr:uid="{00000000-0005-0000-0000-00001C020000}"/>
    <cellStyle name="Cálculo 10 2" xfId="546" xr:uid="{00000000-0005-0000-0000-00001D020000}"/>
    <cellStyle name="Cálculo 11" xfId="547" xr:uid="{00000000-0005-0000-0000-00001E020000}"/>
    <cellStyle name="Cálculo 11 2" xfId="548" xr:uid="{00000000-0005-0000-0000-00001F020000}"/>
    <cellStyle name="Cálculo 12" xfId="549" xr:uid="{00000000-0005-0000-0000-000020020000}"/>
    <cellStyle name="Cálculo 12 2" xfId="550" xr:uid="{00000000-0005-0000-0000-000021020000}"/>
    <cellStyle name="Cálculo 13" xfId="551" xr:uid="{00000000-0005-0000-0000-000022020000}"/>
    <cellStyle name="Cálculo 13 2" xfId="552" xr:uid="{00000000-0005-0000-0000-000023020000}"/>
    <cellStyle name="Cálculo 14" xfId="553" xr:uid="{00000000-0005-0000-0000-000024020000}"/>
    <cellStyle name="Cálculo 14 2" xfId="554" xr:uid="{00000000-0005-0000-0000-000025020000}"/>
    <cellStyle name="Cálculo 15" xfId="544" xr:uid="{00000000-0005-0000-0000-000026020000}"/>
    <cellStyle name="Cálculo 2" xfId="555" xr:uid="{00000000-0005-0000-0000-000027020000}"/>
    <cellStyle name="Cálculo 2 2" xfId="556" xr:uid="{00000000-0005-0000-0000-000028020000}"/>
    <cellStyle name="Cálculo 3" xfId="557" xr:uid="{00000000-0005-0000-0000-000029020000}"/>
    <cellStyle name="Cálculo 3 2" xfId="558" xr:uid="{00000000-0005-0000-0000-00002A020000}"/>
    <cellStyle name="Cálculo 4" xfId="559" xr:uid="{00000000-0005-0000-0000-00002B020000}"/>
    <cellStyle name="Cálculo 4 2" xfId="560" xr:uid="{00000000-0005-0000-0000-00002C020000}"/>
    <cellStyle name="Cálculo 5" xfId="561" xr:uid="{00000000-0005-0000-0000-00002D020000}"/>
    <cellStyle name="Cálculo 5 2" xfId="562" xr:uid="{00000000-0005-0000-0000-00002E020000}"/>
    <cellStyle name="Cálculo 6" xfId="563" xr:uid="{00000000-0005-0000-0000-00002F020000}"/>
    <cellStyle name="Cálculo 6 2" xfId="564" xr:uid="{00000000-0005-0000-0000-000030020000}"/>
    <cellStyle name="Cálculo 7" xfId="565" xr:uid="{00000000-0005-0000-0000-000031020000}"/>
    <cellStyle name="Cálculo 7 2" xfId="566" xr:uid="{00000000-0005-0000-0000-000032020000}"/>
    <cellStyle name="Cálculo 8" xfId="567" xr:uid="{00000000-0005-0000-0000-000033020000}"/>
    <cellStyle name="Cálculo 8 2" xfId="568" xr:uid="{00000000-0005-0000-0000-000034020000}"/>
    <cellStyle name="Cálculo 9" xfId="569" xr:uid="{00000000-0005-0000-0000-000035020000}"/>
    <cellStyle name="Cálculo 9 2" xfId="570" xr:uid="{00000000-0005-0000-0000-000036020000}"/>
    <cellStyle name="Celda de comprobación 10" xfId="572" xr:uid="{00000000-0005-0000-0000-000037020000}"/>
    <cellStyle name="Celda de comprobación 10 2" xfId="573" xr:uid="{00000000-0005-0000-0000-000038020000}"/>
    <cellStyle name="Celda de comprobación 11" xfId="574" xr:uid="{00000000-0005-0000-0000-000039020000}"/>
    <cellStyle name="Celda de comprobación 11 2" xfId="575" xr:uid="{00000000-0005-0000-0000-00003A020000}"/>
    <cellStyle name="Celda de comprobación 12" xfId="576" xr:uid="{00000000-0005-0000-0000-00003B020000}"/>
    <cellStyle name="Celda de comprobación 12 2" xfId="577" xr:uid="{00000000-0005-0000-0000-00003C020000}"/>
    <cellStyle name="Celda de comprobación 13" xfId="578" xr:uid="{00000000-0005-0000-0000-00003D020000}"/>
    <cellStyle name="Celda de comprobación 13 2" xfId="579" xr:uid="{00000000-0005-0000-0000-00003E020000}"/>
    <cellStyle name="Celda de comprobación 14" xfId="580" xr:uid="{00000000-0005-0000-0000-00003F020000}"/>
    <cellStyle name="Celda de comprobación 14 2" xfId="581" xr:uid="{00000000-0005-0000-0000-000040020000}"/>
    <cellStyle name="Celda de comprobación 15" xfId="571" xr:uid="{00000000-0005-0000-0000-000041020000}"/>
    <cellStyle name="Celda de comprobación 2" xfId="582" xr:uid="{00000000-0005-0000-0000-000042020000}"/>
    <cellStyle name="Celda de comprobación 2 2" xfId="583" xr:uid="{00000000-0005-0000-0000-000043020000}"/>
    <cellStyle name="Celda de comprobación 3" xfId="584" xr:uid="{00000000-0005-0000-0000-000044020000}"/>
    <cellStyle name="Celda de comprobación 3 2" xfId="585" xr:uid="{00000000-0005-0000-0000-000045020000}"/>
    <cellStyle name="Celda de comprobación 4" xfId="586" xr:uid="{00000000-0005-0000-0000-000046020000}"/>
    <cellStyle name="Celda de comprobación 4 2" xfId="587" xr:uid="{00000000-0005-0000-0000-000047020000}"/>
    <cellStyle name="Celda de comprobación 5" xfId="588" xr:uid="{00000000-0005-0000-0000-000048020000}"/>
    <cellStyle name="Celda de comprobación 5 2" xfId="589" xr:uid="{00000000-0005-0000-0000-000049020000}"/>
    <cellStyle name="Celda de comprobación 6" xfId="590" xr:uid="{00000000-0005-0000-0000-00004A020000}"/>
    <cellStyle name="Celda de comprobación 6 2" xfId="591" xr:uid="{00000000-0005-0000-0000-00004B020000}"/>
    <cellStyle name="Celda de comprobación 7" xfId="592" xr:uid="{00000000-0005-0000-0000-00004C020000}"/>
    <cellStyle name="Celda de comprobación 7 2" xfId="593" xr:uid="{00000000-0005-0000-0000-00004D020000}"/>
    <cellStyle name="Celda de comprobación 8" xfId="594" xr:uid="{00000000-0005-0000-0000-00004E020000}"/>
    <cellStyle name="Celda de comprobación 8 2" xfId="595" xr:uid="{00000000-0005-0000-0000-00004F020000}"/>
    <cellStyle name="Celda de comprobación 9" xfId="596" xr:uid="{00000000-0005-0000-0000-000050020000}"/>
    <cellStyle name="Celda de comprobación 9 2" xfId="597" xr:uid="{00000000-0005-0000-0000-000051020000}"/>
    <cellStyle name="Celda vinculada 10" xfId="599" xr:uid="{00000000-0005-0000-0000-000052020000}"/>
    <cellStyle name="Celda vinculada 10 2" xfId="600" xr:uid="{00000000-0005-0000-0000-000053020000}"/>
    <cellStyle name="Celda vinculada 11" xfId="601" xr:uid="{00000000-0005-0000-0000-000054020000}"/>
    <cellStyle name="Celda vinculada 11 2" xfId="602" xr:uid="{00000000-0005-0000-0000-000055020000}"/>
    <cellStyle name="Celda vinculada 12" xfId="603" xr:uid="{00000000-0005-0000-0000-000056020000}"/>
    <cellStyle name="Celda vinculada 12 2" xfId="604" xr:uid="{00000000-0005-0000-0000-000057020000}"/>
    <cellStyle name="Celda vinculada 13" xfId="605" xr:uid="{00000000-0005-0000-0000-000058020000}"/>
    <cellStyle name="Celda vinculada 13 2" xfId="606" xr:uid="{00000000-0005-0000-0000-000059020000}"/>
    <cellStyle name="Celda vinculada 14" xfId="607" xr:uid="{00000000-0005-0000-0000-00005A020000}"/>
    <cellStyle name="Celda vinculada 14 2" xfId="608" xr:uid="{00000000-0005-0000-0000-00005B020000}"/>
    <cellStyle name="Celda vinculada 15" xfId="598" xr:uid="{00000000-0005-0000-0000-00005C020000}"/>
    <cellStyle name="Celda vinculada 2" xfId="609" xr:uid="{00000000-0005-0000-0000-00005D020000}"/>
    <cellStyle name="Celda vinculada 2 2" xfId="610" xr:uid="{00000000-0005-0000-0000-00005E020000}"/>
    <cellStyle name="Celda vinculada 3" xfId="611" xr:uid="{00000000-0005-0000-0000-00005F020000}"/>
    <cellStyle name="Celda vinculada 3 2" xfId="612" xr:uid="{00000000-0005-0000-0000-000060020000}"/>
    <cellStyle name="Celda vinculada 4" xfId="613" xr:uid="{00000000-0005-0000-0000-000061020000}"/>
    <cellStyle name="Celda vinculada 4 2" xfId="614" xr:uid="{00000000-0005-0000-0000-000062020000}"/>
    <cellStyle name="Celda vinculada 5" xfId="615" xr:uid="{00000000-0005-0000-0000-000063020000}"/>
    <cellStyle name="Celda vinculada 5 2" xfId="616" xr:uid="{00000000-0005-0000-0000-000064020000}"/>
    <cellStyle name="Celda vinculada 6" xfId="617" xr:uid="{00000000-0005-0000-0000-000065020000}"/>
    <cellStyle name="Celda vinculada 6 2" xfId="618" xr:uid="{00000000-0005-0000-0000-000066020000}"/>
    <cellStyle name="Celda vinculada 7" xfId="619" xr:uid="{00000000-0005-0000-0000-000067020000}"/>
    <cellStyle name="Celda vinculada 7 2" xfId="620" xr:uid="{00000000-0005-0000-0000-000068020000}"/>
    <cellStyle name="Celda vinculada 8" xfId="621" xr:uid="{00000000-0005-0000-0000-000069020000}"/>
    <cellStyle name="Celda vinculada 8 2" xfId="622" xr:uid="{00000000-0005-0000-0000-00006A020000}"/>
    <cellStyle name="Celda vinculada 9" xfId="623" xr:uid="{00000000-0005-0000-0000-00006B020000}"/>
    <cellStyle name="Celda vinculada 9 2" xfId="624" xr:uid="{00000000-0005-0000-0000-00006C020000}"/>
    <cellStyle name="Check Cell" xfId="625" xr:uid="{00000000-0005-0000-0000-00006D020000}"/>
    <cellStyle name="Encabezado 1" xfId="3007" builtinId="16" customBuiltin="1"/>
    <cellStyle name="Encabezado 4 10" xfId="627" xr:uid="{00000000-0005-0000-0000-00006E020000}"/>
    <cellStyle name="Encabezado 4 10 2" xfId="628" xr:uid="{00000000-0005-0000-0000-00006F020000}"/>
    <cellStyle name="Encabezado 4 11" xfId="629" xr:uid="{00000000-0005-0000-0000-000070020000}"/>
    <cellStyle name="Encabezado 4 11 2" xfId="630" xr:uid="{00000000-0005-0000-0000-000071020000}"/>
    <cellStyle name="Encabezado 4 12" xfId="631" xr:uid="{00000000-0005-0000-0000-000072020000}"/>
    <cellStyle name="Encabezado 4 12 2" xfId="632" xr:uid="{00000000-0005-0000-0000-000073020000}"/>
    <cellStyle name="Encabezado 4 13" xfId="633" xr:uid="{00000000-0005-0000-0000-000074020000}"/>
    <cellStyle name="Encabezado 4 13 2" xfId="634" xr:uid="{00000000-0005-0000-0000-000075020000}"/>
    <cellStyle name="Encabezado 4 14" xfId="635" xr:uid="{00000000-0005-0000-0000-000076020000}"/>
    <cellStyle name="Encabezado 4 14 2" xfId="636" xr:uid="{00000000-0005-0000-0000-000077020000}"/>
    <cellStyle name="Encabezado 4 15" xfId="626" xr:uid="{00000000-0005-0000-0000-000078020000}"/>
    <cellStyle name="Encabezado 4 2" xfId="637" xr:uid="{00000000-0005-0000-0000-000079020000}"/>
    <cellStyle name="Encabezado 4 2 2" xfId="638" xr:uid="{00000000-0005-0000-0000-00007A020000}"/>
    <cellStyle name="Encabezado 4 3" xfId="639" xr:uid="{00000000-0005-0000-0000-00007B020000}"/>
    <cellStyle name="Encabezado 4 3 2" xfId="640" xr:uid="{00000000-0005-0000-0000-00007C020000}"/>
    <cellStyle name="Encabezado 4 4" xfId="641" xr:uid="{00000000-0005-0000-0000-00007D020000}"/>
    <cellStyle name="Encabezado 4 4 2" xfId="642" xr:uid="{00000000-0005-0000-0000-00007E020000}"/>
    <cellStyle name="Encabezado 4 5" xfId="643" xr:uid="{00000000-0005-0000-0000-00007F020000}"/>
    <cellStyle name="Encabezado 4 5 2" xfId="644" xr:uid="{00000000-0005-0000-0000-000080020000}"/>
    <cellStyle name="Encabezado 4 6" xfId="645" xr:uid="{00000000-0005-0000-0000-000081020000}"/>
    <cellStyle name="Encabezado 4 6 2" xfId="646" xr:uid="{00000000-0005-0000-0000-000082020000}"/>
    <cellStyle name="Encabezado 4 7" xfId="647" xr:uid="{00000000-0005-0000-0000-000083020000}"/>
    <cellStyle name="Encabezado 4 7 2" xfId="648" xr:uid="{00000000-0005-0000-0000-000084020000}"/>
    <cellStyle name="Encabezado 4 8" xfId="649" xr:uid="{00000000-0005-0000-0000-000085020000}"/>
    <cellStyle name="Encabezado 4 8 2" xfId="650" xr:uid="{00000000-0005-0000-0000-000086020000}"/>
    <cellStyle name="Encabezado 4 9" xfId="651" xr:uid="{00000000-0005-0000-0000-000087020000}"/>
    <cellStyle name="Encabezado 4 9 2" xfId="652" xr:uid="{00000000-0005-0000-0000-000088020000}"/>
    <cellStyle name="Énfasis1 10" xfId="654" xr:uid="{00000000-0005-0000-0000-000089020000}"/>
    <cellStyle name="Énfasis1 10 2" xfId="655" xr:uid="{00000000-0005-0000-0000-00008A020000}"/>
    <cellStyle name="Énfasis1 11" xfId="656" xr:uid="{00000000-0005-0000-0000-00008B020000}"/>
    <cellStyle name="Énfasis1 11 2" xfId="657" xr:uid="{00000000-0005-0000-0000-00008C020000}"/>
    <cellStyle name="Énfasis1 12" xfId="658" xr:uid="{00000000-0005-0000-0000-00008D020000}"/>
    <cellStyle name="Énfasis1 12 2" xfId="659" xr:uid="{00000000-0005-0000-0000-00008E020000}"/>
    <cellStyle name="Énfasis1 13" xfId="660" xr:uid="{00000000-0005-0000-0000-00008F020000}"/>
    <cellStyle name="Énfasis1 13 2" xfId="661" xr:uid="{00000000-0005-0000-0000-000090020000}"/>
    <cellStyle name="Énfasis1 14" xfId="662" xr:uid="{00000000-0005-0000-0000-000091020000}"/>
    <cellStyle name="Énfasis1 14 2" xfId="663" xr:uid="{00000000-0005-0000-0000-000092020000}"/>
    <cellStyle name="Énfasis1 15" xfId="653" xr:uid="{00000000-0005-0000-0000-000093020000}"/>
    <cellStyle name="Énfasis1 2" xfId="664" xr:uid="{00000000-0005-0000-0000-000094020000}"/>
    <cellStyle name="Énfasis1 2 2" xfId="665" xr:uid="{00000000-0005-0000-0000-000095020000}"/>
    <cellStyle name="Énfasis1 3" xfId="666" xr:uid="{00000000-0005-0000-0000-000096020000}"/>
    <cellStyle name="Énfasis1 3 2" xfId="667" xr:uid="{00000000-0005-0000-0000-000097020000}"/>
    <cellStyle name="Énfasis1 4" xfId="668" xr:uid="{00000000-0005-0000-0000-000098020000}"/>
    <cellStyle name="Énfasis1 4 2" xfId="669" xr:uid="{00000000-0005-0000-0000-000099020000}"/>
    <cellStyle name="Énfasis1 5" xfId="670" xr:uid="{00000000-0005-0000-0000-00009A020000}"/>
    <cellStyle name="Énfasis1 5 2" xfId="671" xr:uid="{00000000-0005-0000-0000-00009B020000}"/>
    <cellStyle name="Énfasis1 6" xfId="672" xr:uid="{00000000-0005-0000-0000-00009C020000}"/>
    <cellStyle name="Énfasis1 6 2" xfId="673" xr:uid="{00000000-0005-0000-0000-00009D020000}"/>
    <cellStyle name="Énfasis1 7" xfId="674" xr:uid="{00000000-0005-0000-0000-00009E020000}"/>
    <cellStyle name="Énfasis1 7 2" xfId="675" xr:uid="{00000000-0005-0000-0000-00009F020000}"/>
    <cellStyle name="Énfasis1 8" xfId="676" xr:uid="{00000000-0005-0000-0000-0000A0020000}"/>
    <cellStyle name="Énfasis1 8 2" xfId="677" xr:uid="{00000000-0005-0000-0000-0000A1020000}"/>
    <cellStyle name="Énfasis1 9" xfId="678" xr:uid="{00000000-0005-0000-0000-0000A2020000}"/>
    <cellStyle name="Énfasis1 9 2" xfId="679" xr:uid="{00000000-0005-0000-0000-0000A3020000}"/>
    <cellStyle name="Énfasis2 10" xfId="681" xr:uid="{00000000-0005-0000-0000-0000A4020000}"/>
    <cellStyle name="Énfasis2 10 2" xfId="682" xr:uid="{00000000-0005-0000-0000-0000A5020000}"/>
    <cellStyle name="Énfasis2 11" xfId="683" xr:uid="{00000000-0005-0000-0000-0000A6020000}"/>
    <cellStyle name="Énfasis2 11 2" xfId="684" xr:uid="{00000000-0005-0000-0000-0000A7020000}"/>
    <cellStyle name="Énfasis2 12" xfId="685" xr:uid="{00000000-0005-0000-0000-0000A8020000}"/>
    <cellStyle name="Énfasis2 12 2" xfId="686" xr:uid="{00000000-0005-0000-0000-0000A9020000}"/>
    <cellStyle name="Énfasis2 13" xfId="687" xr:uid="{00000000-0005-0000-0000-0000AA020000}"/>
    <cellStyle name="Énfasis2 13 2" xfId="688" xr:uid="{00000000-0005-0000-0000-0000AB020000}"/>
    <cellStyle name="Énfasis2 14" xfId="689" xr:uid="{00000000-0005-0000-0000-0000AC020000}"/>
    <cellStyle name="Énfasis2 14 2" xfId="690" xr:uid="{00000000-0005-0000-0000-0000AD020000}"/>
    <cellStyle name="Énfasis2 15" xfId="680" xr:uid="{00000000-0005-0000-0000-0000AE020000}"/>
    <cellStyle name="Énfasis2 2" xfId="691" xr:uid="{00000000-0005-0000-0000-0000AF020000}"/>
    <cellStyle name="Énfasis2 2 2" xfId="692" xr:uid="{00000000-0005-0000-0000-0000B0020000}"/>
    <cellStyle name="Énfasis2 3" xfId="693" xr:uid="{00000000-0005-0000-0000-0000B1020000}"/>
    <cellStyle name="Énfasis2 3 2" xfId="694" xr:uid="{00000000-0005-0000-0000-0000B2020000}"/>
    <cellStyle name="Énfasis2 4" xfId="695" xr:uid="{00000000-0005-0000-0000-0000B3020000}"/>
    <cellStyle name="Énfasis2 4 2" xfId="696" xr:uid="{00000000-0005-0000-0000-0000B4020000}"/>
    <cellStyle name="Énfasis2 5" xfId="697" xr:uid="{00000000-0005-0000-0000-0000B5020000}"/>
    <cellStyle name="Énfasis2 5 2" xfId="698" xr:uid="{00000000-0005-0000-0000-0000B6020000}"/>
    <cellStyle name="Énfasis2 6" xfId="699" xr:uid="{00000000-0005-0000-0000-0000B7020000}"/>
    <cellStyle name="Énfasis2 6 2" xfId="700" xr:uid="{00000000-0005-0000-0000-0000B8020000}"/>
    <cellStyle name="Énfasis2 7" xfId="701" xr:uid="{00000000-0005-0000-0000-0000B9020000}"/>
    <cellStyle name="Énfasis2 7 2" xfId="702" xr:uid="{00000000-0005-0000-0000-0000BA020000}"/>
    <cellStyle name="Énfasis2 8" xfId="703" xr:uid="{00000000-0005-0000-0000-0000BB020000}"/>
    <cellStyle name="Énfasis2 8 2" xfId="704" xr:uid="{00000000-0005-0000-0000-0000BC020000}"/>
    <cellStyle name="Énfasis2 9" xfId="705" xr:uid="{00000000-0005-0000-0000-0000BD020000}"/>
    <cellStyle name="Énfasis2 9 2" xfId="706" xr:uid="{00000000-0005-0000-0000-0000BE020000}"/>
    <cellStyle name="Énfasis3 10" xfId="708" xr:uid="{00000000-0005-0000-0000-0000BF020000}"/>
    <cellStyle name="Énfasis3 10 2" xfId="709" xr:uid="{00000000-0005-0000-0000-0000C0020000}"/>
    <cellStyle name="Énfasis3 11" xfId="710" xr:uid="{00000000-0005-0000-0000-0000C1020000}"/>
    <cellStyle name="Énfasis3 11 2" xfId="711" xr:uid="{00000000-0005-0000-0000-0000C2020000}"/>
    <cellStyle name="Énfasis3 12" xfId="712" xr:uid="{00000000-0005-0000-0000-0000C3020000}"/>
    <cellStyle name="Énfasis3 12 2" xfId="713" xr:uid="{00000000-0005-0000-0000-0000C4020000}"/>
    <cellStyle name="Énfasis3 13" xfId="714" xr:uid="{00000000-0005-0000-0000-0000C5020000}"/>
    <cellStyle name="Énfasis3 13 2" xfId="715" xr:uid="{00000000-0005-0000-0000-0000C6020000}"/>
    <cellStyle name="Énfasis3 14" xfId="716" xr:uid="{00000000-0005-0000-0000-0000C7020000}"/>
    <cellStyle name="Énfasis3 14 2" xfId="717" xr:uid="{00000000-0005-0000-0000-0000C8020000}"/>
    <cellStyle name="Énfasis3 15" xfId="707" xr:uid="{00000000-0005-0000-0000-0000C9020000}"/>
    <cellStyle name="Énfasis3 2" xfId="718" xr:uid="{00000000-0005-0000-0000-0000CA020000}"/>
    <cellStyle name="Énfasis3 2 2" xfId="719" xr:uid="{00000000-0005-0000-0000-0000CB020000}"/>
    <cellStyle name="Énfasis3 3" xfId="720" xr:uid="{00000000-0005-0000-0000-0000CC020000}"/>
    <cellStyle name="Énfasis3 3 2" xfId="721" xr:uid="{00000000-0005-0000-0000-0000CD020000}"/>
    <cellStyle name="Énfasis3 4" xfId="722" xr:uid="{00000000-0005-0000-0000-0000CE020000}"/>
    <cellStyle name="Énfasis3 4 2" xfId="723" xr:uid="{00000000-0005-0000-0000-0000CF020000}"/>
    <cellStyle name="Énfasis3 5" xfId="724" xr:uid="{00000000-0005-0000-0000-0000D0020000}"/>
    <cellStyle name="Énfasis3 5 2" xfId="725" xr:uid="{00000000-0005-0000-0000-0000D1020000}"/>
    <cellStyle name="Énfasis3 6" xfId="726" xr:uid="{00000000-0005-0000-0000-0000D2020000}"/>
    <cellStyle name="Énfasis3 6 2" xfId="727" xr:uid="{00000000-0005-0000-0000-0000D3020000}"/>
    <cellStyle name="Énfasis3 7" xfId="728" xr:uid="{00000000-0005-0000-0000-0000D4020000}"/>
    <cellStyle name="Énfasis3 7 2" xfId="729" xr:uid="{00000000-0005-0000-0000-0000D5020000}"/>
    <cellStyle name="Énfasis3 8" xfId="730" xr:uid="{00000000-0005-0000-0000-0000D6020000}"/>
    <cellStyle name="Énfasis3 8 2" xfId="731" xr:uid="{00000000-0005-0000-0000-0000D7020000}"/>
    <cellStyle name="Énfasis3 9" xfId="732" xr:uid="{00000000-0005-0000-0000-0000D8020000}"/>
    <cellStyle name="Énfasis3 9 2" xfId="733" xr:uid="{00000000-0005-0000-0000-0000D9020000}"/>
    <cellStyle name="Énfasis4 10" xfId="735" xr:uid="{00000000-0005-0000-0000-0000DA020000}"/>
    <cellStyle name="Énfasis4 10 2" xfId="736" xr:uid="{00000000-0005-0000-0000-0000DB020000}"/>
    <cellStyle name="Énfasis4 11" xfId="737" xr:uid="{00000000-0005-0000-0000-0000DC020000}"/>
    <cellStyle name="Énfasis4 11 2" xfId="738" xr:uid="{00000000-0005-0000-0000-0000DD020000}"/>
    <cellStyle name="Énfasis4 12" xfId="739" xr:uid="{00000000-0005-0000-0000-0000DE020000}"/>
    <cellStyle name="Énfasis4 12 2" xfId="740" xr:uid="{00000000-0005-0000-0000-0000DF020000}"/>
    <cellStyle name="Énfasis4 13" xfId="741" xr:uid="{00000000-0005-0000-0000-0000E0020000}"/>
    <cellStyle name="Énfasis4 13 2" xfId="742" xr:uid="{00000000-0005-0000-0000-0000E1020000}"/>
    <cellStyle name="Énfasis4 14" xfId="743" xr:uid="{00000000-0005-0000-0000-0000E2020000}"/>
    <cellStyle name="Énfasis4 14 2" xfId="744" xr:uid="{00000000-0005-0000-0000-0000E3020000}"/>
    <cellStyle name="Énfasis4 15" xfId="734" xr:uid="{00000000-0005-0000-0000-0000E4020000}"/>
    <cellStyle name="Énfasis4 2" xfId="745" xr:uid="{00000000-0005-0000-0000-0000E5020000}"/>
    <cellStyle name="Énfasis4 2 2" xfId="746" xr:uid="{00000000-0005-0000-0000-0000E6020000}"/>
    <cellStyle name="Énfasis4 3" xfId="747" xr:uid="{00000000-0005-0000-0000-0000E7020000}"/>
    <cellStyle name="Énfasis4 3 2" xfId="748" xr:uid="{00000000-0005-0000-0000-0000E8020000}"/>
    <cellStyle name="Énfasis4 4" xfId="749" xr:uid="{00000000-0005-0000-0000-0000E9020000}"/>
    <cellStyle name="Énfasis4 4 2" xfId="750" xr:uid="{00000000-0005-0000-0000-0000EA020000}"/>
    <cellStyle name="Énfasis4 5" xfId="751" xr:uid="{00000000-0005-0000-0000-0000EB020000}"/>
    <cellStyle name="Énfasis4 5 2" xfId="752" xr:uid="{00000000-0005-0000-0000-0000EC020000}"/>
    <cellStyle name="Énfasis4 6" xfId="753" xr:uid="{00000000-0005-0000-0000-0000ED020000}"/>
    <cellStyle name="Énfasis4 6 2" xfId="754" xr:uid="{00000000-0005-0000-0000-0000EE020000}"/>
    <cellStyle name="Énfasis4 7" xfId="755" xr:uid="{00000000-0005-0000-0000-0000EF020000}"/>
    <cellStyle name="Énfasis4 7 2" xfId="756" xr:uid="{00000000-0005-0000-0000-0000F0020000}"/>
    <cellStyle name="Énfasis4 8" xfId="757" xr:uid="{00000000-0005-0000-0000-0000F1020000}"/>
    <cellStyle name="Énfasis4 8 2" xfId="758" xr:uid="{00000000-0005-0000-0000-0000F2020000}"/>
    <cellStyle name="Énfasis4 9" xfId="759" xr:uid="{00000000-0005-0000-0000-0000F3020000}"/>
    <cellStyle name="Énfasis4 9 2" xfId="760" xr:uid="{00000000-0005-0000-0000-0000F4020000}"/>
    <cellStyle name="Énfasis5 10" xfId="762" xr:uid="{00000000-0005-0000-0000-0000F5020000}"/>
    <cellStyle name="Énfasis5 10 2" xfId="763" xr:uid="{00000000-0005-0000-0000-0000F6020000}"/>
    <cellStyle name="Énfasis5 11" xfId="764" xr:uid="{00000000-0005-0000-0000-0000F7020000}"/>
    <cellStyle name="Énfasis5 11 2" xfId="765" xr:uid="{00000000-0005-0000-0000-0000F8020000}"/>
    <cellStyle name="Énfasis5 12" xfId="766" xr:uid="{00000000-0005-0000-0000-0000F9020000}"/>
    <cellStyle name="Énfasis5 12 2" xfId="767" xr:uid="{00000000-0005-0000-0000-0000FA020000}"/>
    <cellStyle name="Énfasis5 13" xfId="768" xr:uid="{00000000-0005-0000-0000-0000FB020000}"/>
    <cellStyle name="Énfasis5 13 2" xfId="769" xr:uid="{00000000-0005-0000-0000-0000FC020000}"/>
    <cellStyle name="Énfasis5 14" xfId="770" xr:uid="{00000000-0005-0000-0000-0000FD020000}"/>
    <cellStyle name="Énfasis5 14 2" xfId="771" xr:uid="{00000000-0005-0000-0000-0000FE020000}"/>
    <cellStyle name="Énfasis5 15" xfId="761" xr:uid="{00000000-0005-0000-0000-0000FF020000}"/>
    <cellStyle name="Énfasis5 2" xfId="772" xr:uid="{00000000-0005-0000-0000-000000030000}"/>
    <cellStyle name="Énfasis5 2 2" xfId="773" xr:uid="{00000000-0005-0000-0000-000001030000}"/>
    <cellStyle name="Énfasis5 3" xfId="774" xr:uid="{00000000-0005-0000-0000-000002030000}"/>
    <cellStyle name="Énfasis5 3 2" xfId="775" xr:uid="{00000000-0005-0000-0000-000003030000}"/>
    <cellStyle name="Énfasis5 4" xfId="776" xr:uid="{00000000-0005-0000-0000-000004030000}"/>
    <cellStyle name="Énfasis5 4 2" xfId="777" xr:uid="{00000000-0005-0000-0000-000005030000}"/>
    <cellStyle name="Énfasis5 5" xfId="778" xr:uid="{00000000-0005-0000-0000-000006030000}"/>
    <cellStyle name="Énfasis5 5 2" xfId="779" xr:uid="{00000000-0005-0000-0000-000007030000}"/>
    <cellStyle name="Énfasis5 6" xfId="780" xr:uid="{00000000-0005-0000-0000-000008030000}"/>
    <cellStyle name="Énfasis5 6 2" xfId="781" xr:uid="{00000000-0005-0000-0000-000009030000}"/>
    <cellStyle name="Énfasis5 7" xfId="782" xr:uid="{00000000-0005-0000-0000-00000A030000}"/>
    <cellStyle name="Énfasis5 7 2" xfId="783" xr:uid="{00000000-0005-0000-0000-00000B030000}"/>
    <cellStyle name="Énfasis5 8" xfId="784" xr:uid="{00000000-0005-0000-0000-00000C030000}"/>
    <cellStyle name="Énfasis5 8 2" xfId="785" xr:uid="{00000000-0005-0000-0000-00000D030000}"/>
    <cellStyle name="Énfasis5 9" xfId="786" xr:uid="{00000000-0005-0000-0000-00000E030000}"/>
    <cellStyle name="Énfasis5 9 2" xfId="787" xr:uid="{00000000-0005-0000-0000-00000F030000}"/>
    <cellStyle name="Énfasis6 10" xfId="789" xr:uid="{00000000-0005-0000-0000-000010030000}"/>
    <cellStyle name="Énfasis6 10 2" xfId="790" xr:uid="{00000000-0005-0000-0000-000011030000}"/>
    <cellStyle name="Énfasis6 11" xfId="791" xr:uid="{00000000-0005-0000-0000-000012030000}"/>
    <cellStyle name="Énfasis6 11 2" xfId="792" xr:uid="{00000000-0005-0000-0000-000013030000}"/>
    <cellStyle name="Énfasis6 12" xfId="793" xr:uid="{00000000-0005-0000-0000-000014030000}"/>
    <cellStyle name="Énfasis6 12 2" xfId="794" xr:uid="{00000000-0005-0000-0000-000015030000}"/>
    <cellStyle name="Énfasis6 13" xfId="795" xr:uid="{00000000-0005-0000-0000-000016030000}"/>
    <cellStyle name="Énfasis6 13 2" xfId="796" xr:uid="{00000000-0005-0000-0000-000017030000}"/>
    <cellStyle name="Énfasis6 14" xfId="797" xr:uid="{00000000-0005-0000-0000-000018030000}"/>
    <cellStyle name="Énfasis6 14 2" xfId="798" xr:uid="{00000000-0005-0000-0000-000019030000}"/>
    <cellStyle name="Énfasis6 15" xfId="788" xr:uid="{00000000-0005-0000-0000-00001A030000}"/>
    <cellStyle name="Énfasis6 2" xfId="799" xr:uid="{00000000-0005-0000-0000-00001B030000}"/>
    <cellStyle name="Énfasis6 2 2" xfId="800" xr:uid="{00000000-0005-0000-0000-00001C030000}"/>
    <cellStyle name="Énfasis6 3" xfId="801" xr:uid="{00000000-0005-0000-0000-00001D030000}"/>
    <cellStyle name="Énfasis6 3 2" xfId="802" xr:uid="{00000000-0005-0000-0000-00001E030000}"/>
    <cellStyle name="Énfasis6 4" xfId="803" xr:uid="{00000000-0005-0000-0000-00001F030000}"/>
    <cellStyle name="Énfasis6 4 2" xfId="804" xr:uid="{00000000-0005-0000-0000-000020030000}"/>
    <cellStyle name="Énfasis6 5" xfId="805" xr:uid="{00000000-0005-0000-0000-000021030000}"/>
    <cellStyle name="Énfasis6 5 2" xfId="806" xr:uid="{00000000-0005-0000-0000-000022030000}"/>
    <cellStyle name="Énfasis6 6" xfId="807" xr:uid="{00000000-0005-0000-0000-000023030000}"/>
    <cellStyle name="Énfasis6 6 2" xfId="808" xr:uid="{00000000-0005-0000-0000-000024030000}"/>
    <cellStyle name="Énfasis6 7" xfId="809" xr:uid="{00000000-0005-0000-0000-000025030000}"/>
    <cellStyle name="Énfasis6 7 2" xfId="810" xr:uid="{00000000-0005-0000-0000-000026030000}"/>
    <cellStyle name="Énfasis6 8" xfId="811" xr:uid="{00000000-0005-0000-0000-000027030000}"/>
    <cellStyle name="Énfasis6 8 2" xfId="812" xr:uid="{00000000-0005-0000-0000-000028030000}"/>
    <cellStyle name="Énfasis6 9" xfId="813" xr:uid="{00000000-0005-0000-0000-000029030000}"/>
    <cellStyle name="Énfasis6 9 2" xfId="814" xr:uid="{00000000-0005-0000-0000-00002A030000}"/>
    <cellStyle name="Entrada 10" xfId="816" xr:uid="{00000000-0005-0000-0000-00002B030000}"/>
    <cellStyle name="Entrada 10 2" xfId="817" xr:uid="{00000000-0005-0000-0000-00002C030000}"/>
    <cellStyle name="Entrada 11" xfId="818" xr:uid="{00000000-0005-0000-0000-00002D030000}"/>
    <cellStyle name="Entrada 11 2" xfId="819" xr:uid="{00000000-0005-0000-0000-00002E030000}"/>
    <cellStyle name="Entrada 12" xfId="820" xr:uid="{00000000-0005-0000-0000-00002F030000}"/>
    <cellStyle name="Entrada 12 2" xfId="821" xr:uid="{00000000-0005-0000-0000-000030030000}"/>
    <cellStyle name="Entrada 13" xfId="822" xr:uid="{00000000-0005-0000-0000-000031030000}"/>
    <cellStyle name="Entrada 13 2" xfId="823" xr:uid="{00000000-0005-0000-0000-000032030000}"/>
    <cellStyle name="Entrada 14" xfId="824" xr:uid="{00000000-0005-0000-0000-000033030000}"/>
    <cellStyle name="Entrada 14 2" xfId="825" xr:uid="{00000000-0005-0000-0000-000034030000}"/>
    <cellStyle name="Entrada 15" xfId="815" xr:uid="{00000000-0005-0000-0000-000035030000}"/>
    <cellStyle name="Entrada 2" xfId="826" xr:uid="{00000000-0005-0000-0000-000036030000}"/>
    <cellStyle name="Entrada 2 2" xfId="827" xr:uid="{00000000-0005-0000-0000-000037030000}"/>
    <cellStyle name="Entrada 3" xfId="828" xr:uid="{00000000-0005-0000-0000-000038030000}"/>
    <cellStyle name="Entrada 3 2" xfId="829" xr:uid="{00000000-0005-0000-0000-000039030000}"/>
    <cellStyle name="Entrada 4" xfId="830" xr:uid="{00000000-0005-0000-0000-00003A030000}"/>
    <cellStyle name="Entrada 4 2" xfId="831" xr:uid="{00000000-0005-0000-0000-00003B030000}"/>
    <cellStyle name="Entrada 5" xfId="832" xr:uid="{00000000-0005-0000-0000-00003C030000}"/>
    <cellStyle name="Entrada 5 2" xfId="833" xr:uid="{00000000-0005-0000-0000-00003D030000}"/>
    <cellStyle name="Entrada 6" xfId="834" xr:uid="{00000000-0005-0000-0000-00003E030000}"/>
    <cellStyle name="Entrada 6 2" xfId="835" xr:uid="{00000000-0005-0000-0000-00003F030000}"/>
    <cellStyle name="Entrada 7" xfId="836" xr:uid="{00000000-0005-0000-0000-000040030000}"/>
    <cellStyle name="Entrada 7 2" xfId="837" xr:uid="{00000000-0005-0000-0000-000041030000}"/>
    <cellStyle name="Entrada 8" xfId="838" xr:uid="{00000000-0005-0000-0000-000042030000}"/>
    <cellStyle name="Entrada 8 2" xfId="839" xr:uid="{00000000-0005-0000-0000-000043030000}"/>
    <cellStyle name="Entrada 9" xfId="840" xr:uid="{00000000-0005-0000-0000-000044030000}"/>
    <cellStyle name="Entrada 9 2" xfId="841" xr:uid="{00000000-0005-0000-0000-000045030000}"/>
    <cellStyle name="Explanatory Text" xfId="842" xr:uid="{00000000-0005-0000-0000-000046030000}"/>
    <cellStyle name="Good" xfId="843" xr:uid="{00000000-0005-0000-0000-000047030000}"/>
    <cellStyle name="Heading 1" xfId="844" xr:uid="{00000000-0005-0000-0000-000048030000}"/>
    <cellStyle name="Heading 2" xfId="845" xr:uid="{00000000-0005-0000-0000-000049030000}"/>
    <cellStyle name="Heading 3" xfId="846" xr:uid="{00000000-0005-0000-0000-00004A030000}"/>
    <cellStyle name="Heading 4" xfId="847" xr:uid="{00000000-0005-0000-0000-00004B030000}"/>
    <cellStyle name="Hipervínculo" xfId="1738" builtinId="8"/>
    <cellStyle name="Hipervínculo 2" xfId="1741" xr:uid="{00000000-0005-0000-0000-00004D030000}"/>
    <cellStyle name="Incorrecto 10" xfId="849" xr:uid="{00000000-0005-0000-0000-00004E030000}"/>
    <cellStyle name="Incorrecto 10 2" xfId="850" xr:uid="{00000000-0005-0000-0000-00004F030000}"/>
    <cellStyle name="Incorrecto 11" xfId="851" xr:uid="{00000000-0005-0000-0000-000050030000}"/>
    <cellStyle name="Incorrecto 11 2" xfId="852" xr:uid="{00000000-0005-0000-0000-000051030000}"/>
    <cellStyle name="Incorrecto 12" xfId="853" xr:uid="{00000000-0005-0000-0000-000052030000}"/>
    <cellStyle name="Incorrecto 12 2" xfId="854" xr:uid="{00000000-0005-0000-0000-000053030000}"/>
    <cellStyle name="Incorrecto 13" xfId="855" xr:uid="{00000000-0005-0000-0000-000054030000}"/>
    <cellStyle name="Incorrecto 13 2" xfId="856" xr:uid="{00000000-0005-0000-0000-000055030000}"/>
    <cellStyle name="Incorrecto 14" xfId="857" xr:uid="{00000000-0005-0000-0000-000056030000}"/>
    <cellStyle name="Incorrecto 14 2" xfId="858" xr:uid="{00000000-0005-0000-0000-000057030000}"/>
    <cellStyle name="Incorrecto 15" xfId="848" xr:uid="{00000000-0005-0000-0000-000058030000}"/>
    <cellStyle name="Incorrecto 2" xfId="859" xr:uid="{00000000-0005-0000-0000-000059030000}"/>
    <cellStyle name="Incorrecto 2 2" xfId="860" xr:uid="{00000000-0005-0000-0000-00005A030000}"/>
    <cellStyle name="Incorrecto 3" xfId="861" xr:uid="{00000000-0005-0000-0000-00005B030000}"/>
    <cellStyle name="Incorrecto 3 2" xfId="862" xr:uid="{00000000-0005-0000-0000-00005C030000}"/>
    <cellStyle name="Incorrecto 4" xfId="863" xr:uid="{00000000-0005-0000-0000-00005D030000}"/>
    <cellStyle name="Incorrecto 4 2" xfId="864" xr:uid="{00000000-0005-0000-0000-00005E030000}"/>
    <cellStyle name="Incorrecto 5" xfId="865" xr:uid="{00000000-0005-0000-0000-00005F030000}"/>
    <cellStyle name="Incorrecto 5 2" xfId="866" xr:uid="{00000000-0005-0000-0000-000060030000}"/>
    <cellStyle name="Incorrecto 6" xfId="867" xr:uid="{00000000-0005-0000-0000-000061030000}"/>
    <cellStyle name="Incorrecto 6 2" xfId="868" xr:uid="{00000000-0005-0000-0000-000062030000}"/>
    <cellStyle name="Incorrecto 7" xfId="869" xr:uid="{00000000-0005-0000-0000-000063030000}"/>
    <cellStyle name="Incorrecto 7 2" xfId="870" xr:uid="{00000000-0005-0000-0000-000064030000}"/>
    <cellStyle name="Incorrecto 8" xfId="871" xr:uid="{00000000-0005-0000-0000-000065030000}"/>
    <cellStyle name="Incorrecto 8 2" xfId="872" xr:uid="{00000000-0005-0000-0000-000066030000}"/>
    <cellStyle name="Incorrecto 9" xfId="873" xr:uid="{00000000-0005-0000-0000-000067030000}"/>
    <cellStyle name="Incorrecto 9 2" xfId="874" xr:uid="{00000000-0005-0000-0000-000068030000}"/>
    <cellStyle name="Input" xfId="875" xr:uid="{00000000-0005-0000-0000-000069030000}"/>
    <cellStyle name="Linked Cell" xfId="876" xr:uid="{00000000-0005-0000-0000-00006A030000}"/>
    <cellStyle name="Millares" xfId="1" builtinId="3"/>
    <cellStyle name="Millares 10" xfId="1215" xr:uid="{00000000-0005-0000-0000-00006C030000}"/>
    <cellStyle name="Millares 10 10" xfId="2013" xr:uid="{CF07FBDA-0C78-4423-B677-43C335C2F2CD}"/>
    <cellStyle name="Millares 10 10 2" xfId="4373" xr:uid="{D2D5BD60-89EF-4E8A-9E94-C7E8A21EE46D}"/>
    <cellStyle name="Millares 10 11" xfId="2104" xr:uid="{330075B9-FA87-4304-BCE8-F28459AB6434}"/>
    <cellStyle name="Millares 10 11 2" xfId="4464" xr:uid="{7DDE60CE-B7BC-4C5D-A622-5500C3EE3C67}"/>
    <cellStyle name="Millares 10 12" xfId="2193" xr:uid="{309ED8B5-8BCF-4F57-A715-309E47D71D2F}"/>
    <cellStyle name="Millares 10 12 2" xfId="4553" xr:uid="{B2F0A60A-5EC9-4A1E-AC61-FDE0FEB42DFC}"/>
    <cellStyle name="Millares 10 13" xfId="2283" xr:uid="{8F9ABAF1-5DDE-40E7-99F3-144BA4B910A5}"/>
    <cellStyle name="Millares 10 13 2" xfId="4643" xr:uid="{8BC23308-298A-41AE-92CD-19204DCDA18F}"/>
    <cellStyle name="Millares 10 14" xfId="2372" xr:uid="{1AF67724-0244-4CA0-9D51-33E10E5557AF}"/>
    <cellStyle name="Millares 10 14 2" xfId="4732" xr:uid="{18C17597-547A-4C16-9A08-4BB48BB9127D}"/>
    <cellStyle name="Millares 10 15" xfId="2462" xr:uid="{8C57E2A1-2867-4891-B8F1-3483781AD16F}"/>
    <cellStyle name="Millares 10 15 2" xfId="4822" xr:uid="{4A3E383F-7B7F-428A-A85B-217BD4317EB7}"/>
    <cellStyle name="Millares 10 16" xfId="2551" xr:uid="{8854651B-31B7-4D51-A09F-3AF5898CB747}"/>
    <cellStyle name="Millares 10 16 2" xfId="4911" xr:uid="{9217829A-D853-4500-9EC5-88053CAC3335}"/>
    <cellStyle name="Millares 10 17" xfId="2641" xr:uid="{73CD7DC2-0C6C-4BEC-8260-7AC8D6504BAE}"/>
    <cellStyle name="Millares 10 17 2" xfId="5001" xr:uid="{16922337-0C3F-429A-83A6-9E2716BD1B75}"/>
    <cellStyle name="Millares 10 18" xfId="2731" xr:uid="{DAA07D83-8DC3-4AB3-9824-B8244D38CB71}"/>
    <cellStyle name="Millares 10 18 2" xfId="5091" xr:uid="{569215E6-B177-4EC3-B02B-7B3BC99001B6}"/>
    <cellStyle name="Millares 10 19" xfId="2821" xr:uid="{84ABBE66-B5E4-4668-A25C-3E3F780F3C3A}"/>
    <cellStyle name="Millares 10 19 2" xfId="5181" xr:uid="{075ABB96-2B59-42E1-8FCF-7FB48AC41F88}"/>
    <cellStyle name="Millares 10 2" xfId="1281" xr:uid="{00000000-0005-0000-0000-00006D030000}"/>
    <cellStyle name="Millares 10 2 2" xfId="3446" xr:uid="{EAF3B7C9-052E-460A-95AE-84F5D5C33C52}"/>
    <cellStyle name="Millares 10 2 2 2" xfId="5457" xr:uid="{BD6391DE-6820-444F-A6AF-6B237ABC2621}"/>
    <cellStyle name="Millares 10 2 3" xfId="3654" xr:uid="{405DB999-6ED8-4BE2-A56F-21849DCEAD1C}"/>
    <cellStyle name="Millares 10 20" xfId="2914" xr:uid="{FBBE602A-8963-44AB-BF08-DD3650E33AA5}"/>
    <cellStyle name="Millares 10 20 2" xfId="5274" xr:uid="{6507BBE0-548E-4C56-B691-3DA8958B9299}"/>
    <cellStyle name="Millares 10 21" xfId="3008" xr:uid="{E3BF9760-5DFC-4724-A03C-2DC9303C3E5D}"/>
    <cellStyle name="Millares 10 21 2" xfId="5367" xr:uid="{6AFAAC53-7E9D-45FD-814E-1D4E9360F45C}"/>
    <cellStyle name="Millares 10 22" xfId="3593" xr:uid="{94D33C23-2036-459C-97FC-C47CF303BE71}"/>
    <cellStyle name="Millares 10 3" xfId="1378" xr:uid="{00000000-0005-0000-0000-00006E030000}"/>
    <cellStyle name="Millares 10 3 2" xfId="3744" xr:uid="{AA1A38C2-0B1A-46A3-9815-B6F7C3AE3D64}"/>
    <cellStyle name="Millares 10 4" xfId="1468" xr:uid="{00000000-0005-0000-0000-00006F030000}"/>
    <cellStyle name="Millares 10 4 2" xfId="3834" xr:uid="{98330662-C064-4312-8537-A67E49E5F0B3}"/>
    <cellStyle name="Millares 10 5" xfId="1558" xr:uid="{00000000-0005-0000-0000-000070030000}"/>
    <cellStyle name="Millares 10 5 2" xfId="3924" xr:uid="{0C05F7C6-32A7-4F3E-B383-5EB439E50E6B}"/>
    <cellStyle name="Millares 10 6" xfId="1649" xr:uid="{00000000-0005-0000-0000-000071030000}"/>
    <cellStyle name="Millares 10 6 2" xfId="4014" xr:uid="{A30CE430-3F9E-4481-BD59-85454D98FFE8}"/>
    <cellStyle name="Millares 10 7" xfId="1742" xr:uid="{00000000-0005-0000-0000-000072030000}"/>
    <cellStyle name="Millares 10 7 2" xfId="4104" xr:uid="{A09AEFAC-DF33-41FB-AB07-7CE8653E9A22}"/>
    <cellStyle name="Millares 10 8" xfId="1833" xr:uid="{1C71A905-D821-4CE5-9F88-41998F9BBC44}"/>
    <cellStyle name="Millares 10 8 2" xfId="4194" xr:uid="{33168306-A581-4112-83B1-774EDEA38AD1}"/>
    <cellStyle name="Millares 10 9" xfId="1924" xr:uid="{295A7098-48A1-4BCF-9B19-112F9F65D93E}"/>
    <cellStyle name="Millares 10 9 2" xfId="4284" xr:uid="{538F521B-FF80-44E2-94A1-D0BA2735350C}"/>
    <cellStyle name="Millares 11" xfId="1219" xr:uid="{00000000-0005-0000-0000-000073030000}"/>
    <cellStyle name="Millares 11 10" xfId="2014" xr:uid="{58756788-4E48-497A-A74B-54AAC9A61350}"/>
    <cellStyle name="Millares 11 10 2" xfId="4374" xr:uid="{02A2900D-051E-4C55-AB96-493146C5C37F}"/>
    <cellStyle name="Millares 11 11" xfId="2105" xr:uid="{55A84581-3A32-4FB0-9534-4BAECF6CBF32}"/>
    <cellStyle name="Millares 11 11 2" xfId="4465" xr:uid="{8FFD2D97-C8E1-4285-89A0-CFEA3DEEF3A3}"/>
    <cellStyle name="Millares 11 12" xfId="2194" xr:uid="{8946BB70-21F6-4C87-BBCC-CC14414AD553}"/>
    <cellStyle name="Millares 11 12 2" xfId="4554" xr:uid="{CD513644-225B-4A05-AB07-C93F9B863A7A}"/>
    <cellStyle name="Millares 11 13" xfId="2284" xr:uid="{24D72481-5DFF-40A7-8C8E-B531EBF07AE3}"/>
    <cellStyle name="Millares 11 13 2" xfId="4644" xr:uid="{036358EF-0B35-4613-8253-10E55471FC2A}"/>
    <cellStyle name="Millares 11 14" xfId="2373" xr:uid="{9567AB1A-C938-40D2-AB55-D5D5FCFA2860}"/>
    <cellStyle name="Millares 11 14 2" xfId="4733" xr:uid="{A9AC9873-86D7-41D5-8BD9-120DBB4AB548}"/>
    <cellStyle name="Millares 11 15" xfId="2463" xr:uid="{ED402978-9356-4AC6-8C94-C2216293CB8E}"/>
    <cellStyle name="Millares 11 15 2" xfId="4823" xr:uid="{63317D72-E585-4070-A557-C1CB16D2B8F0}"/>
    <cellStyle name="Millares 11 16" xfId="2552" xr:uid="{9BA0EC1E-94DD-4C66-BDCC-DA1B0DB3312A}"/>
    <cellStyle name="Millares 11 16 2" xfId="4912" xr:uid="{BB6D435C-565D-4E4A-970D-7EC39B7BA942}"/>
    <cellStyle name="Millares 11 17" xfId="2642" xr:uid="{DFCC34BE-2F1A-41E0-952F-B53D595B42E1}"/>
    <cellStyle name="Millares 11 17 2" xfId="5002" xr:uid="{923DE556-50F6-4BAB-B8A4-009E6EFF8A42}"/>
    <cellStyle name="Millares 11 18" xfId="2732" xr:uid="{9047EF05-E6B0-4617-BB9F-7B7CD90C5487}"/>
    <cellStyle name="Millares 11 18 2" xfId="5092" xr:uid="{247FC6A7-D47F-42DD-A56D-030FAC80508C}"/>
    <cellStyle name="Millares 11 19" xfId="2822" xr:uid="{4033B887-139A-49DD-9780-84B41F058335}"/>
    <cellStyle name="Millares 11 19 2" xfId="5182" xr:uid="{883E783A-B522-48D2-887E-6885D1CAB6BB}"/>
    <cellStyle name="Millares 11 2" xfId="1282" xr:uid="{00000000-0005-0000-0000-000074030000}"/>
    <cellStyle name="Millares 11 2 2" xfId="3447" xr:uid="{CFDA1C8F-E5FB-4D3F-9D58-69BA692C2682}"/>
    <cellStyle name="Millares 11 2 2 2" xfId="5458" xr:uid="{22C84551-96BD-4997-BF98-67C02D37F1B3}"/>
    <cellStyle name="Millares 11 2 3" xfId="3655" xr:uid="{DCBB3E97-055B-41DE-B0D9-69F02FC5649B}"/>
    <cellStyle name="Millares 11 20" xfId="2915" xr:uid="{9580F4DF-D8A9-4BCB-BAA0-2DF9C0DA6977}"/>
    <cellStyle name="Millares 11 20 2" xfId="5275" xr:uid="{91E1D631-9325-4DE7-8BA8-5504E89FA1BE}"/>
    <cellStyle name="Millares 11 21" xfId="3009" xr:uid="{AEC6ECDB-C34D-460C-816E-0946B2910C34}"/>
    <cellStyle name="Millares 11 21 2" xfId="5368" xr:uid="{7E7785F9-00C2-4F90-8F01-34702FF15E62}"/>
    <cellStyle name="Millares 11 22" xfId="3597" xr:uid="{1F418617-DD68-4B45-9A4E-824E0722EA88}"/>
    <cellStyle name="Millares 11 3" xfId="1379" xr:uid="{00000000-0005-0000-0000-000075030000}"/>
    <cellStyle name="Millares 11 3 2" xfId="3745" xr:uid="{9BABB967-6906-41EC-B347-EA0B8CA039D4}"/>
    <cellStyle name="Millares 11 4" xfId="1469" xr:uid="{00000000-0005-0000-0000-000076030000}"/>
    <cellStyle name="Millares 11 4 2" xfId="3835" xr:uid="{2F6CEA5A-BBD3-4FCE-ACF6-E4E7B2A08F3B}"/>
    <cellStyle name="Millares 11 5" xfId="1559" xr:uid="{00000000-0005-0000-0000-000077030000}"/>
    <cellStyle name="Millares 11 5 2" xfId="3925" xr:uid="{C2772914-BF0B-45F8-8CF9-DBCEA32AF9F0}"/>
    <cellStyle name="Millares 11 6" xfId="1650" xr:uid="{00000000-0005-0000-0000-000078030000}"/>
    <cellStyle name="Millares 11 6 2" xfId="4015" xr:uid="{2CCE3485-70F7-4064-B9ED-D374DC01D242}"/>
    <cellStyle name="Millares 11 7" xfId="1743" xr:uid="{00000000-0005-0000-0000-000079030000}"/>
    <cellStyle name="Millares 11 7 2" xfId="4105" xr:uid="{0C311DE6-331A-4BC3-993E-2EA8C469C3BA}"/>
    <cellStyle name="Millares 11 8" xfId="1834" xr:uid="{BFBA2BAE-B8B8-4629-9CF9-3B125B9FB669}"/>
    <cellStyle name="Millares 11 8 2" xfId="4195" xr:uid="{1D0FC0AB-F993-4350-BE97-5DBC4FC3F102}"/>
    <cellStyle name="Millares 11 9" xfId="1925" xr:uid="{E79E35BF-03FD-4912-B9D2-7476FED6285A}"/>
    <cellStyle name="Millares 11 9 2" xfId="4285" xr:uid="{0A1E19A8-0CAF-478C-96E8-D6A9492505F0}"/>
    <cellStyle name="Millares 12" xfId="1223" xr:uid="{00000000-0005-0000-0000-00007A030000}"/>
    <cellStyle name="Millares 12 10" xfId="2015" xr:uid="{B1A7ABE7-60B6-4E03-808A-590A672E85EF}"/>
    <cellStyle name="Millares 12 10 2" xfId="4375" xr:uid="{8B1B4BCA-4AAD-4553-B4D6-9BBE53BE6AB8}"/>
    <cellStyle name="Millares 12 11" xfId="2106" xr:uid="{8DE0976C-E563-4F77-B9DB-5A8246D82A7B}"/>
    <cellStyle name="Millares 12 11 2" xfId="4466" xr:uid="{99672604-89FC-45EB-81DE-A1B0598203DC}"/>
    <cellStyle name="Millares 12 12" xfId="2195" xr:uid="{7BD41FBF-C6A6-4F47-B427-9BA04788048F}"/>
    <cellStyle name="Millares 12 12 2" xfId="4555" xr:uid="{CDA95624-54FA-47A6-A941-FD5167073ACF}"/>
    <cellStyle name="Millares 12 13" xfId="2285" xr:uid="{D0AC0F2F-3332-4113-88E8-893CFEF475E1}"/>
    <cellStyle name="Millares 12 13 2" xfId="4645" xr:uid="{F0F9AF32-45D7-40C2-8098-C9D50C06E775}"/>
    <cellStyle name="Millares 12 14" xfId="2374" xr:uid="{94A2206D-1F01-45F5-97B2-503CE08476E3}"/>
    <cellStyle name="Millares 12 14 2" xfId="4734" xr:uid="{68ABD42F-4A55-4F40-99BE-70572515FCF3}"/>
    <cellStyle name="Millares 12 15" xfId="2464" xr:uid="{86C8721A-A4C7-47DC-94EF-E41656C4AEAC}"/>
    <cellStyle name="Millares 12 15 2" xfId="4824" xr:uid="{C4EA4E33-F990-48F7-B0E4-3B59EF7439D9}"/>
    <cellStyle name="Millares 12 16" xfId="2553" xr:uid="{0238256E-880B-4E5E-B49A-3892D9685B7B}"/>
    <cellStyle name="Millares 12 16 2" xfId="4913" xr:uid="{3FCF9619-2938-4222-AA85-74521889531D}"/>
    <cellStyle name="Millares 12 17" xfId="2643" xr:uid="{B2CB8F54-53EA-402C-8EC5-C937CD444A55}"/>
    <cellStyle name="Millares 12 17 2" xfId="5003" xr:uid="{7F1A93DA-551B-45CE-AE37-019F0BAA7574}"/>
    <cellStyle name="Millares 12 18" xfId="2733" xr:uid="{5C561CEA-62CB-4B4B-9B1D-B1CC37447EEB}"/>
    <cellStyle name="Millares 12 18 2" xfId="5093" xr:uid="{FC25EC24-75EA-4191-9E98-4D17DEBE9929}"/>
    <cellStyle name="Millares 12 19" xfId="2823" xr:uid="{FB51A038-5303-4DBA-8E5A-6E2394005312}"/>
    <cellStyle name="Millares 12 19 2" xfId="5183" xr:uid="{B555E41E-CA8E-4343-A847-263D394115AE}"/>
    <cellStyle name="Millares 12 2" xfId="1283" xr:uid="{00000000-0005-0000-0000-00007B030000}"/>
    <cellStyle name="Millares 12 2 2" xfId="3448" xr:uid="{89D68D4F-B95F-4A58-A305-52C0210F6961}"/>
    <cellStyle name="Millares 12 2 2 2" xfId="5459" xr:uid="{BCB86C53-47C2-4410-9431-F1EC983DD570}"/>
    <cellStyle name="Millares 12 2 3" xfId="3656" xr:uid="{C1956F4C-E117-4908-9037-599AE7549732}"/>
    <cellStyle name="Millares 12 20" xfId="2916" xr:uid="{11FDC657-61D5-45B1-9944-108C200D090B}"/>
    <cellStyle name="Millares 12 20 2" xfId="5276" xr:uid="{0564AFCD-B95F-4331-A750-3576CC5CF66E}"/>
    <cellStyle name="Millares 12 21" xfId="3010" xr:uid="{CC03CAC9-D0E9-476F-9530-CEA5D59F2D9D}"/>
    <cellStyle name="Millares 12 21 2" xfId="5369" xr:uid="{4A917E15-A7ED-45AB-873C-52DA114CC1BA}"/>
    <cellStyle name="Millares 12 22" xfId="3601" xr:uid="{D1093811-9813-4901-9BF4-4B44A884E386}"/>
    <cellStyle name="Millares 12 3" xfId="1380" xr:uid="{00000000-0005-0000-0000-00007C030000}"/>
    <cellStyle name="Millares 12 3 2" xfId="3746" xr:uid="{A33C985D-38FB-4D62-9541-8E3B5A618C65}"/>
    <cellStyle name="Millares 12 4" xfId="1470" xr:uid="{00000000-0005-0000-0000-00007D030000}"/>
    <cellStyle name="Millares 12 4 2" xfId="3836" xr:uid="{97339D9C-8C4C-4385-9B29-42E5B4747489}"/>
    <cellStyle name="Millares 12 5" xfId="1560" xr:uid="{00000000-0005-0000-0000-00007E030000}"/>
    <cellStyle name="Millares 12 5 2" xfId="3926" xr:uid="{BDE0A949-4C77-44DD-88BB-7AE099997075}"/>
    <cellStyle name="Millares 12 6" xfId="1651" xr:uid="{00000000-0005-0000-0000-00007F030000}"/>
    <cellStyle name="Millares 12 6 2" xfId="4016" xr:uid="{B949019E-807F-43D1-AD83-A79DEB695F4A}"/>
    <cellStyle name="Millares 12 7" xfId="1744" xr:uid="{00000000-0005-0000-0000-000080030000}"/>
    <cellStyle name="Millares 12 7 2" xfId="4106" xr:uid="{30B559BD-7357-4ECC-BA5C-56D3A74C0A55}"/>
    <cellStyle name="Millares 12 8" xfId="1835" xr:uid="{4BB6C203-B752-45B8-B9D7-DF8E44B88420}"/>
    <cellStyle name="Millares 12 8 2" xfId="4196" xr:uid="{F198ED3B-73DF-42F0-B959-AE335244FC3F}"/>
    <cellStyle name="Millares 12 9" xfId="1926" xr:uid="{18EEFC1E-F97F-49B5-8EFA-396976B99AF0}"/>
    <cellStyle name="Millares 12 9 2" xfId="4286" xr:uid="{91FE3D07-0238-4523-A97A-B2BAFD39C9D3}"/>
    <cellStyle name="Millares 13" xfId="1227" xr:uid="{00000000-0005-0000-0000-000081030000}"/>
    <cellStyle name="Millares 13 10" xfId="2016" xr:uid="{67E1A243-6E85-4FB5-A7C3-61F20841C816}"/>
    <cellStyle name="Millares 13 10 2" xfId="4376" xr:uid="{1BF1CAE6-85BD-4D5C-9C81-D3C53D7BBF95}"/>
    <cellStyle name="Millares 13 11" xfId="2107" xr:uid="{4415D44B-F4BA-48BE-A736-8342F4B0A859}"/>
    <cellStyle name="Millares 13 11 2" xfId="4467" xr:uid="{6E767AB1-9778-4E4F-B82D-E3BEDA4066CA}"/>
    <cellStyle name="Millares 13 12" xfId="2196" xr:uid="{89DE5E6A-F13B-4636-8E09-D5A4373B7F33}"/>
    <cellStyle name="Millares 13 12 2" xfId="4556" xr:uid="{6D089CFE-67E2-41F9-88CA-64EAE954A86B}"/>
    <cellStyle name="Millares 13 13" xfId="2286" xr:uid="{E573E532-AEA8-461A-832F-EACE55EC8C8E}"/>
    <cellStyle name="Millares 13 13 2" xfId="4646" xr:uid="{A8AA20F4-BBFC-47C8-A993-CAAAA4E1F709}"/>
    <cellStyle name="Millares 13 14" xfId="2375" xr:uid="{09DF7449-36F5-4664-9D61-88EF76B38177}"/>
    <cellStyle name="Millares 13 14 2" xfId="4735" xr:uid="{0B5269E5-0F62-4987-9376-E7EFE5C46420}"/>
    <cellStyle name="Millares 13 15" xfId="2465" xr:uid="{FA91BFF0-8E28-4413-AA95-01EE926A57DB}"/>
    <cellStyle name="Millares 13 15 2" xfId="4825" xr:uid="{61B33990-985C-48E3-B022-05E2485EF5CC}"/>
    <cellStyle name="Millares 13 16" xfId="2554" xr:uid="{5F0FD5F2-C5FA-4128-9EC1-EAD43F4D7916}"/>
    <cellStyle name="Millares 13 16 2" xfId="4914" xr:uid="{629BD2F7-42C6-4ED6-BB5E-841D1CAEBD02}"/>
    <cellStyle name="Millares 13 17" xfId="2644" xr:uid="{0299F141-E20D-4A8B-B7A4-7828A4AA5F81}"/>
    <cellStyle name="Millares 13 17 2" xfId="5004" xr:uid="{29E5D3F1-5071-4DC3-AABE-71360D20DC10}"/>
    <cellStyle name="Millares 13 18" xfId="2734" xr:uid="{075AB611-9C90-4060-8F2A-55AA222ED1E9}"/>
    <cellStyle name="Millares 13 18 2" xfId="5094" xr:uid="{66F3E2E3-DDCB-47A2-BD47-8D4CED33B013}"/>
    <cellStyle name="Millares 13 19" xfId="2824" xr:uid="{DC66E1AC-536F-41D1-8F57-C3FB92D8DD25}"/>
    <cellStyle name="Millares 13 19 2" xfId="5184" xr:uid="{57706C90-7AA7-4B65-8834-1061E4FE44AF}"/>
    <cellStyle name="Millares 13 2" xfId="1284" xr:uid="{00000000-0005-0000-0000-000082030000}"/>
    <cellStyle name="Millares 13 2 2" xfId="3449" xr:uid="{8D5556B2-7CE5-4E5F-95B9-E6AFBC0BF5E1}"/>
    <cellStyle name="Millares 13 2 2 2" xfId="5460" xr:uid="{DB1FCB07-3861-48DA-AF1D-0169451232A1}"/>
    <cellStyle name="Millares 13 2 3" xfId="3657" xr:uid="{A7E03E8B-662F-4E58-86B7-31903980BDD7}"/>
    <cellStyle name="Millares 13 20" xfId="2917" xr:uid="{D06BEFBC-AF3F-4ED7-AA8B-4AAED6C64729}"/>
    <cellStyle name="Millares 13 20 2" xfId="5277" xr:uid="{085C9251-8984-489B-AFC3-05731CD30F26}"/>
    <cellStyle name="Millares 13 21" xfId="3011" xr:uid="{01E70150-B5F2-44B7-B1FE-099236EF96AD}"/>
    <cellStyle name="Millares 13 21 2" xfId="5370" xr:uid="{575A5831-7EE1-421E-95AD-2B117FFFA24B}"/>
    <cellStyle name="Millares 13 22" xfId="3605" xr:uid="{72F4B971-46EF-46AC-81CA-7E518DB7C08E}"/>
    <cellStyle name="Millares 13 3" xfId="1381" xr:uid="{00000000-0005-0000-0000-000083030000}"/>
    <cellStyle name="Millares 13 3 2" xfId="3747" xr:uid="{A34AC4A3-D6B2-47DC-993C-B5EFE52B1607}"/>
    <cellStyle name="Millares 13 4" xfId="1471" xr:uid="{00000000-0005-0000-0000-000084030000}"/>
    <cellStyle name="Millares 13 4 2" xfId="3837" xr:uid="{9A993563-5D66-4CF8-A2D3-7DCA1C036BA1}"/>
    <cellStyle name="Millares 13 5" xfId="1561" xr:uid="{00000000-0005-0000-0000-000085030000}"/>
    <cellStyle name="Millares 13 5 2" xfId="3927" xr:uid="{01937354-2A78-4D70-9971-5A60D807FB9E}"/>
    <cellStyle name="Millares 13 6" xfId="1652" xr:uid="{00000000-0005-0000-0000-000086030000}"/>
    <cellStyle name="Millares 13 6 2" xfId="4017" xr:uid="{A385B84B-352C-4DE7-B2A3-D1638D6EEC9C}"/>
    <cellStyle name="Millares 13 7" xfId="1745" xr:uid="{00000000-0005-0000-0000-000087030000}"/>
    <cellStyle name="Millares 13 7 2" xfId="4107" xr:uid="{D0551AE8-F980-4A3E-BC47-0DB709463677}"/>
    <cellStyle name="Millares 13 8" xfId="1836" xr:uid="{529133E0-53C1-475D-8DC2-B54F6C1770E5}"/>
    <cellStyle name="Millares 13 8 2" xfId="4197" xr:uid="{B36E0FAA-89C9-4A5C-9030-7B37343B6E18}"/>
    <cellStyle name="Millares 13 9" xfId="1927" xr:uid="{07AD6C38-E16E-4BE3-8E4E-3B73CFDD08B3}"/>
    <cellStyle name="Millares 13 9 2" xfId="4287" xr:uid="{73BBB47A-06D6-4885-939F-C126390912C6}"/>
    <cellStyle name="Millares 14" xfId="1231" xr:uid="{00000000-0005-0000-0000-000088030000}"/>
    <cellStyle name="Millares 14 10" xfId="2017" xr:uid="{0A65F1B6-7005-44DA-B070-2DCD5FCB6CD7}"/>
    <cellStyle name="Millares 14 10 2" xfId="4377" xr:uid="{38223B1B-027D-4EFC-875E-5626B1D2ED0E}"/>
    <cellStyle name="Millares 14 11" xfId="2108" xr:uid="{1AE7B405-BAFF-4D1C-AEBC-4D8111393205}"/>
    <cellStyle name="Millares 14 11 2" xfId="4468" xr:uid="{0944A719-BE7F-403C-BB3E-3D45192769DB}"/>
    <cellStyle name="Millares 14 12" xfId="2197" xr:uid="{1BD4142F-29B3-45DD-A1B0-4D3B49707B00}"/>
    <cellStyle name="Millares 14 12 2" xfId="4557" xr:uid="{D3DCC934-6772-4866-8555-D38AFD9DD8B7}"/>
    <cellStyle name="Millares 14 13" xfId="2287" xr:uid="{E3E198B4-AC1D-4D6E-8EEF-14A86F3312E7}"/>
    <cellStyle name="Millares 14 13 2" xfId="4647" xr:uid="{17E474A9-CAB0-45B9-BCEE-DF3BF5F4D83F}"/>
    <cellStyle name="Millares 14 14" xfId="2376" xr:uid="{17B6FA93-927D-45C2-9D0F-F7AED5B8311A}"/>
    <cellStyle name="Millares 14 14 2" xfId="4736" xr:uid="{4F81E87E-5C0D-45AB-8639-CC92716A87C0}"/>
    <cellStyle name="Millares 14 15" xfId="2466" xr:uid="{B562E461-45D6-46BC-81C1-6F0698F01B04}"/>
    <cellStyle name="Millares 14 15 2" xfId="4826" xr:uid="{F4625E19-B353-4268-AACC-2E0A8022C22D}"/>
    <cellStyle name="Millares 14 16" xfId="2555" xr:uid="{2E6B7E66-5E70-4090-BD3C-6437C6D24F7B}"/>
    <cellStyle name="Millares 14 16 2" xfId="4915" xr:uid="{2FAF6E46-7C9A-4480-A87E-C873DE2A5947}"/>
    <cellStyle name="Millares 14 17" xfId="2645" xr:uid="{18CDFED1-1653-4BA0-AE2E-52604E2D6C0A}"/>
    <cellStyle name="Millares 14 17 2" xfId="5005" xr:uid="{7CA2DA8B-DD62-449C-9341-5C9DA8CF43A0}"/>
    <cellStyle name="Millares 14 18" xfId="2735" xr:uid="{D51EC86C-E9A6-4826-81EC-EF54BCAF0EF9}"/>
    <cellStyle name="Millares 14 18 2" xfId="5095" xr:uid="{F5CD35CD-AD56-4D1D-9ADE-C90CD6AC323B}"/>
    <cellStyle name="Millares 14 19" xfId="2825" xr:uid="{1A0370D0-50D0-4564-BA91-302562B858EC}"/>
    <cellStyle name="Millares 14 19 2" xfId="5185" xr:uid="{B48CA67D-AA4A-498F-9D0A-2917C3B840EC}"/>
    <cellStyle name="Millares 14 2" xfId="1285" xr:uid="{00000000-0005-0000-0000-000089030000}"/>
    <cellStyle name="Millares 14 2 2" xfId="3450" xr:uid="{995BA8D5-4042-4604-A9C5-1C3EBFEF14CF}"/>
    <cellStyle name="Millares 14 2 2 2" xfId="5461" xr:uid="{70AF7C89-3981-4542-A53F-A3AA471D27AD}"/>
    <cellStyle name="Millares 14 2 3" xfId="3658" xr:uid="{43FCD413-8564-43AA-A8A9-39C05C199704}"/>
    <cellStyle name="Millares 14 20" xfId="2918" xr:uid="{AC8173BC-02D8-480E-96CD-34000302DBE1}"/>
    <cellStyle name="Millares 14 20 2" xfId="5278" xr:uid="{60CCE712-E446-4D9F-8353-F0AB847F99B7}"/>
    <cellStyle name="Millares 14 21" xfId="3012" xr:uid="{BCCF4D7B-3682-426F-B134-19FE968E7969}"/>
    <cellStyle name="Millares 14 21 2" xfId="5371" xr:uid="{4579342A-5EF9-4617-9F65-8CC6F527E0B3}"/>
    <cellStyle name="Millares 14 22" xfId="3609" xr:uid="{98FF0B95-A37C-4147-8435-335322328A8D}"/>
    <cellStyle name="Millares 14 3" xfId="1382" xr:uid="{00000000-0005-0000-0000-00008A030000}"/>
    <cellStyle name="Millares 14 3 2" xfId="3748" xr:uid="{B5A429CD-FCC7-4E9C-9D22-483CB10D1195}"/>
    <cellStyle name="Millares 14 4" xfId="1472" xr:uid="{00000000-0005-0000-0000-00008B030000}"/>
    <cellStyle name="Millares 14 4 2" xfId="3838" xr:uid="{BD189D69-545B-4A36-8AFD-AB469D0C8080}"/>
    <cellStyle name="Millares 14 5" xfId="1562" xr:uid="{00000000-0005-0000-0000-00008C030000}"/>
    <cellStyle name="Millares 14 5 2" xfId="3928" xr:uid="{09103866-A893-4B59-88B2-AF7C30DF9D2E}"/>
    <cellStyle name="Millares 14 6" xfId="1653" xr:uid="{00000000-0005-0000-0000-00008D030000}"/>
    <cellStyle name="Millares 14 6 2" xfId="4018" xr:uid="{0C4D06D2-B501-4DE4-AE58-E691F869FB2D}"/>
    <cellStyle name="Millares 14 7" xfId="1746" xr:uid="{00000000-0005-0000-0000-00008E030000}"/>
    <cellStyle name="Millares 14 7 2" xfId="4108" xr:uid="{27576324-9657-490E-8F9F-8A986ECE8253}"/>
    <cellStyle name="Millares 14 8" xfId="1837" xr:uid="{8FF223FD-FB94-4181-9307-A39D2488C6AF}"/>
    <cellStyle name="Millares 14 8 2" xfId="4198" xr:uid="{793C380F-C6D3-410F-AECB-86ED9DCB314B}"/>
    <cellStyle name="Millares 14 9" xfId="1928" xr:uid="{31A96780-7585-44D8-8F78-C0A8E2564A6B}"/>
    <cellStyle name="Millares 14 9 2" xfId="4288" xr:uid="{187E6D3B-1A25-49B7-825C-6B382C4043E5}"/>
    <cellStyle name="Millares 15" xfId="1235" xr:uid="{00000000-0005-0000-0000-00008F030000}"/>
    <cellStyle name="Millares 15 10" xfId="2018" xr:uid="{68187CD5-68CB-4685-90E5-C1DDB683188B}"/>
    <cellStyle name="Millares 15 10 2" xfId="4378" xr:uid="{D4407988-EC9C-4BED-A619-81760D166FE1}"/>
    <cellStyle name="Millares 15 11" xfId="2109" xr:uid="{3AD872B5-23B8-47EB-9486-FD1E9A0FA3BF}"/>
    <cellStyle name="Millares 15 11 2" xfId="4469" xr:uid="{37E2978A-9786-48C5-BFD5-33B230AF2E9C}"/>
    <cellStyle name="Millares 15 12" xfId="2198" xr:uid="{609B1864-1C46-4576-A89E-B20C46F1854F}"/>
    <cellStyle name="Millares 15 12 2" xfId="4558" xr:uid="{4CA60D2F-D969-48F7-928F-CBD1F46BF83D}"/>
    <cellStyle name="Millares 15 13" xfId="2288" xr:uid="{C25E6D79-9AEC-4426-A4B0-CCEAE257AA7B}"/>
    <cellStyle name="Millares 15 13 2" xfId="4648" xr:uid="{B2959A58-5365-470D-A3BD-DCE1D4DF03FB}"/>
    <cellStyle name="Millares 15 14" xfId="2377" xr:uid="{1F353F1C-C365-49CF-BB76-9B3932DFD662}"/>
    <cellStyle name="Millares 15 14 2" xfId="4737" xr:uid="{E33A08E9-F9C3-472D-81D9-6E06A83FCFC8}"/>
    <cellStyle name="Millares 15 15" xfId="2467" xr:uid="{6766C19F-839A-47E3-A531-A74A2F24B9E1}"/>
    <cellStyle name="Millares 15 15 2" xfId="4827" xr:uid="{6917105B-6006-4D79-ADD6-201D33DAAAB2}"/>
    <cellStyle name="Millares 15 16" xfId="2556" xr:uid="{C53AC327-ACC6-44EF-9FF7-C95C2B281E1B}"/>
    <cellStyle name="Millares 15 16 2" xfId="4916" xr:uid="{046071ED-31F2-4161-AF93-DD12B73AE722}"/>
    <cellStyle name="Millares 15 17" xfId="2646" xr:uid="{57AFB147-AC87-4070-A5C3-1CE0273DCE9A}"/>
    <cellStyle name="Millares 15 17 2" xfId="5006" xr:uid="{0C603A48-88B4-4DD0-B962-DC5CE3FB830F}"/>
    <cellStyle name="Millares 15 18" xfId="2736" xr:uid="{5FF221AE-9B32-4643-9FAB-758FB6BAF6A2}"/>
    <cellStyle name="Millares 15 18 2" xfId="5096" xr:uid="{D66703C4-DDA4-4AF1-82BA-89DEAC4313F6}"/>
    <cellStyle name="Millares 15 19" xfId="2826" xr:uid="{080D60EB-71DD-45EB-BF15-52AE4F74CB0D}"/>
    <cellStyle name="Millares 15 19 2" xfId="5186" xr:uid="{544D00DC-ABA0-460C-BC6A-13D871E86240}"/>
    <cellStyle name="Millares 15 2" xfId="1286" xr:uid="{00000000-0005-0000-0000-000090030000}"/>
    <cellStyle name="Millares 15 2 2" xfId="3451" xr:uid="{96CB46F3-A619-46DE-A130-8F32CD7D4354}"/>
    <cellStyle name="Millares 15 2 2 2" xfId="5462" xr:uid="{3EBA158E-F47D-4835-8B92-104F282C5F3D}"/>
    <cellStyle name="Millares 15 2 3" xfId="3659" xr:uid="{9962F344-2BE4-46C1-BA05-625BC1D9F4FD}"/>
    <cellStyle name="Millares 15 20" xfId="2919" xr:uid="{9393BC5B-059E-45B1-B3EA-CC607D908042}"/>
    <cellStyle name="Millares 15 20 2" xfId="5279" xr:uid="{46F54253-5553-43B4-9F90-A5471BDFD548}"/>
    <cellStyle name="Millares 15 21" xfId="3013" xr:uid="{81EC7D68-99BB-4F79-8B86-27A0F22F08C0}"/>
    <cellStyle name="Millares 15 21 2" xfId="5372" xr:uid="{60A0836A-8575-4153-AB82-95BD484DAB79}"/>
    <cellStyle name="Millares 15 22" xfId="3613" xr:uid="{013C3B18-009F-45BE-A9EC-2FC76EC5A8D4}"/>
    <cellStyle name="Millares 15 3" xfId="1383" xr:uid="{00000000-0005-0000-0000-000091030000}"/>
    <cellStyle name="Millares 15 3 2" xfId="3749" xr:uid="{0329E551-5FFA-4819-9881-FA482B0969D7}"/>
    <cellStyle name="Millares 15 4" xfId="1473" xr:uid="{00000000-0005-0000-0000-000092030000}"/>
    <cellStyle name="Millares 15 4 2" xfId="3839" xr:uid="{3E42A495-F43C-4E23-B836-3065A8F431F1}"/>
    <cellStyle name="Millares 15 5" xfId="1563" xr:uid="{00000000-0005-0000-0000-000093030000}"/>
    <cellStyle name="Millares 15 5 2" xfId="3929" xr:uid="{42B99F25-2603-42D3-BCB0-0E809A2E4222}"/>
    <cellStyle name="Millares 15 6" xfId="1654" xr:uid="{00000000-0005-0000-0000-000094030000}"/>
    <cellStyle name="Millares 15 6 2" xfId="4019" xr:uid="{4920486E-3063-48AB-AC66-3B4FB3411A2D}"/>
    <cellStyle name="Millares 15 7" xfId="1747" xr:uid="{00000000-0005-0000-0000-000095030000}"/>
    <cellStyle name="Millares 15 7 2" xfId="4109" xr:uid="{D94412BA-3365-4990-BD96-81D3F210D15A}"/>
    <cellStyle name="Millares 15 8" xfId="1838" xr:uid="{6DDF9DB4-A794-4A0A-9537-768B86E7B4D7}"/>
    <cellStyle name="Millares 15 8 2" xfId="4199" xr:uid="{08104915-1EB1-4456-9386-798D1954082F}"/>
    <cellStyle name="Millares 15 9" xfId="1929" xr:uid="{D371ED07-DF98-4D42-B22D-288A79346B99}"/>
    <cellStyle name="Millares 15 9 2" xfId="4289" xr:uid="{9683E250-6389-4D06-AC7B-5A368092D60B}"/>
    <cellStyle name="Millares 16" xfId="1240" xr:uid="{00000000-0005-0000-0000-000096030000}"/>
    <cellStyle name="Millares 16 10" xfId="2019" xr:uid="{FCD688DA-9571-4FA8-9999-3090A4A98FF2}"/>
    <cellStyle name="Millares 16 10 2" xfId="4379" xr:uid="{019DC60F-EC3F-4DCC-94DF-2940FC171D66}"/>
    <cellStyle name="Millares 16 11" xfId="2110" xr:uid="{60A08D00-C233-4D9A-8D88-5346B7F25091}"/>
    <cellStyle name="Millares 16 11 2" xfId="4470" xr:uid="{8F6ACF83-B09A-4586-8CB3-48BE31805EB3}"/>
    <cellStyle name="Millares 16 12" xfId="2199" xr:uid="{80B3E406-EFF0-4F06-90F2-753A90293E29}"/>
    <cellStyle name="Millares 16 12 2" xfId="4559" xr:uid="{203CE963-4B1F-420D-BA63-020D596BD16C}"/>
    <cellStyle name="Millares 16 13" xfId="2289" xr:uid="{FC96C34A-B9AD-4101-8299-24CFFFB70C7D}"/>
    <cellStyle name="Millares 16 13 2" xfId="4649" xr:uid="{74275062-D8EF-4335-8CD0-D2DC6344E7DC}"/>
    <cellStyle name="Millares 16 14" xfId="2378" xr:uid="{FF142759-2CD7-43B3-9161-AC283FADB0F3}"/>
    <cellStyle name="Millares 16 14 2" xfId="4738" xr:uid="{E569595B-F095-46C7-8A71-12682D2AECEB}"/>
    <cellStyle name="Millares 16 15" xfId="2468" xr:uid="{A3601A1D-8B3C-4FE7-9624-46B2F74F5643}"/>
    <cellStyle name="Millares 16 15 2" xfId="4828" xr:uid="{C8B8CC91-4B46-4351-A3DC-D23A15EB0725}"/>
    <cellStyle name="Millares 16 16" xfId="2557" xr:uid="{48CC26F0-A9C7-4AE5-99F4-F85D7184EF33}"/>
    <cellStyle name="Millares 16 16 2" xfId="4917" xr:uid="{9A7ECFA1-1A05-4C84-9353-F6BBEFA48576}"/>
    <cellStyle name="Millares 16 17" xfId="2647" xr:uid="{60B5EF70-C63F-4E47-BB72-21F8018241F1}"/>
    <cellStyle name="Millares 16 17 2" xfId="5007" xr:uid="{7668FBDA-2F4D-49A8-927E-5D1E24469D10}"/>
    <cellStyle name="Millares 16 18" xfId="2737" xr:uid="{F0969D27-D258-4460-A05D-9E64FE925926}"/>
    <cellStyle name="Millares 16 18 2" xfId="5097" xr:uid="{9576AB1D-F77E-4A93-AB91-C455479C3CF1}"/>
    <cellStyle name="Millares 16 19" xfId="2827" xr:uid="{F23AFDAD-92C7-4A30-944A-166E23458BF8}"/>
    <cellStyle name="Millares 16 19 2" xfId="5187" xr:uid="{424C9125-8A80-41BA-B10F-04C4929B5A1E}"/>
    <cellStyle name="Millares 16 2" xfId="1287" xr:uid="{00000000-0005-0000-0000-000097030000}"/>
    <cellStyle name="Millares 16 2 2" xfId="3452" xr:uid="{DA897432-98C1-41D2-A6B2-E706541B235A}"/>
    <cellStyle name="Millares 16 2 2 2" xfId="5463" xr:uid="{7B08E777-0180-4FE2-81CC-C5605499A253}"/>
    <cellStyle name="Millares 16 2 3" xfId="3660" xr:uid="{394BE627-3C8F-45ED-8E9C-86A18F76D772}"/>
    <cellStyle name="Millares 16 20" xfId="2920" xr:uid="{72D0D3D5-9C42-4F4C-A956-2756F8FBB523}"/>
    <cellStyle name="Millares 16 20 2" xfId="5280" xr:uid="{F997DC50-2687-4615-8601-D326F3ED6294}"/>
    <cellStyle name="Millares 16 21" xfId="3014" xr:uid="{F72B87E9-60AA-4878-B2F7-CADC74385AF0}"/>
    <cellStyle name="Millares 16 21 2" xfId="5373" xr:uid="{F770A462-4FAC-40BC-A1E5-EDD19733EF33}"/>
    <cellStyle name="Millares 16 22" xfId="3617" xr:uid="{E75A958D-3298-4044-89B7-9F7744812250}"/>
    <cellStyle name="Millares 16 3" xfId="1384" xr:uid="{00000000-0005-0000-0000-000098030000}"/>
    <cellStyle name="Millares 16 3 2" xfId="3750" xr:uid="{706F9D15-AFC0-4431-86B2-F37BDF20F40E}"/>
    <cellStyle name="Millares 16 4" xfId="1474" xr:uid="{00000000-0005-0000-0000-000099030000}"/>
    <cellStyle name="Millares 16 4 2" xfId="3840" xr:uid="{205C4734-6AD7-44BC-AF0A-0FC523737F0B}"/>
    <cellStyle name="Millares 16 5" xfId="1564" xr:uid="{00000000-0005-0000-0000-00009A030000}"/>
    <cellStyle name="Millares 16 5 2" xfId="3930" xr:uid="{EC261929-149F-4DF2-881D-DE04B2FFD32E}"/>
    <cellStyle name="Millares 16 6" xfId="1655" xr:uid="{00000000-0005-0000-0000-00009B030000}"/>
    <cellStyle name="Millares 16 6 2" xfId="4020" xr:uid="{534E8871-3156-45E7-AFBA-736CF46AB290}"/>
    <cellStyle name="Millares 16 7" xfId="1748" xr:uid="{00000000-0005-0000-0000-00009C030000}"/>
    <cellStyle name="Millares 16 7 2" xfId="4110" xr:uid="{78B68AC5-CF94-4D36-B02D-BE3D753A5FC9}"/>
    <cellStyle name="Millares 16 8" xfId="1839" xr:uid="{AB6C58D7-C669-4EEF-8FEC-2B2BD55A2F38}"/>
    <cellStyle name="Millares 16 8 2" xfId="4200" xr:uid="{7F2E1DDA-76C0-46E0-B9C0-82D1333F6B07}"/>
    <cellStyle name="Millares 16 9" xfId="1930" xr:uid="{BD5B6A65-4975-4B41-AD54-001D3C836E81}"/>
    <cellStyle name="Millares 16 9 2" xfId="4290" xr:uid="{B013DBA6-87A4-4C05-9CC9-AF5E435990B1}"/>
    <cellStyle name="Millares 17" xfId="1245" xr:uid="{00000000-0005-0000-0000-00009D030000}"/>
    <cellStyle name="Millares 17 10" xfId="2020" xr:uid="{C4305BA7-7A9F-4C11-8DD3-8C87FADF5272}"/>
    <cellStyle name="Millares 17 10 2" xfId="4380" xr:uid="{86B3BD1C-6E9F-4722-BC7F-5F1133012788}"/>
    <cellStyle name="Millares 17 11" xfId="2111" xr:uid="{A4BBF681-6869-46C8-B3B0-E383080A8B72}"/>
    <cellStyle name="Millares 17 11 2" xfId="4471" xr:uid="{13CE13E9-930A-4AD4-86B0-8FCD2A80240E}"/>
    <cellStyle name="Millares 17 12" xfId="2200" xr:uid="{FF6B1571-6CC0-4A1A-993B-96231054CD87}"/>
    <cellStyle name="Millares 17 12 2" xfId="4560" xr:uid="{56DBF967-4B85-43C5-90F8-F294150BD894}"/>
    <cellStyle name="Millares 17 13" xfId="2290" xr:uid="{6C78A7DC-4CA9-4DB6-AEA5-1B62E009A8B0}"/>
    <cellStyle name="Millares 17 13 2" xfId="4650" xr:uid="{FAE6947C-4F55-4D5C-B4A6-B10FEB237C6C}"/>
    <cellStyle name="Millares 17 14" xfId="2379" xr:uid="{FBDFA324-B347-4D9A-9A22-042CDE0B0BDE}"/>
    <cellStyle name="Millares 17 14 2" xfId="4739" xr:uid="{954AC4FE-7552-41EF-8BC0-1FC95CE773CD}"/>
    <cellStyle name="Millares 17 15" xfId="2469" xr:uid="{9555A020-A34A-4FF3-A0FA-F419DD2B58CE}"/>
    <cellStyle name="Millares 17 15 2" xfId="4829" xr:uid="{40C1D8BC-F46F-48AB-A610-E2E0FCE93392}"/>
    <cellStyle name="Millares 17 16" xfId="2558" xr:uid="{F31623F4-57CD-464A-B5AB-B9ECCA28B173}"/>
    <cellStyle name="Millares 17 16 2" xfId="4918" xr:uid="{38CD2230-FC2D-421B-96F0-E6F0E5627627}"/>
    <cellStyle name="Millares 17 17" xfId="2648" xr:uid="{71A14748-AA19-4F39-B171-AB1C4FE7AD0F}"/>
    <cellStyle name="Millares 17 17 2" xfId="5008" xr:uid="{048C5A38-2881-4534-BB5E-7D7270394683}"/>
    <cellStyle name="Millares 17 18" xfId="2738" xr:uid="{D01D4232-ECB5-4F03-B93C-F690A98D3F99}"/>
    <cellStyle name="Millares 17 18 2" xfId="5098" xr:uid="{9F48BFF1-54DB-4437-857E-E2D399BA2B41}"/>
    <cellStyle name="Millares 17 19" xfId="2828" xr:uid="{2EA311F6-7DD4-4946-9EEC-EF5430B1428A}"/>
    <cellStyle name="Millares 17 19 2" xfId="5188" xr:uid="{4D6BCBCB-AF49-40F7-9F64-1EED4FE1FC11}"/>
    <cellStyle name="Millares 17 2" xfId="1288" xr:uid="{00000000-0005-0000-0000-00009E030000}"/>
    <cellStyle name="Millares 17 2 2" xfId="3453" xr:uid="{E1574025-870D-4E50-8E66-7B82C2DC37CB}"/>
    <cellStyle name="Millares 17 2 2 2" xfId="5464" xr:uid="{479B760F-9F89-4808-932E-028EB3CFBB51}"/>
    <cellStyle name="Millares 17 2 3" xfId="3661" xr:uid="{2A196FB9-0861-426F-9657-7208268817D5}"/>
    <cellStyle name="Millares 17 20" xfId="2921" xr:uid="{042FEDA2-731C-407C-86FC-AA17B21E8A05}"/>
    <cellStyle name="Millares 17 20 2" xfId="5281" xr:uid="{BCA52F19-306D-436D-8B0C-D494C005BDEA}"/>
    <cellStyle name="Millares 17 21" xfId="3015" xr:uid="{1B81F8C3-15E2-4037-9391-8A0CD5BA446B}"/>
    <cellStyle name="Millares 17 21 2" xfId="5374" xr:uid="{4977FEB8-96C4-44AD-AD69-43DE143F85C3}"/>
    <cellStyle name="Millares 17 22" xfId="3621" xr:uid="{6007D095-30CB-4FFB-9410-A3955C108637}"/>
    <cellStyle name="Millares 17 3" xfId="1385" xr:uid="{00000000-0005-0000-0000-00009F030000}"/>
    <cellStyle name="Millares 17 3 2" xfId="3751" xr:uid="{E4C58C7D-0F57-4C4C-B146-F80506B58935}"/>
    <cellStyle name="Millares 17 4" xfId="1475" xr:uid="{00000000-0005-0000-0000-0000A0030000}"/>
    <cellStyle name="Millares 17 4 2" xfId="3841" xr:uid="{8CD1B27A-68B7-42F4-BCE7-0DAB6ACA55B2}"/>
    <cellStyle name="Millares 17 5" xfId="1565" xr:uid="{00000000-0005-0000-0000-0000A1030000}"/>
    <cellStyle name="Millares 17 5 2" xfId="3931" xr:uid="{6F13136B-A62C-45E8-8E93-6819C111A600}"/>
    <cellStyle name="Millares 17 6" xfId="1656" xr:uid="{00000000-0005-0000-0000-0000A2030000}"/>
    <cellStyle name="Millares 17 6 2" xfId="4021" xr:uid="{A01E6C5B-9B97-4182-B8CE-340A72BD06D8}"/>
    <cellStyle name="Millares 17 7" xfId="1749" xr:uid="{00000000-0005-0000-0000-0000A3030000}"/>
    <cellStyle name="Millares 17 7 2" xfId="4111" xr:uid="{E77A0451-3390-4794-9598-0D48A51191E6}"/>
    <cellStyle name="Millares 17 8" xfId="1840" xr:uid="{5A1D07F0-5B04-49ED-9A95-8B4385893A36}"/>
    <cellStyle name="Millares 17 8 2" xfId="4201" xr:uid="{B6265585-9B4A-4E77-B95C-FCD946A1AE22}"/>
    <cellStyle name="Millares 17 9" xfId="1931" xr:uid="{27D709B2-76DD-4130-8D11-AC7936B42053}"/>
    <cellStyle name="Millares 17 9 2" xfId="4291" xr:uid="{4C9CBB3C-2A78-4918-9D8D-5EBA34C2D5D2}"/>
    <cellStyle name="Millares 18" xfId="1250" xr:uid="{00000000-0005-0000-0000-0000A4030000}"/>
    <cellStyle name="Millares 18 10" xfId="2021" xr:uid="{BB67D489-BB67-4410-A31A-10571A87B1E8}"/>
    <cellStyle name="Millares 18 10 2" xfId="4381" xr:uid="{4ADE0BE7-FED2-4E7E-9B6E-A660136BF5C1}"/>
    <cellStyle name="Millares 18 11" xfId="2112" xr:uid="{EB8186AA-36F5-4B16-9DC5-CDA6A39D4E1F}"/>
    <cellStyle name="Millares 18 11 2" xfId="4472" xr:uid="{3ECF2514-1468-447B-89DA-5CFC076D2395}"/>
    <cellStyle name="Millares 18 12" xfId="2201" xr:uid="{F948A163-1989-49CB-9AA1-9E0CEA96D504}"/>
    <cellStyle name="Millares 18 12 2" xfId="4561" xr:uid="{993F1AE0-80BB-40C6-B640-F19647CEFE82}"/>
    <cellStyle name="Millares 18 13" xfId="2291" xr:uid="{7643400C-A7A4-40C1-AFD7-E47850C5EECD}"/>
    <cellStyle name="Millares 18 13 2" xfId="4651" xr:uid="{7E5A7077-CB20-41A5-96D3-A7E23D3751A9}"/>
    <cellStyle name="Millares 18 14" xfId="2380" xr:uid="{CB2887EA-4355-4EA2-AD10-B6713915FDA9}"/>
    <cellStyle name="Millares 18 14 2" xfId="4740" xr:uid="{A2C4DFB2-05FF-49FC-9A3D-DCD095B67ACD}"/>
    <cellStyle name="Millares 18 15" xfId="2470" xr:uid="{3C83CB37-4813-4AC1-B773-E12767CF78A4}"/>
    <cellStyle name="Millares 18 15 2" xfId="4830" xr:uid="{0053D8C2-ADBF-4D22-B7AC-69610A35F301}"/>
    <cellStyle name="Millares 18 16" xfId="2559" xr:uid="{B7D8302C-6BE7-44A9-AAC5-019614F6B7E9}"/>
    <cellStyle name="Millares 18 16 2" xfId="4919" xr:uid="{8156912C-3D35-40CA-B752-079F4D68DB1B}"/>
    <cellStyle name="Millares 18 17" xfId="2649" xr:uid="{AE18B953-BB09-419B-970B-4F1CDA42F087}"/>
    <cellStyle name="Millares 18 17 2" xfId="5009" xr:uid="{0DA23066-CD99-4ADC-9551-BC55BABF64DC}"/>
    <cellStyle name="Millares 18 18" xfId="2739" xr:uid="{328A64A5-146F-404C-862C-2B49D3661D5B}"/>
    <cellStyle name="Millares 18 18 2" xfId="5099" xr:uid="{52202021-5AF4-405F-A7BE-B8B804577269}"/>
    <cellStyle name="Millares 18 19" xfId="2829" xr:uid="{29ACFF8B-3372-45A5-A0AE-D1BFE85DAA09}"/>
    <cellStyle name="Millares 18 19 2" xfId="5189" xr:uid="{29094B29-7F80-4871-9AE5-B3F5EB7F231C}"/>
    <cellStyle name="Millares 18 2" xfId="1289" xr:uid="{00000000-0005-0000-0000-0000A5030000}"/>
    <cellStyle name="Millares 18 2 2" xfId="3454" xr:uid="{CD59E236-9525-4A7A-86A5-B79301E68EB5}"/>
    <cellStyle name="Millares 18 2 2 2" xfId="5465" xr:uid="{9EB5D47C-D977-404F-BAFE-2AB8739352B9}"/>
    <cellStyle name="Millares 18 2 3" xfId="3662" xr:uid="{F624A155-A9B6-4901-8F73-549971289817}"/>
    <cellStyle name="Millares 18 20" xfId="2922" xr:uid="{C295B189-D23B-4AEF-A546-9825660635AF}"/>
    <cellStyle name="Millares 18 20 2" xfId="5282" xr:uid="{969AF34E-B3DA-4603-BCD0-8EEAF3AF4409}"/>
    <cellStyle name="Millares 18 21" xfId="3016" xr:uid="{9CFDC85D-C081-47B5-9CB2-271E299B219D}"/>
    <cellStyle name="Millares 18 21 2" xfId="5375" xr:uid="{690EE53D-7636-4A30-B815-0B970B57E96E}"/>
    <cellStyle name="Millares 18 22" xfId="3625" xr:uid="{7227FB66-F48B-4F6F-937D-2AACFFD4B32C}"/>
    <cellStyle name="Millares 18 3" xfId="1386" xr:uid="{00000000-0005-0000-0000-0000A6030000}"/>
    <cellStyle name="Millares 18 3 2" xfId="3752" xr:uid="{B7CBD926-541D-4181-A459-FDF43B8E80BA}"/>
    <cellStyle name="Millares 18 4" xfId="1476" xr:uid="{00000000-0005-0000-0000-0000A7030000}"/>
    <cellStyle name="Millares 18 4 2" xfId="3842" xr:uid="{A0AE68D5-0A4F-40EB-8BCD-EBC44F2314E0}"/>
    <cellStyle name="Millares 18 5" xfId="1566" xr:uid="{00000000-0005-0000-0000-0000A8030000}"/>
    <cellStyle name="Millares 18 5 2" xfId="3932" xr:uid="{3541FF13-C61A-47AD-888B-BD3B1B01BB70}"/>
    <cellStyle name="Millares 18 6" xfId="1657" xr:uid="{00000000-0005-0000-0000-0000A9030000}"/>
    <cellStyle name="Millares 18 6 2" xfId="4022" xr:uid="{E5296B9B-0E17-40F9-AE51-8C19CF46CF35}"/>
    <cellStyle name="Millares 18 7" xfId="1750" xr:uid="{00000000-0005-0000-0000-0000AA030000}"/>
    <cellStyle name="Millares 18 7 2" xfId="4112" xr:uid="{35041FF0-359E-4233-B696-CE9A8E314BA5}"/>
    <cellStyle name="Millares 18 8" xfId="1841" xr:uid="{FDA16A86-7843-4F67-86D8-FE56E8C4A211}"/>
    <cellStyle name="Millares 18 8 2" xfId="4202" xr:uid="{2587B637-AA14-459F-8049-90849089E096}"/>
    <cellStyle name="Millares 18 9" xfId="1932" xr:uid="{43A3DB5D-7249-4714-984A-F7529B018570}"/>
    <cellStyle name="Millares 18 9 2" xfId="4292" xr:uid="{D7A6C30E-5D2D-4CF4-99A6-586195E284CA}"/>
    <cellStyle name="Millares 19" xfId="1255" xr:uid="{00000000-0005-0000-0000-0000AB030000}"/>
    <cellStyle name="Millares 19 10" xfId="2022" xr:uid="{6A90BDCE-26E8-4BB7-80B9-F9A13821461E}"/>
    <cellStyle name="Millares 19 10 2" xfId="4382" xr:uid="{03FEFED4-600C-4372-84C2-50B42D45EEE6}"/>
    <cellStyle name="Millares 19 11" xfId="2113" xr:uid="{19AC9F52-B6EC-4FDB-946A-764CABC2A120}"/>
    <cellStyle name="Millares 19 11 2" xfId="4473" xr:uid="{E4272E46-BDE8-4E0E-A93E-8EDB59E9C866}"/>
    <cellStyle name="Millares 19 12" xfId="2202" xr:uid="{B6FE3767-355C-48A2-991D-51621C121358}"/>
    <cellStyle name="Millares 19 12 2" xfId="4562" xr:uid="{FD840D86-F78B-4E41-A01E-CC9A816C47D6}"/>
    <cellStyle name="Millares 19 13" xfId="2292" xr:uid="{5F276A5F-92A9-491F-BAAC-A04C191FDDAE}"/>
    <cellStyle name="Millares 19 13 2" xfId="4652" xr:uid="{CF2978EF-8A9C-4DEE-8B67-96FF4485A73A}"/>
    <cellStyle name="Millares 19 14" xfId="2381" xr:uid="{4CA4C36B-C062-4135-80DF-C3F4B567E694}"/>
    <cellStyle name="Millares 19 14 2" xfId="4741" xr:uid="{D319FD8D-E1AE-4414-8255-CFEF8B2739EE}"/>
    <cellStyle name="Millares 19 15" xfId="2471" xr:uid="{05B8D268-69A4-4D98-BEF2-3E77670E2A29}"/>
    <cellStyle name="Millares 19 15 2" xfId="4831" xr:uid="{4C7A69A9-7200-42FE-BC46-04DAF6988858}"/>
    <cellStyle name="Millares 19 16" xfId="2560" xr:uid="{2A8E5CD0-778D-4C9D-860A-35DA750CFD40}"/>
    <cellStyle name="Millares 19 16 2" xfId="4920" xr:uid="{646D8DC0-A3FD-418C-B893-F2FF1E133F48}"/>
    <cellStyle name="Millares 19 17" xfId="2650" xr:uid="{D3D342C0-AF28-490B-951D-474A9FD557D6}"/>
    <cellStyle name="Millares 19 17 2" xfId="5010" xr:uid="{932927D4-F3D6-486A-B245-98D046F48062}"/>
    <cellStyle name="Millares 19 18" xfId="2740" xr:uid="{14ECB599-7223-4918-A6FB-19204C0B10EE}"/>
    <cellStyle name="Millares 19 18 2" xfId="5100" xr:uid="{3D85EE78-9DE2-4821-82CA-2EC8E78C3F9E}"/>
    <cellStyle name="Millares 19 19" xfId="2830" xr:uid="{646B13DD-0934-4EF0-90D1-4E45D02A4A09}"/>
    <cellStyle name="Millares 19 19 2" xfId="5190" xr:uid="{FAD85228-8E8C-4C87-8AE9-58EE018B757F}"/>
    <cellStyle name="Millares 19 2" xfId="1290" xr:uid="{00000000-0005-0000-0000-0000AC030000}"/>
    <cellStyle name="Millares 19 2 2" xfId="3455" xr:uid="{88AE02FA-DEBC-4D2F-9E03-EF196C2638F4}"/>
    <cellStyle name="Millares 19 2 2 2" xfId="5466" xr:uid="{D88BBA8D-B1BE-4BE7-A0C0-D7921D36C555}"/>
    <cellStyle name="Millares 19 2 3" xfId="3663" xr:uid="{77BBAE75-5298-4F2E-9659-450EE0671503}"/>
    <cellStyle name="Millares 19 20" xfId="2923" xr:uid="{36F2FF98-5DE6-4497-9872-D681D8CA7F05}"/>
    <cellStyle name="Millares 19 20 2" xfId="5283" xr:uid="{B7A64C18-8C3F-4ECD-B54F-AAD500A776C8}"/>
    <cellStyle name="Millares 19 21" xfId="3017" xr:uid="{C80DAE96-C886-4617-9336-D9745A14F3D9}"/>
    <cellStyle name="Millares 19 21 2" xfId="5376" xr:uid="{670E156E-E90A-44B3-A96C-A9D390184DA6}"/>
    <cellStyle name="Millares 19 22" xfId="3629" xr:uid="{2DD41028-A0CC-45A1-B4D8-9F1364EAE763}"/>
    <cellStyle name="Millares 19 3" xfId="1387" xr:uid="{00000000-0005-0000-0000-0000AD030000}"/>
    <cellStyle name="Millares 19 3 2" xfId="3753" xr:uid="{61F77134-5E6C-427A-BAB0-C100433B1F71}"/>
    <cellStyle name="Millares 19 4" xfId="1477" xr:uid="{00000000-0005-0000-0000-0000AE030000}"/>
    <cellStyle name="Millares 19 4 2" xfId="3843" xr:uid="{3A0571B4-A8D9-4C19-80F7-1B2B7CA4743F}"/>
    <cellStyle name="Millares 19 5" xfId="1567" xr:uid="{00000000-0005-0000-0000-0000AF030000}"/>
    <cellStyle name="Millares 19 5 2" xfId="3933" xr:uid="{B91786A1-A485-4429-AD9A-2BDC1B86CF36}"/>
    <cellStyle name="Millares 19 6" xfId="1658" xr:uid="{00000000-0005-0000-0000-0000B0030000}"/>
    <cellStyle name="Millares 19 6 2" xfId="4023" xr:uid="{69CCBFFD-74F5-42B3-9E27-38275531318D}"/>
    <cellStyle name="Millares 19 7" xfId="1751" xr:uid="{00000000-0005-0000-0000-0000B1030000}"/>
    <cellStyle name="Millares 19 7 2" xfId="4113" xr:uid="{79519BC2-507E-417A-BE87-3F6C3E59292A}"/>
    <cellStyle name="Millares 19 8" xfId="1842" xr:uid="{20A817A7-BB4F-41BC-900E-948521855654}"/>
    <cellStyle name="Millares 19 8 2" xfId="4203" xr:uid="{2CD8319E-DB6B-4964-B9E7-DE1BDCE3F709}"/>
    <cellStyle name="Millares 19 9" xfId="1933" xr:uid="{99D1F936-F76E-4EC9-9379-5631B5A51C4F}"/>
    <cellStyle name="Millares 19 9 2" xfId="4293" xr:uid="{B8049FC8-BD00-4575-81BA-589372FC6432}"/>
    <cellStyle name="Millares 2" xfId="878" xr:uid="{00000000-0005-0000-0000-0000B2030000}"/>
    <cellStyle name="Millares 2 10" xfId="1224" xr:uid="{00000000-0005-0000-0000-0000B3030000}"/>
    <cellStyle name="Millares 2 10 10" xfId="2024" xr:uid="{71BE5D9E-9B50-4809-897F-2B6C79DE8F2D}"/>
    <cellStyle name="Millares 2 10 10 2" xfId="4384" xr:uid="{1C1BAB79-F89E-4D07-B2FF-C565B1EDF11A}"/>
    <cellStyle name="Millares 2 10 11" xfId="2115" xr:uid="{EAF42174-2F3E-46CF-98C7-098EE60EA803}"/>
    <cellStyle name="Millares 2 10 11 2" xfId="4475" xr:uid="{D8F37C58-6779-494A-9C65-23A1F8184D9C}"/>
    <cellStyle name="Millares 2 10 12" xfId="2204" xr:uid="{3BD770A0-1095-49D2-84E7-8D7E1CEE5EF0}"/>
    <cellStyle name="Millares 2 10 12 2" xfId="4564" xr:uid="{855AB087-787A-4871-8CD6-79C43AD9E41D}"/>
    <cellStyle name="Millares 2 10 13" xfId="2294" xr:uid="{60E67F0C-C146-4BDD-90D1-B0422F791E21}"/>
    <cellStyle name="Millares 2 10 13 2" xfId="4654" xr:uid="{F54B3CBC-F6ED-400B-A297-EC2336A74641}"/>
    <cellStyle name="Millares 2 10 14" xfId="2383" xr:uid="{C2213417-8734-481B-B707-C57EEB090CB9}"/>
    <cellStyle name="Millares 2 10 14 2" xfId="4743" xr:uid="{A91C146E-864D-4AA6-BE5A-8706E35A310C}"/>
    <cellStyle name="Millares 2 10 15" xfId="2473" xr:uid="{59DCB6A6-6831-4C39-930D-1C23A5491E58}"/>
    <cellStyle name="Millares 2 10 15 2" xfId="4833" xr:uid="{8FD31F32-4D1E-4AB9-892A-44888806996E}"/>
    <cellStyle name="Millares 2 10 16" xfId="2562" xr:uid="{2E5BB06B-DDCB-45AF-BA25-30F5644EFDA5}"/>
    <cellStyle name="Millares 2 10 16 2" xfId="4922" xr:uid="{273B90C1-C7DE-4CB2-A08E-4035EEFCA3D8}"/>
    <cellStyle name="Millares 2 10 17" xfId="2652" xr:uid="{CAEED580-8EDF-4CEE-9AEA-CFA1550F05A1}"/>
    <cellStyle name="Millares 2 10 17 2" xfId="5012" xr:uid="{66785FFD-F5B5-4703-8BA7-BCDC41C1313C}"/>
    <cellStyle name="Millares 2 10 18" xfId="2742" xr:uid="{8E5AB939-5628-4444-9B15-68FA3AAEBEA8}"/>
    <cellStyle name="Millares 2 10 18 2" xfId="5102" xr:uid="{8A538845-BD88-4EE8-B3D6-97A065B00386}"/>
    <cellStyle name="Millares 2 10 19" xfId="2832" xr:uid="{82C0751E-4371-4877-B14F-17C538311CAA}"/>
    <cellStyle name="Millares 2 10 19 2" xfId="5192" xr:uid="{62D7B60C-3629-44EC-8525-B4E775AE1F62}"/>
    <cellStyle name="Millares 2 10 2" xfId="1292" xr:uid="{00000000-0005-0000-0000-0000B4030000}"/>
    <cellStyle name="Millares 2 10 2 2" xfId="3457" xr:uid="{F525A098-79E1-4337-824A-72D6E4E2D195}"/>
    <cellStyle name="Millares 2 10 2 2 2" xfId="5468" xr:uid="{4FA189C1-9665-41B1-B8F8-96CF478225DA}"/>
    <cellStyle name="Millares 2 10 2 3" xfId="3665" xr:uid="{BE8E6AE0-8788-4E9B-BF44-2B5C080139B4}"/>
    <cellStyle name="Millares 2 10 20" xfId="2925" xr:uid="{CF7A9CCE-4FC7-4F35-B37B-BF9B872D9A14}"/>
    <cellStyle name="Millares 2 10 20 2" xfId="5285" xr:uid="{F512B1DE-DEED-4D12-A028-C044FC2E6662}"/>
    <cellStyle name="Millares 2 10 21" xfId="3019" xr:uid="{98CA58DA-9BA2-4CC0-B94A-15DF8079596A}"/>
    <cellStyle name="Millares 2 10 21 2" xfId="5378" xr:uid="{573CAAE4-5470-40FA-A2D0-80FD9AB66F11}"/>
    <cellStyle name="Millares 2 10 22" xfId="3602" xr:uid="{E69A059C-8486-4C69-A54B-83D973737C0A}"/>
    <cellStyle name="Millares 2 10 3" xfId="1389" xr:uid="{00000000-0005-0000-0000-0000B5030000}"/>
    <cellStyle name="Millares 2 10 3 2" xfId="3755" xr:uid="{8AA3BF37-439E-40A3-86E3-D1C3515F6373}"/>
    <cellStyle name="Millares 2 10 4" xfId="1479" xr:uid="{00000000-0005-0000-0000-0000B6030000}"/>
    <cellStyle name="Millares 2 10 4 2" xfId="3845" xr:uid="{0C1F9432-8C1D-43D3-B3F7-71D5F2A4DCDB}"/>
    <cellStyle name="Millares 2 10 5" xfId="1569" xr:uid="{00000000-0005-0000-0000-0000B7030000}"/>
    <cellStyle name="Millares 2 10 5 2" xfId="3935" xr:uid="{D546CB30-DEFE-40A3-A80A-9B462DC0C329}"/>
    <cellStyle name="Millares 2 10 6" xfId="1660" xr:uid="{00000000-0005-0000-0000-0000B8030000}"/>
    <cellStyle name="Millares 2 10 6 2" xfId="4025" xr:uid="{03614F1B-4993-4AE2-841A-A3C30273404B}"/>
    <cellStyle name="Millares 2 10 7" xfId="1753" xr:uid="{00000000-0005-0000-0000-0000B9030000}"/>
    <cellStyle name="Millares 2 10 7 2" xfId="4115" xr:uid="{7CC0CAF8-AB31-4CF5-B5B1-D541D8F2838F}"/>
    <cellStyle name="Millares 2 10 8" xfId="1844" xr:uid="{E5F83835-FA4C-4E88-BDD3-FD070BE62967}"/>
    <cellStyle name="Millares 2 10 8 2" xfId="4205" xr:uid="{0F0223C8-8F8F-4CB4-AC4C-CFA622BA4EAA}"/>
    <cellStyle name="Millares 2 10 9" xfId="1935" xr:uid="{3D05080E-D3F5-409B-9DB0-45F945304903}"/>
    <cellStyle name="Millares 2 10 9 2" xfId="4295" xr:uid="{75D7470A-939E-4F91-ADD7-EC908A613346}"/>
    <cellStyle name="Millares 2 11" xfId="1228" xr:uid="{00000000-0005-0000-0000-0000BA030000}"/>
    <cellStyle name="Millares 2 11 10" xfId="2025" xr:uid="{0310A74B-7AFE-44B4-81F4-921B504C03C8}"/>
    <cellStyle name="Millares 2 11 10 2" xfId="4385" xr:uid="{6C735E18-42D7-4658-8BEB-BAC79D8456FF}"/>
    <cellStyle name="Millares 2 11 11" xfId="2116" xr:uid="{4BBA0FEB-FAF6-40A0-83EF-49EA6F274EFC}"/>
    <cellStyle name="Millares 2 11 11 2" xfId="4476" xr:uid="{DCAAD9C4-9F9B-4494-86F8-4F6B033E28AA}"/>
    <cellStyle name="Millares 2 11 12" xfId="2205" xr:uid="{C460EB9C-FDB8-4772-8F5B-70572BED1203}"/>
    <cellStyle name="Millares 2 11 12 2" xfId="4565" xr:uid="{44443F6A-79CC-4208-99A5-EA6823015420}"/>
    <cellStyle name="Millares 2 11 13" xfId="2295" xr:uid="{87837AA9-8C79-411B-939E-308473279430}"/>
    <cellStyle name="Millares 2 11 13 2" xfId="4655" xr:uid="{EE74B958-F26A-4CD1-982B-EE51FD9C5E54}"/>
    <cellStyle name="Millares 2 11 14" xfId="2384" xr:uid="{8749D2A6-FC17-4D93-84AD-B4A8DD9F89D7}"/>
    <cellStyle name="Millares 2 11 14 2" xfId="4744" xr:uid="{7CFBB3B6-55E2-4A8A-910E-E2CD1C310F0B}"/>
    <cellStyle name="Millares 2 11 15" xfId="2474" xr:uid="{4C45A512-2EE1-443F-9631-3395B6C8E5FE}"/>
    <cellStyle name="Millares 2 11 15 2" xfId="4834" xr:uid="{A0FC4445-CF5B-4D68-A59B-C37DC488833E}"/>
    <cellStyle name="Millares 2 11 16" xfId="2563" xr:uid="{E8CF2C9A-041F-4453-B705-2A636A65E559}"/>
    <cellStyle name="Millares 2 11 16 2" xfId="4923" xr:uid="{CCFDB961-356B-471F-B751-6B228541436C}"/>
    <cellStyle name="Millares 2 11 17" xfId="2653" xr:uid="{EA7E3129-19DA-433D-BF94-E1B643A5C64B}"/>
    <cellStyle name="Millares 2 11 17 2" xfId="5013" xr:uid="{6029AB96-6C16-43A6-A94F-C77AD3894880}"/>
    <cellStyle name="Millares 2 11 18" xfId="2743" xr:uid="{DE4E5842-8B25-450E-A8C1-6D1E4F4B5C44}"/>
    <cellStyle name="Millares 2 11 18 2" xfId="5103" xr:uid="{D493600E-17DB-4E35-B5CA-D1CE201B61C3}"/>
    <cellStyle name="Millares 2 11 19" xfId="2833" xr:uid="{7A96CCA9-3FC6-4CBC-811C-DE9B5499BCE9}"/>
    <cellStyle name="Millares 2 11 19 2" xfId="5193" xr:uid="{AA5250E5-720E-4FC3-8CE7-8C6C08145D3D}"/>
    <cellStyle name="Millares 2 11 2" xfId="1293" xr:uid="{00000000-0005-0000-0000-0000BB030000}"/>
    <cellStyle name="Millares 2 11 2 2" xfId="3458" xr:uid="{ED16A0AE-3445-43AF-AA0E-EF38BD11140F}"/>
    <cellStyle name="Millares 2 11 2 2 2" xfId="5469" xr:uid="{72258BF7-EC3B-4D4B-875A-95B70E449FF8}"/>
    <cellStyle name="Millares 2 11 2 3" xfId="3666" xr:uid="{C2EB8724-FF56-4275-80FB-471E7065F26E}"/>
    <cellStyle name="Millares 2 11 20" xfId="2926" xr:uid="{36BAD128-A537-43EA-ADFA-7CD1D555A6C9}"/>
    <cellStyle name="Millares 2 11 20 2" xfId="5286" xr:uid="{48F4775E-C350-45ED-931F-2D5C28992321}"/>
    <cellStyle name="Millares 2 11 21" xfId="3020" xr:uid="{37683430-387E-4F15-BE77-DF57F4353A9D}"/>
    <cellStyle name="Millares 2 11 21 2" xfId="5379" xr:uid="{17411A6C-04BF-48DC-82F3-2857EEDC1D63}"/>
    <cellStyle name="Millares 2 11 22" xfId="3606" xr:uid="{BD4E86DA-D11A-4A2C-B2F4-005BE82F9774}"/>
    <cellStyle name="Millares 2 11 3" xfId="1390" xr:uid="{00000000-0005-0000-0000-0000BC030000}"/>
    <cellStyle name="Millares 2 11 3 2" xfId="3756" xr:uid="{BB145266-FAB2-4E87-84A5-FF1BCF6D0AE1}"/>
    <cellStyle name="Millares 2 11 4" xfId="1480" xr:uid="{00000000-0005-0000-0000-0000BD030000}"/>
    <cellStyle name="Millares 2 11 4 2" xfId="3846" xr:uid="{434F4689-8906-4C68-B933-AB6B853EC2FF}"/>
    <cellStyle name="Millares 2 11 5" xfId="1570" xr:uid="{00000000-0005-0000-0000-0000BE030000}"/>
    <cellStyle name="Millares 2 11 5 2" xfId="3936" xr:uid="{831E7E1D-7877-4E74-BA6F-780C70176B06}"/>
    <cellStyle name="Millares 2 11 6" xfId="1661" xr:uid="{00000000-0005-0000-0000-0000BF030000}"/>
    <cellStyle name="Millares 2 11 6 2" xfId="4026" xr:uid="{10DD74A6-000D-4658-BAC4-192D8E86F4CF}"/>
    <cellStyle name="Millares 2 11 7" xfId="1754" xr:uid="{00000000-0005-0000-0000-0000C0030000}"/>
    <cellStyle name="Millares 2 11 7 2" xfId="4116" xr:uid="{E0A06ADB-F86F-4A20-AC1B-C3951CF6C918}"/>
    <cellStyle name="Millares 2 11 8" xfId="1845" xr:uid="{81474BD2-5C85-4B2B-BC60-0BA9F7D34FC3}"/>
    <cellStyle name="Millares 2 11 8 2" xfId="4206" xr:uid="{2B1E2D50-7277-4E2A-B6CA-BDCEB8C927DA}"/>
    <cellStyle name="Millares 2 11 9" xfId="1936" xr:uid="{A9F5344E-57A1-495E-B82B-C5453F8FF68B}"/>
    <cellStyle name="Millares 2 11 9 2" xfId="4296" xr:uid="{4366524F-B5F8-4087-9556-7CA9366FDFEE}"/>
    <cellStyle name="Millares 2 12" xfId="1232" xr:uid="{00000000-0005-0000-0000-0000C1030000}"/>
    <cellStyle name="Millares 2 12 10" xfId="2026" xr:uid="{DB063991-2C8E-4FE1-8F7A-B6837727746A}"/>
    <cellStyle name="Millares 2 12 10 2" xfId="4386" xr:uid="{3BE2F166-073F-41FC-B42C-35EA3401E7B0}"/>
    <cellStyle name="Millares 2 12 11" xfId="2117" xr:uid="{ACD7149C-05A1-4CBB-8A82-AF3FC5F8C0E5}"/>
    <cellStyle name="Millares 2 12 11 2" xfId="4477" xr:uid="{600DDE33-97E2-4425-AA04-9A7DC66962FC}"/>
    <cellStyle name="Millares 2 12 12" xfId="2206" xr:uid="{B7C54AE0-FAB1-4C71-846A-A33A91C7CD66}"/>
    <cellStyle name="Millares 2 12 12 2" xfId="4566" xr:uid="{CCFA1684-492B-49D1-B6A5-1E5D0552CBE7}"/>
    <cellStyle name="Millares 2 12 13" xfId="2296" xr:uid="{DC04B7F2-772F-4AEF-85F1-2D97D882428C}"/>
    <cellStyle name="Millares 2 12 13 2" xfId="4656" xr:uid="{33AE67C7-B7E2-47A3-AC8E-8FD084D63B8E}"/>
    <cellStyle name="Millares 2 12 14" xfId="2385" xr:uid="{E7ED0EB3-7BA2-431D-AF52-ABA77D917170}"/>
    <cellStyle name="Millares 2 12 14 2" xfId="4745" xr:uid="{74C95878-3681-4ACE-8655-CA1460261E6E}"/>
    <cellStyle name="Millares 2 12 15" xfId="2475" xr:uid="{D2E1FD2A-1BE9-4A3D-A726-A774574D1AA3}"/>
    <cellStyle name="Millares 2 12 15 2" xfId="4835" xr:uid="{705B5FF3-3272-4C10-AF44-B36ECB910053}"/>
    <cellStyle name="Millares 2 12 16" xfId="2564" xr:uid="{E9AC3689-547E-4222-808F-77720213C7CB}"/>
    <cellStyle name="Millares 2 12 16 2" xfId="4924" xr:uid="{314B6946-AE75-457F-82B9-91A4B18012FB}"/>
    <cellStyle name="Millares 2 12 17" xfId="2654" xr:uid="{97A9DFC6-7B2F-48B6-BD13-0D493D4E7D95}"/>
    <cellStyle name="Millares 2 12 17 2" xfId="5014" xr:uid="{E5521279-59D0-41A6-8FEC-6FBA26C537FB}"/>
    <cellStyle name="Millares 2 12 18" xfId="2744" xr:uid="{C709AC51-4797-466D-BB14-5C4D3F1D9D84}"/>
    <cellStyle name="Millares 2 12 18 2" xfId="5104" xr:uid="{9648D9CD-C877-416C-9EB5-8C4BE7E91EA9}"/>
    <cellStyle name="Millares 2 12 19" xfId="2834" xr:uid="{1AA93215-D727-4737-8FE7-E94AF3F39EBB}"/>
    <cellStyle name="Millares 2 12 19 2" xfId="5194" xr:uid="{B03A9342-58AA-445A-8F4D-1D9173F6612A}"/>
    <cellStyle name="Millares 2 12 2" xfId="1294" xr:uid="{00000000-0005-0000-0000-0000C2030000}"/>
    <cellStyle name="Millares 2 12 2 2" xfId="3459" xr:uid="{34940FF5-4C2F-4544-A1D4-42E77C8373FB}"/>
    <cellStyle name="Millares 2 12 2 2 2" xfId="5470" xr:uid="{B3C1ADAD-3CAA-4F02-B093-CF008A11337D}"/>
    <cellStyle name="Millares 2 12 2 3" xfId="3667" xr:uid="{46A9DE25-1B0B-418A-9454-832E1F631318}"/>
    <cellStyle name="Millares 2 12 20" xfId="2927" xr:uid="{F18B135B-6527-47CC-A926-040BA2DCFFB8}"/>
    <cellStyle name="Millares 2 12 20 2" xfId="5287" xr:uid="{BDE2AF84-0B87-4024-9776-EB9723830F8F}"/>
    <cellStyle name="Millares 2 12 21" xfId="3021" xr:uid="{B27A02EA-FC54-4220-BB53-C2B3ADE5A582}"/>
    <cellStyle name="Millares 2 12 21 2" xfId="5380" xr:uid="{BD40EEB1-F090-4CD6-8668-393F28B424E2}"/>
    <cellStyle name="Millares 2 12 22" xfId="3610" xr:uid="{DA0A4AF5-A44C-42D0-8990-6700AECA03EB}"/>
    <cellStyle name="Millares 2 12 3" xfId="1391" xr:uid="{00000000-0005-0000-0000-0000C3030000}"/>
    <cellStyle name="Millares 2 12 3 2" xfId="3757" xr:uid="{12963BD1-4938-41E3-BDE8-9692B832D6C0}"/>
    <cellStyle name="Millares 2 12 4" xfId="1481" xr:uid="{00000000-0005-0000-0000-0000C4030000}"/>
    <cellStyle name="Millares 2 12 4 2" xfId="3847" xr:uid="{A6CA1190-FB4B-4F58-8EF1-75B1236A89B9}"/>
    <cellStyle name="Millares 2 12 5" xfId="1571" xr:uid="{00000000-0005-0000-0000-0000C5030000}"/>
    <cellStyle name="Millares 2 12 5 2" xfId="3937" xr:uid="{DD1F1740-0238-4EC1-9D9C-4E9FB759E187}"/>
    <cellStyle name="Millares 2 12 6" xfId="1662" xr:uid="{00000000-0005-0000-0000-0000C6030000}"/>
    <cellStyle name="Millares 2 12 6 2" xfId="4027" xr:uid="{96A0914A-3FEE-4828-9055-1C824D52AA92}"/>
    <cellStyle name="Millares 2 12 7" xfId="1755" xr:uid="{00000000-0005-0000-0000-0000C7030000}"/>
    <cellStyle name="Millares 2 12 7 2" xfId="4117" xr:uid="{C3828624-8F26-46EE-A9B8-01F9F691AFD9}"/>
    <cellStyle name="Millares 2 12 8" xfId="1846" xr:uid="{7C8A68CC-3680-4B7E-8601-7BE1013E475B}"/>
    <cellStyle name="Millares 2 12 8 2" xfId="4207" xr:uid="{C73F1BFA-119D-4CC3-8609-B886B49552A4}"/>
    <cellStyle name="Millares 2 12 9" xfId="1937" xr:uid="{320BDD3F-E4F8-48A6-A263-39F94B2B2AF9}"/>
    <cellStyle name="Millares 2 12 9 2" xfId="4297" xr:uid="{6E6A47FA-774A-41D7-88D3-D8FC5CB53890}"/>
    <cellStyle name="Millares 2 13" xfId="1236" xr:uid="{00000000-0005-0000-0000-0000C8030000}"/>
    <cellStyle name="Millares 2 13 10" xfId="2027" xr:uid="{BB34EC71-C9F4-4FD9-A6FD-1644A287031D}"/>
    <cellStyle name="Millares 2 13 10 2" xfId="4387" xr:uid="{34F5008A-E223-45FB-B059-27B4CDFBAEFA}"/>
    <cellStyle name="Millares 2 13 11" xfId="2118" xr:uid="{99E3F14B-B228-45B8-93A2-3C93C8A35721}"/>
    <cellStyle name="Millares 2 13 11 2" xfId="4478" xr:uid="{05A2A149-04FD-40E1-A799-63DE56ACF183}"/>
    <cellStyle name="Millares 2 13 12" xfId="2207" xr:uid="{9231689E-62E6-448D-AFB9-90E2320989E5}"/>
    <cellStyle name="Millares 2 13 12 2" xfId="4567" xr:uid="{AD401646-DF9D-40E7-BC95-5E9DCF0A4722}"/>
    <cellStyle name="Millares 2 13 13" xfId="2297" xr:uid="{5885E42A-729D-42A1-8D53-1561825F7E72}"/>
    <cellStyle name="Millares 2 13 13 2" xfId="4657" xr:uid="{D4121D86-4046-470E-97EE-AF208068AED8}"/>
    <cellStyle name="Millares 2 13 14" xfId="2386" xr:uid="{BD3F2ABB-CA01-4420-BFF1-B6DA3BE4D85A}"/>
    <cellStyle name="Millares 2 13 14 2" xfId="4746" xr:uid="{9E315554-4C0B-4305-B225-8BB7A2AC8B30}"/>
    <cellStyle name="Millares 2 13 15" xfId="2476" xr:uid="{67BD30CE-39E5-4991-9C30-5C8A42E4F22A}"/>
    <cellStyle name="Millares 2 13 15 2" xfId="4836" xr:uid="{AF6B10DF-3D87-4868-A298-39AA5D4338F0}"/>
    <cellStyle name="Millares 2 13 16" xfId="2565" xr:uid="{B80B12EE-2097-425B-8B31-44BA1C7B1E3D}"/>
    <cellStyle name="Millares 2 13 16 2" xfId="4925" xr:uid="{45BF8092-0453-41EE-93AD-1077C5FCD521}"/>
    <cellStyle name="Millares 2 13 17" xfId="2655" xr:uid="{0BB53DD0-3742-4E47-BD24-1D042A7BCF0F}"/>
    <cellStyle name="Millares 2 13 17 2" xfId="5015" xr:uid="{173412A2-3B3B-42BD-9996-277DF7BB83F2}"/>
    <cellStyle name="Millares 2 13 18" xfId="2745" xr:uid="{CA50595D-FBF8-401C-A4A4-80FDCA200400}"/>
    <cellStyle name="Millares 2 13 18 2" xfId="5105" xr:uid="{CB24A341-25C2-47B2-A5BD-0D185D601C49}"/>
    <cellStyle name="Millares 2 13 19" xfId="2835" xr:uid="{9D1199AE-0274-4AC8-8FDE-175A6BCF4E3A}"/>
    <cellStyle name="Millares 2 13 19 2" xfId="5195" xr:uid="{D2A42DB2-D287-48B7-A9E8-A5D6237E8A2F}"/>
    <cellStyle name="Millares 2 13 2" xfId="1295" xr:uid="{00000000-0005-0000-0000-0000C9030000}"/>
    <cellStyle name="Millares 2 13 2 2" xfId="3460" xr:uid="{B1181F7C-1363-4581-A8A4-9AD459D35B70}"/>
    <cellStyle name="Millares 2 13 2 2 2" xfId="5471" xr:uid="{A4002E72-6B2A-4E85-BC6B-ADDDE25646CF}"/>
    <cellStyle name="Millares 2 13 2 3" xfId="3668" xr:uid="{0D5E9ACB-3F60-4084-BDC4-3A00515F3C2F}"/>
    <cellStyle name="Millares 2 13 20" xfId="2928" xr:uid="{2649117E-AFAC-4BB4-B80F-2EB347402724}"/>
    <cellStyle name="Millares 2 13 20 2" xfId="5288" xr:uid="{77EB1F91-E00D-4421-8B47-D5482A3566E2}"/>
    <cellStyle name="Millares 2 13 21" xfId="3022" xr:uid="{64ACABCF-D74D-4120-B1F3-9330EE70EA3E}"/>
    <cellStyle name="Millares 2 13 21 2" xfId="5381" xr:uid="{13C4057A-9464-435E-9F82-2B8E80F65FCA}"/>
    <cellStyle name="Millares 2 13 22" xfId="3614" xr:uid="{F51937F7-3A9F-487D-A048-9A6533EE4377}"/>
    <cellStyle name="Millares 2 13 3" xfId="1392" xr:uid="{00000000-0005-0000-0000-0000CA030000}"/>
    <cellStyle name="Millares 2 13 3 2" xfId="3758" xr:uid="{EE9DF31A-3891-47D1-BFF6-B719B1054180}"/>
    <cellStyle name="Millares 2 13 4" xfId="1482" xr:uid="{00000000-0005-0000-0000-0000CB030000}"/>
    <cellStyle name="Millares 2 13 4 2" xfId="3848" xr:uid="{35DB03CB-F202-418A-A225-3CDB7F9C8F0D}"/>
    <cellStyle name="Millares 2 13 5" xfId="1572" xr:uid="{00000000-0005-0000-0000-0000CC030000}"/>
    <cellStyle name="Millares 2 13 5 2" xfId="3938" xr:uid="{D298D260-AD52-473B-9D91-AB3D8EAE85FA}"/>
    <cellStyle name="Millares 2 13 6" xfId="1663" xr:uid="{00000000-0005-0000-0000-0000CD030000}"/>
    <cellStyle name="Millares 2 13 6 2" xfId="4028" xr:uid="{7063F265-B4AF-4DAD-BA6F-4BFFC34463CF}"/>
    <cellStyle name="Millares 2 13 7" xfId="1756" xr:uid="{00000000-0005-0000-0000-0000CE030000}"/>
    <cellStyle name="Millares 2 13 7 2" xfId="4118" xr:uid="{5B7BE9F6-D334-44E9-BF1B-F46FEF39535B}"/>
    <cellStyle name="Millares 2 13 8" xfId="1847" xr:uid="{79CD7C19-683D-4683-B9C3-32ECC5241424}"/>
    <cellStyle name="Millares 2 13 8 2" xfId="4208" xr:uid="{71DB9DD5-4218-47EE-A623-2466BE3A0283}"/>
    <cellStyle name="Millares 2 13 9" xfId="1938" xr:uid="{F159DE0C-D5C1-43B9-B8D0-A315F5EC9DE4}"/>
    <cellStyle name="Millares 2 13 9 2" xfId="4298" xr:uid="{5F3242B2-9DB6-43BB-9409-A38B12870E35}"/>
    <cellStyle name="Millares 2 14" xfId="1241" xr:uid="{00000000-0005-0000-0000-0000CF030000}"/>
    <cellStyle name="Millares 2 14 10" xfId="2028" xr:uid="{A026E08A-3029-4D2E-8747-EDBCB7F54553}"/>
    <cellStyle name="Millares 2 14 10 2" xfId="4388" xr:uid="{699DCCEB-FF1C-4F7F-90F4-78317CBDF901}"/>
    <cellStyle name="Millares 2 14 11" xfId="2119" xr:uid="{33CFA213-C8AE-4759-AE84-B6F10E86388D}"/>
    <cellStyle name="Millares 2 14 11 2" xfId="4479" xr:uid="{A6B38440-FF79-4C4C-B554-D9E555DD447A}"/>
    <cellStyle name="Millares 2 14 12" xfId="2208" xr:uid="{B05CA0B7-AC42-479D-BC98-B9EED91537E9}"/>
    <cellStyle name="Millares 2 14 12 2" xfId="4568" xr:uid="{8F1A3A85-7F33-469F-BEC6-93C3CF13BEBC}"/>
    <cellStyle name="Millares 2 14 13" xfId="2298" xr:uid="{DDA89F10-45AA-40B7-9F3E-1C885B6D2210}"/>
    <cellStyle name="Millares 2 14 13 2" xfId="4658" xr:uid="{586D9338-E7C3-4969-AFA8-FA5DAC8E6243}"/>
    <cellStyle name="Millares 2 14 14" xfId="2387" xr:uid="{89543EF1-FBC9-4257-9716-DAAE0F25CE9D}"/>
    <cellStyle name="Millares 2 14 14 2" xfId="4747" xr:uid="{3AA61AB4-3E04-4938-8769-5CDA1981E799}"/>
    <cellStyle name="Millares 2 14 15" xfId="2477" xr:uid="{A72D8674-DEFC-459C-B0B8-9286F3622581}"/>
    <cellStyle name="Millares 2 14 15 2" xfId="4837" xr:uid="{E783BF7E-745C-49E9-A77B-A9C8F4F6184E}"/>
    <cellStyle name="Millares 2 14 16" xfId="2566" xr:uid="{A81091EF-01BF-444E-AEF0-C3E93422E814}"/>
    <cellStyle name="Millares 2 14 16 2" xfId="4926" xr:uid="{D910AE93-30A1-48D5-9C2E-7D7FF29CDEEA}"/>
    <cellStyle name="Millares 2 14 17" xfId="2656" xr:uid="{B61D4FC3-2D74-4995-A7C5-1F1DB8368B08}"/>
    <cellStyle name="Millares 2 14 17 2" xfId="5016" xr:uid="{544DCF72-01DC-4DE6-A2EF-248E4EBCF8AE}"/>
    <cellStyle name="Millares 2 14 18" xfId="2746" xr:uid="{A10756E3-556E-4090-B00A-0E21FC536B05}"/>
    <cellStyle name="Millares 2 14 18 2" xfId="5106" xr:uid="{33469E2D-2BA1-4D38-8746-FDF2FEE3531E}"/>
    <cellStyle name="Millares 2 14 19" xfId="2836" xr:uid="{4A7A8FE4-39ED-468E-A5F3-F22E4711AF36}"/>
    <cellStyle name="Millares 2 14 19 2" xfId="5196" xr:uid="{DF0751B8-E128-40E1-8E53-CA5F8A9D9F4E}"/>
    <cellStyle name="Millares 2 14 2" xfId="1296" xr:uid="{00000000-0005-0000-0000-0000D0030000}"/>
    <cellStyle name="Millares 2 14 2 2" xfId="3461" xr:uid="{E431411D-1BCC-4B23-938D-F34E1675E526}"/>
    <cellStyle name="Millares 2 14 2 2 2" xfId="5472" xr:uid="{BCD4DBC9-E677-48B0-802B-C46A8ECFB5EB}"/>
    <cellStyle name="Millares 2 14 2 3" xfId="3669" xr:uid="{2E39672D-6B8F-4D18-BDCB-3B385351A9B8}"/>
    <cellStyle name="Millares 2 14 20" xfId="2929" xr:uid="{FDAD5EDC-10E9-48A7-8134-8D9992782CD2}"/>
    <cellStyle name="Millares 2 14 20 2" xfId="5289" xr:uid="{6DB5429E-E405-41A0-95BA-C2888EB36255}"/>
    <cellStyle name="Millares 2 14 21" xfId="3023" xr:uid="{0AB9B9CE-3A3E-421B-8FF4-A7721187F81C}"/>
    <cellStyle name="Millares 2 14 21 2" xfId="5382" xr:uid="{2E4498EA-D64B-4349-8767-7DD173AD0820}"/>
    <cellStyle name="Millares 2 14 22" xfId="3618" xr:uid="{9ACB01C5-14C6-4685-B9C4-5BDBF2C8CF33}"/>
    <cellStyle name="Millares 2 14 3" xfId="1393" xr:uid="{00000000-0005-0000-0000-0000D1030000}"/>
    <cellStyle name="Millares 2 14 3 2" xfId="3759" xr:uid="{E59B752A-269E-48E4-9EE8-BB6FBF63DB00}"/>
    <cellStyle name="Millares 2 14 4" xfId="1483" xr:uid="{00000000-0005-0000-0000-0000D2030000}"/>
    <cellStyle name="Millares 2 14 4 2" xfId="3849" xr:uid="{CBB2BE2A-D443-4C86-ADA0-D4FB87FD82C8}"/>
    <cellStyle name="Millares 2 14 5" xfId="1573" xr:uid="{00000000-0005-0000-0000-0000D3030000}"/>
    <cellStyle name="Millares 2 14 5 2" xfId="3939" xr:uid="{23C67FA5-6D25-485E-8D5B-63F648E8438C}"/>
    <cellStyle name="Millares 2 14 6" xfId="1664" xr:uid="{00000000-0005-0000-0000-0000D4030000}"/>
    <cellStyle name="Millares 2 14 6 2" xfId="4029" xr:uid="{3630EBF0-D9EA-48EC-850F-6E5D09E7E9C5}"/>
    <cellStyle name="Millares 2 14 7" xfId="1757" xr:uid="{00000000-0005-0000-0000-0000D5030000}"/>
    <cellStyle name="Millares 2 14 7 2" xfId="4119" xr:uid="{CD30E455-FA17-44D2-998E-C5E8FDA2DF12}"/>
    <cellStyle name="Millares 2 14 8" xfId="1848" xr:uid="{6C84A2DB-E9A3-47CB-88AE-9B3D590E7EE2}"/>
    <cellStyle name="Millares 2 14 8 2" xfId="4209" xr:uid="{EF2E1350-9666-4694-A923-F55DDA0E7B0D}"/>
    <cellStyle name="Millares 2 14 9" xfId="1939" xr:uid="{3C693555-55A3-4962-A5AE-F70994FED6BA}"/>
    <cellStyle name="Millares 2 14 9 2" xfId="4299" xr:uid="{E6A6683F-A8F8-4487-9F90-E0B8EEA3DB0F}"/>
    <cellStyle name="Millares 2 15" xfId="1246" xr:uid="{00000000-0005-0000-0000-0000D6030000}"/>
    <cellStyle name="Millares 2 15 10" xfId="2029" xr:uid="{503FB027-DA9F-438B-9C81-4C22851C22AF}"/>
    <cellStyle name="Millares 2 15 10 2" xfId="4389" xr:uid="{4C1BEBFC-E17D-4581-BC29-FAFE25615254}"/>
    <cellStyle name="Millares 2 15 11" xfId="2120" xr:uid="{A20E829C-7996-4D96-B73A-22496AD88801}"/>
    <cellStyle name="Millares 2 15 11 2" xfId="4480" xr:uid="{33BDE632-9213-4455-9FD9-7863ECEE9E6F}"/>
    <cellStyle name="Millares 2 15 12" xfId="2209" xr:uid="{71100572-E618-44F9-BEF0-D8E974B36193}"/>
    <cellStyle name="Millares 2 15 12 2" xfId="4569" xr:uid="{220F2C58-3363-40A0-8291-2B4E05F1DE5D}"/>
    <cellStyle name="Millares 2 15 13" xfId="2299" xr:uid="{13F3C9F8-78B0-480C-8615-4062C199F833}"/>
    <cellStyle name="Millares 2 15 13 2" xfId="4659" xr:uid="{DABCF4E6-BF4F-4A3E-BA33-DD5002B1435A}"/>
    <cellStyle name="Millares 2 15 14" xfId="2388" xr:uid="{E22E91FE-5725-4BA8-980C-5F6B4BC31F14}"/>
    <cellStyle name="Millares 2 15 14 2" xfId="4748" xr:uid="{8DB53E46-F84A-4AE5-9E74-1726096F46F2}"/>
    <cellStyle name="Millares 2 15 15" xfId="2478" xr:uid="{E6171931-CDCD-4491-AA7A-D39739D69D9A}"/>
    <cellStyle name="Millares 2 15 15 2" xfId="4838" xr:uid="{60DBB9E0-C2AF-44E8-A666-8C45D060B2BC}"/>
    <cellStyle name="Millares 2 15 16" xfId="2567" xr:uid="{6834B621-17BB-4312-99D2-AD63F5DCEA02}"/>
    <cellStyle name="Millares 2 15 16 2" xfId="4927" xr:uid="{CF45453F-BD86-453F-94BD-00EBCC3C3FB3}"/>
    <cellStyle name="Millares 2 15 17" xfId="2657" xr:uid="{9222862E-24DF-4CDF-98AE-7F002D6D0B1B}"/>
    <cellStyle name="Millares 2 15 17 2" xfId="5017" xr:uid="{AFC6F1D5-290A-4991-A27E-D38019E3853C}"/>
    <cellStyle name="Millares 2 15 18" xfId="2747" xr:uid="{7906FCCA-7C3D-4B9C-B507-17C1317D3516}"/>
    <cellStyle name="Millares 2 15 18 2" xfId="5107" xr:uid="{E4B4F009-470C-472F-A6DE-C925D0470713}"/>
    <cellStyle name="Millares 2 15 19" xfId="2837" xr:uid="{D1641024-8DDF-4833-B10E-3BC144540D88}"/>
    <cellStyle name="Millares 2 15 19 2" xfId="5197" xr:uid="{8AA07EAE-036D-4B82-8F87-F055606E753F}"/>
    <cellStyle name="Millares 2 15 2" xfId="1297" xr:uid="{00000000-0005-0000-0000-0000D7030000}"/>
    <cellStyle name="Millares 2 15 2 2" xfId="3462" xr:uid="{C523B85C-7C3C-459C-B58E-F2DABA14B336}"/>
    <cellStyle name="Millares 2 15 2 2 2" xfId="5473" xr:uid="{A580EA77-9A50-467A-A62A-F0F663BD1D5B}"/>
    <cellStyle name="Millares 2 15 2 3" xfId="3670" xr:uid="{DE20490D-03FF-4524-983C-CA205A1CA3A2}"/>
    <cellStyle name="Millares 2 15 20" xfId="2930" xr:uid="{0C8C7887-A9D3-4E97-8560-29F9DDB0CC6D}"/>
    <cellStyle name="Millares 2 15 20 2" xfId="5290" xr:uid="{B3E00103-7E5F-4C3B-BE4A-3BA658601FAC}"/>
    <cellStyle name="Millares 2 15 21" xfId="3024" xr:uid="{8F7D63B1-7194-4A6C-A167-7AA36C360075}"/>
    <cellStyle name="Millares 2 15 21 2" xfId="5383" xr:uid="{0FD0E84E-5361-4774-9C54-858C4793F9E9}"/>
    <cellStyle name="Millares 2 15 22" xfId="3622" xr:uid="{B33E3A46-CE94-4E5D-A1C1-D01C81563246}"/>
    <cellStyle name="Millares 2 15 3" xfId="1394" xr:uid="{00000000-0005-0000-0000-0000D8030000}"/>
    <cellStyle name="Millares 2 15 3 2" xfId="3760" xr:uid="{FA3E5371-71E3-49A2-AFF4-09E87D8D7A37}"/>
    <cellStyle name="Millares 2 15 4" xfId="1484" xr:uid="{00000000-0005-0000-0000-0000D9030000}"/>
    <cellStyle name="Millares 2 15 4 2" xfId="3850" xr:uid="{4FAC0353-8FF6-48C3-9442-BFAC1D187E59}"/>
    <cellStyle name="Millares 2 15 5" xfId="1574" xr:uid="{00000000-0005-0000-0000-0000DA030000}"/>
    <cellStyle name="Millares 2 15 5 2" xfId="3940" xr:uid="{E6211349-931E-4057-BE54-EE4A11E5312E}"/>
    <cellStyle name="Millares 2 15 6" xfId="1665" xr:uid="{00000000-0005-0000-0000-0000DB030000}"/>
    <cellStyle name="Millares 2 15 6 2" xfId="4030" xr:uid="{B5A5C3D0-E346-4D10-B2D0-776F9BC93E64}"/>
    <cellStyle name="Millares 2 15 7" xfId="1758" xr:uid="{00000000-0005-0000-0000-0000DC030000}"/>
    <cellStyle name="Millares 2 15 7 2" xfId="4120" xr:uid="{C18AFF37-6640-43DB-A14B-EAE2F82D8F8C}"/>
    <cellStyle name="Millares 2 15 8" xfId="1849" xr:uid="{75251CB8-7D2A-4DF8-976C-1F0F28C3036F}"/>
    <cellStyle name="Millares 2 15 8 2" xfId="4210" xr:uid="{68054DEC-CBDC-4672-8A0A-CE78640C9C4B}"/>
    <cellStyle name="Millares 2 15 9" xfId="1940" xr:uid="{3D2A9F1F-4F4F-48C8-9E3D-AD840388409E}"/>
    <cellStyle name="Millares 2 15 9 2" xfId="4300" xr:uid="{9B7FA3BF-C743-425D-91A3-4384F0F5F08F}"/>
    <cellStyle name="Millares 2 16" xfId="1251" xr:uid="{00000000-0005-0000-0000-0000DD030000}"/>
    <cellStyle name="Millares 2 16 10" xfId="2030" xr:uid="{CDC73329-99EA-406A-8E79-B68CB22C0AF1}"/>
    <cellStyle name="Millares 2 16 10 2" xfId="4390" xr:uid="{C426FD81-55EB-415A-A0BE-41959BE93F83}"/>
    <cellStyle name="Millares 2 16 11" xfId="2121" xr:uid="{2E8B4212-DD28-4308-B7DB-B323E777C9AD}"/>
    <cellStyle name="Millares 2 16 11 2" xfId="4481" xr:uid="{8B62657B-E6D8-442C-9F57-967BD8618D74}"/>
    <cellStyle name="Millares 2 16 12" xfId="2210" xr:uid="{C7E0ABDC-0F60-44A2-BF4B-13DDE36438E9}"/>
    <cellStyle name="Millares 2 16 12 2" xfId="4570" xr:uid="{9F39551A-BA4C-4083-8C70-A52CBED59B72}"/>
    <cellStyle name="Millares 2 16 13" xfId="2300" xr:uid="{7CE3CBF7-6601-48C1-B288-3EC1F5F01E06}"/>
    <cellStyle name="Millares 2 16 13 2" xfId="4660" xr:uid="{A4F325FE-BEA2-4C84-8886-B751E7AA7BD0}"/>
    <cellStyle name="Millares 2 16 14" xfId="2389" xr:uid="{4AAFDC18-B26F-4EF8-80F3-1306576EA144}"/>
    <cellStyle name="Millares 2 16 14 2" xfId="4749" xr:uid="{88CCDC18-6A5F-4A65-9D83-87A548858649}"/>
    <cellStyle name="Millares 2 16 15" xfId="2479" xr:uid="{9B5CECC5-DBC5-4D7C-AF66-963B4ADDBB6B}"/>
    <cellStyle name="Millares 2 16 15 2" xfId="4839" xr:uid="{8773EEEA-39D0-4DED-85A0-EB9D1DC39BF0}"/>
    <cellStyle name="Millares 2 16 16" xfId="2568" xr:uid="{85B5B966-990F-4B69-BE69-7A0F45E54468}"/>
    <cellStyle name="Millares 2 16 16 2" xfId="4928" xr:uid="{C892CAA6-40D5-4291-A866-BA507035BDAC}"/>
    <cellStyle name="Millares 2 16 17" xfId="2658" xr:uid="{F85F0BF3-630A-443D-AAA6-FD973BD3E854}"/>
    <cellStyle name="Millares 2 16 17 2" xfId="5018" xr:uid="{B81BD436-0EBE-4342-877F-8676A9A07C84}"/>
    <cellStyle name="Millares 2 16 18" xfId="2748" xr:uid="{4BFAE0B0-A7B0-45B2-BD58-75B789ABE6E4}"/>
    <cellStyle name="Millares 2 16 18 2" xfId="5108" xr:uid="{6BDC1DF4-34B6-4E69-BA9C-1CBA2F27252A}"/>
    <cellStyle name="Millares 2 16 19" xfId="2838" xr:uid="{E65C8C39-ECCC-485C-B9E0-E2CFB59564D3}"/>
    <cellStyle name="Millares 2 16 19 2" xfId="5198" xr:uid="{653004C3-6465-4191-96A4-B7E21BC27A65}"/>
    <cellStyle name="Millares 2 16 2" xfId="1298" xr:uid="{00000000-0005-0000-0000-0000DE030000}"/>
    <cellStyle name="Millares 2 16 2 2" xfId="3463" xr:uid="{E49FDBE0-F680-4245-87A5-EB9497CF1807}"/>
    <cellStyle name="Millares 2 16 2 2 2" xfId="5474" xr:uid="{4F412371-A63E-46E5-A4A3-361F12023619}"/>
    <cellStyle name="Millares 2 16 2 3" xfId="3671" xr:uid="{CDC5E163-D605-4BB9-AD44-A47CCDACBE37}"/>
    <cellStyle name="Millares 2 16 20" xfId="2931" xr:uid="{A7406EAD-8522-4FFC-942B-0FE3D2A9DD15}"/>
    <cellStyle name="Millares 2 16 20 2" xfId="5291" xr:uid="{7CE44AB1-8A7B-48F9-923F-80FB98A83B8C}"/>
    <cellStyle name="Millares 2 16 21" xfId="3025" xr:uid="{7E5D77C5-7FE5-4CC2-83F6-684542470F5C}"/>
    <cellStyle name="Millares 2 16 21 2" xfId="5384" xr:uid="{1B444C22-974E-46D5-989D-F3E207458569}"/>
    <cellStyle name="Millares 2 16 22" xfId="3626" xr:uid="{A4DCB841-0432-4231-9A76-F8B323D47A3F}"/>
    <cellStyle name="Millares 2 16 3" xfId="1395" xr:uid="{00000000-0005-0000-0000-0000DF030000}"/>
    <cellStyle name="Millares 2 16 3 2" xfId="3761" xr:uid="{9F4291D0-7033-4AE0-B75F-1A268186DCE4}"/>
    <cellStyle name="Millares 2 16 4" xfId="1485" xr:uid="{00000000-0005-0000-0000-0000E0030000}"/>
    <cellStyle name="Millares 2 16 4 2" xfId="3851" xr:uid="{9CB310B2-C3B4-471D-868F-8E8F71900BCB}"/>
    <cellStyle name="Millares 2 16 5" xfId="1575" xr:uid="{00000000-0005-0000-0000-0000E1030000}"/>
    <cellStyle name="Millares 2 16 5 2" xfId="3941" xr:uid="{1749E17E-982C-406B-8E61-03B80C7E8364}"/>
    <cellStyle name="Millares 2 16 6" xfId="1666" xr:uid="{00000000-0005-0000-0000-0000E2030000}"/>
    <cellStyle name="Millares 2 16 6 2" xfId="4031" xr:uid="{D399E55C-1702-4FF5-9EB6-13B99BF6F24E}"/>
    <cellStyle name="Millares 2 16 7" xfId="1759" xr:uid="{00000000-0005-0000-0000-0000E3030000}"/>
    <cellStyle name="Millares 2 16 7 2" xfId="4121" xr:uid="{8C353B22-0CDF-4E9C-9586-EB0F7A9B20E2}"/>
    <cellStyle name="Millares 2 16 8" xfId="1850" xr:uid="{0856B9C0-25E2-473D-880C-80A90254E2C1}"/>
    <cellStyle name="Millares 2 16 8 2" xfId="4211" xr:uid="{2B0062E6-DC09-4B53-82B3-15E2B77E97E1}"/>
    <cellStyle name="Millares 2 16 9" xfId="1941" xr:uid="{E6AC0BE3-AAD3-45AD-B22B-CE7B652115B0}"/>
    <cellStyle name="Millares 2 16 9 2" xfId="4301" xr:uid="{D584C94C-2441-4556-B3C4-57DC8D015F47}"/>
    <cellStyle name="Millares 2 17" xfId="1256" xr:uid="{00000000-0005-0000-0000-0000E4030000}"/>
    <cellStyle name="Millares 2 17 10" xfId="2031" xr:uid="{7403F874-6CC2-4E54-80E9-1A0FAC55390D}"/>
    <cellStyle name="Millares 2 17 10 2" xfId="4391" xr:uid="{F61C6A89-1AFE-4A5A-B5D7-82BC225B30B2}"/>
    <cellStyle name="Millares 2 17 11" xfId="2122" xr:uid="{249C570F-7821-4115-8EDF-33D0813304D7}"/>
    <cellStyle name="Millares 2 17 11 2" xfId="4482" xr:uid="{B4406FF6-8C06-47E5-9B42-ACD0B6B2510F}"/>
    <cellStyle name="Millares 2 17 12" xfId="2211" xr:uid="{3522872C-8CED-4ED6-B3D3-E2571B47C74A}"/>
    <cellStyle name="Millares 2 17 12 2" xfId="4571" xr:uid="{896C84C0-BE64-4C60-8582-9CA55D66A8BF}"/>
    <cellStyle name="Millares 2 17 13" xfId="2301" xr:uid="{6E12E895-4AAB-46AB-B02D-77DAF1E04598}"/>
    <cellStyle name="Millares 2 17 13 2" xfId="4661" xr:uid="{C4A06567-418D-4E21-8F7D-111140948323}"/>
    <cellStyle name="Millares 2 17 14" xfId="2390" xr:uid="{C70C3C61-BCFD-424A-90BF-0B140A583529}"/>
    <cellStyle name="Millares 2 17 14 2" xfId="4750" xr:uid="{F2DD3AF8-42F0-4950-B71C-D41744CD22E4}"/>
    <cellStyle name="Millares 2 17 15" xfId="2480" xr:uid="{0C971391-E131-448A-81D7-695DD8538CFE}"/>
    <cellStyle name="Millares 2 17 15 2" xfId="4840" xr:uid="{75292D2C-CB0A-488B-9A23-C5A378C367B8}"/>
    <cellStyle name="Millares 2 17 16" xfId="2569" xr:uid="{9E26998C-ACEF-4B3F-9925-3E04111E5A4F}"/>
    <cellStyle name="Millares 2 17 16 2" xfId="4929" xr:uid="{36423D80-9E24-4DB4-88B1-2D3B31F8B8D7}"/>
    <cellStyle name="Millares 2 17 17" xfId="2659" xr:uid="{01181BD8-10C4-445C-866C-BF31E884ED82}"/>
    <cellStyle name="Millares 2 17 17 2" xfId="5019" xr:uid="{913175A1-C6E7-4A12-9DB1-1A22750CAA58}"/>
    <cellStyle name="Millares 2 17 18" xfId="2749" xr:uid="{BC3165F1-44CA-4969-BF66-1001341FD2F3}"/>
    <cellStyle name="Millares 2 17 18 2" xfId="5109" xr:uid="{7CBAF506-2043-4344-A1AC-1EDF20246F6F}"/>
    <cellStyle name="Millares 2 17 19" xfId="2839" xr:uid="{E68CF3FC-440B-4213-95D0-7441BA1603EF}"/>
    <cellStyle name="Millares 2 17 19 2" xfId="5199" xr:uid="{8EDE63D6-3533-4D3C-AFC8-C093B0148500}"/>
    <cellStyle name="Millares 2 17 2" xfId="1299" xr:uid="{00000000-0005-0000-0000-0000E5030000}"/>
    <cellStyle name="Millares 2 17 2 2" xfId="3464" xr:uid="{D7D36EC7-D89F-40C4-8968-7EA3E4B3D374}"/>
    <cellStyle name="Millares 2 17 2 2 2" xfId="5475" xr:uid="{0B8F8201-C55E-4940-B302-FDC98BD8470F}"/>
    <cellStyle name="Millares 2 17 2 3" xfId="3672" xr:uid="{C84AE255-E939-4551-934B-7A4CD0480D16}"/>
    <cellStyle name="Millares 2 17 20" xfId="2932" xr:uid="{E7457714-EDA9-4BB5-A5CA-A6519B1D7E80}"/>
    <cellStyle name="Millares 2 17 20 2" xfId="5292" xr:uid="{569675D3-D443-496D-BE95-D10D8913B595}"/>
    <cellStyle name="Millares 2 17 21" xfId="3026" xr:uid="{F9D2F1B4-8B0B-44D6-B159-64FEC18098C9}"/>
    <cellStyle name="Millares 2 17 21 2" xfId="5385" xr:uid="{75AD1BB7-9125-47ED-921D-E2E1A7F0648D}"/>
    <cellStyle name="Millares 2 17 22" xfId="3630" xr:uid="{ECA93F53-44EB-49FA-AB87-28102EC9C9B0}"/>
    <cellStyle name="Millares 2 17 3" xfId="1396" xr:uid="{00000000-0005-0000-0000-0000E6030000}"/>
    <cellStyle name="Millares 2 17 3 2" xfId="3762" xr:uid="{B654BA47-CB6B-46DD-959A-306D3B48108E}"/>
    <cellStyle name="Millares 2 17 4" xfId="1486" xr:uid="{00000000-0005-0000-0000-0000E7030000}"/>
    <cellStyle name="Millares 2 17 4 2" xfId="3852" xr:uid="{E46DAA6F-D265-4C78-8D02-91AAEC113FA1}"/>
    <cellStyle name="Millares 2 17 5" xfId="1576" xr:uid="{00000000-0005-0000-0000-0000E8030000}"/>
    <cellStyle name="Millares 2 17 5 2" xfId="3942" xr:uid="{02123223-612B-4232-B140-74AC9B0FFB1B}"/>
    <cellStyle name="Millares 2 17 6" xfId="1667" xr:uid="{00000000-0005-0000-0000-0000E9030000}"/>
    <cellStyle name="Millares 2 17 6 2" xfId="4032" xr:uid="{B8C47C8D-11AF-4687-B43A-1F8F5F146F8C}"/>
    <cellStyle name="Millares 2 17 7" xfId="1760" xr:uid="{00000000-0005-0000-0000-0000EA030000}"/>
    <cellStyle name="Millares 2 17 7 2" xfId="4122" xr:uid="{64BFF0AB-42F8-4618-A4BB-DB7AE3F7B784}"/>
    <cellStyle name="Millares 2 17 8" xfId="1851" xr:uid="{D7666C0F-3F4B-409B-BA7A-DC1D46E73695}"/>
    <cellStyle name="Millares 2 17 8 2" xfId="4212" xr:uid="{9B8C0749-1956-4E94-9142-B979D7D58E00}"/>
    <cellStyle name="Millares 2 17 9" xfId="1942" xr:uid="{BBBFCF15-5FB1-4678-B8FE-AA49D2732B1B}"/>
    <cellStyle name="Millares 2 17 9 2" xfId="4302" xr:uid="{B5D676D2-EFEE-43F3-9B79-0FF4625F19D0}"/>
    <cellStyle name="Millares 2 18" xfId="1260" xr:uid="{00000000-0005-0000-0000-0000EB030000}"/>
    <cellStyle name="Millares 2 18 10" xfId="2032" xr:uid="{0B9BF66A-AF97-4D76-BA7C-BE5990AB63A4}"/>
    <cellStyle name="Millares 2 18 10 2" xfId="4392" xr:uid="{3E024F53-C29F-4B07-8AC9-F5A9848AFA4C}"/>
    <cellStyle name="Millares 2 18 11" xfId="2123" xr:uid="{A966A290-6575-40ED-A2A4-566286464210}"/>
    <cellStyle name="Millares 2 18 11 2" xfId="4483" xr:uid="{6683C8D1-9B6C-4964-8D73-E4877644C3B0}"/>
    <cellStyle name="Millares 2 18 12" xfId="2212" xr:uid="{1843C51E-C988-4D6E-A5BA-8C807FB7A4A5}"/>
    <cellStyle name="Millares 2 18 12 2" xfId="4572" xr:uid="{189369B8-3948-4A40-A774-796728625924}"/>
    <cellStyle name="Millares 2 18 13" xfId="2302" xr:uid="{2AA16378-AE6A-4587-B4DF-E4DF9215A65D}"/>
    <cellStyle name="Millares 2 18 13 2" xfId="4662" xr:uid="{B8AA95C2-DB92-41B0-8EF3-95F8DCA5E40C}"/>
    <cellStyle name="Millares 2 18 14" xfId="2391" xr:uid="{092BA438-2CF2-42CB-8CB5-5F7FF767EBDE}"/>
    <cellStyle name="Millares 2 18 14 2" xfId="4751" xr:uid="{7F5F4A0A-CA01-4E14-BB42-213D4339B1B3}"/>
    <cellStyle name="Millares 2 18 15" xfId="2481" xr:uid="{D8FBA1E0-5DEB-48E7-A8A8-91944E813A2B}"/>
    <cellStyle name="Millares 2 18 15 2" xfId="4841" xr:uid="{34464E6A-0DD2-4D5A-9613-062328F0784E}"/>
    <cellStyle name="Millares 2 18 16" xfId="2570" xr:uid="{298B1358-A2A8-4281-9FD9-DBA9C8CCEF53}"/>
    <cellStyle name="Millares 2 18 16 2" xfId="4930" xr:uid="{272DC4ED-B57F-4E8F-A9D0-92B315412776}"/>
    <cellStyle name="Millares 2 18 17" xfId="2660" xr:uid="{63C403B5-A754-4CDD-8EAE-F0918CF706BD}"/>
    <cellStyle name="Millares 2 18 17 2" xfId="5020" xr:uid="{16F5DB26-6B7C-4C51-BB7A-B3EC2583BDB5}"/>
    <cellStyle name="Millares 2 18 18" xfId="2750" xr:uid="{CF6786D3-7F01-4679-819C-C8F20636C748}"/>
    <cellStyle name="Millares 2 18 18 2" xfId="5110" xr:uid="{EAFFF376-3700-44D6-8B1E-224A87E763CC}"/>
    <cellStyle name="Millares 2 18 19" xfId="2840" xr:uid="{11AAAC63-CD01-4425-8966-6ED81385FC13}"/>
    <cellStyle name="Millares 2 18 19 2" xfId="5200" xr:uid="{CDD5F729-124E-43B3-827B-8C53492C9E0C}"/>
    <cellStyle name="Millares 2 18 2" xfId="1300" xr:uid="{00000000-0005-0000-0000-0000EC030000}"/>
    <cellStyle name="Millares 2 18 2 2" xfId="3465" xr:uid="{4C4821BF-4FDA-4A78-ABA3-352AD63DD5B3}"/>
    <cellStyle name="Millares 2 18 2 2 2" xfId="5476" xr:uid="{1D6FB671-E631-4D9E-B4DD-8C44861A9C5A}"/>
    <cellStyle name="Millares 2 18 2 3" xfId="3673" xr:uid="{18666904-67E0-45F1-9F84-97F0D0174BB3}"/>
    <cellStyle name="Millares 2 18 20" xfId="2933" xr:uid="{F0AC5B7F-1B7C-4768-AD52-5DF12B2FFBAA}"/>
    <cellStyle name="Millares 2 18 20 2" xfId="5293" xr:uid="{BB32502B-1E99-411C-B734-4C84F28E26D8}"/>
    <cellStyle name="Millares 2 18 21" xfId="3027" xr:uid="{2833EB35-B742-417E-AF94-35D859EF3D5A}"/>
    <cellStyle name="Millares 2 18 21 2" xfId="5386" xr:uid="{05654A1B-CBF2-4ADA-A4D2-A8B594830CC0}"/>
    <cellStyle name="Millares 2 18 22" xfId="3634" xr:uid="{3B475721-37CB-4376-A1CF-C1AB6061018F}"/>
    <cellStyle name="Millares 2 18 3" xfId="1397" xr:uid="{00000000-0005-0000-0000-0000ED030000}"/>
    <cellStyle name="Millares 2 18 3 2" xfId="3763" xr:uid="{D4EE9911-19B3-4EA2-A104-C8684A43B2E1}"/>
    <cellStyle name="Millares 2 18 4" xfId="1487" xr:uid="{00000000-0005-0000-0000-0000EE030000}"/>
    <cellStyle name="Millares 2 18 4 2" xfId="3853" xr:uid="{2A5E2254-4160-4362-8787-A576A06A4852}"/>
    <cellStyle name="Millares 2 18 5" xfId="1577" xr:uid="{00000000-0005-0000-0000-0000EF030000}"/>
    <cellStyle name="Millares 2 18 5 2" xfId="3943" xr:uid="{D0261ACB-F9B1-4176-B75B-CB7B392E0DC6}"/>
    <cellStyle name="Millares 2 18 6" xfId="1668" xr:uid="{00000000-0005-0000-0000-0000F0030000}"/>
    <cellStyle name="Millares 2 18 6 2" xfId="4033" xr:uid="{A1181C1C-99B5-4462-99AC-94B5548919F8}"/>
    <cellStyle name="Millares 2 18 7" xfId="1761" xr:uid="{00000000-0005-0000-0000-0000F1030000}"/>
    <cellStyle name="Millares 2 18 7 2" xfId="4123" xr:uid="{EF7B7B94-EA5A-41CF-B5E8-5A7821F4A0EA}"/>
    <cellStyle name="Millares 2 18 8" xfId="1852" xr:uid="{0996292C-CEA1-442D-BDF1-A181F6A68AFC}"/>
    <cellStyle name="Millares 2 18 8 2" xfId="4213" xr:uid="{AAAD113D-EA80-4DF3-AEEF-01D29533E9B9}"/>
    <cellStyle name="Millares 2 18 9" xfId="1943" xr:uid="{5AFE50FF-8B05-4795-9892-A7488BBB7656}"/>
    <cellStyle name="Millares 2 18 9 2" xfId="4303" xr:uid="{65AFD0A6-66F1-4CBB-961C-0E982C3F4C40}"/>
    <cellStyle name="Millares 2 19" xfId="1264" xr:uid="{00000000-0005-0000-0000-0000F2030000}"/>
    <cellStyle name="Millares 2 19 10" xfId="2033" xr:uid="{7B09B546-A0E0-49FD-9522-CCE7EABA74F7}"/>
    <cellStyle name="Millares 2 19 10 2" xfId="4393" xr:uid="{4226095D-EDC6-4481-B3FF-F38E925B562B}"/>
    <cellStyle name="Millares 2 19 11" xfId="2124" xr:uid="{32FE565A-9920-423D-8B3A-C6366F8A3C08}"/>
    <cellStyle name="Millares 2 19 11 2" xfId="4484" xr:uid="{D57392B8-E6B6-46F8-8CC3-C3FC3E6AAAC1}"/>
    <cellStyle name="Millares 2 19 12" xfId="2213" xr:uid="{EA4D3D41-B9A5-4E7C-A1B2-A9E23B9D304D}"/>
    <cellStyle name="Millares 2 19 12 2" xfId="4573" xr:uid="{B39FC60C-B0A7-4BC7-BD26-F31163192BB7}"/>
    <cellStyle name="Millares 2 19 13" xfId="2303" xr:uid="{5D0EA880-3134-41A4-888B-6C10426104EB}"/>
    <cellStyle name="Millares 2 19 13 2" xfId="4663" xr:uid="{FA75968D-C196-4DCA-8283-36ED1063B1FD}"/>
    <cellStyle name="Millares 2 19 14" xfId="2392" xr:uid="{0327E21D-B3DC-431A-A002-EE8E9445F387}"/>
    <cellStyle name="Millares 2 19 14 2" xfId="4752" xr:uid="{E657C20A-1A9C-4C5F-B579-5CF6F25D4A2D}"/>
    <cellStyle name="Millares 2 19 15" xfId="2482" xr:uid="{CEE701E5-351D-4272-878A-79552971038C}"/>
    <cellStyle name="Millares 2 19 15 2" xfId="4842" xr:uid="{03E9ED99-182B-4A17-8833-4ED44472F450}"/>
    <cellStyle name="Millares 2 19 16" xfId="2571" xr:uid="{1CB60ACC-6901-4D7A-B6D2-8D1F91A47FBA}"/>
    <cellStyle name="Millares 2 19 16 2" xfId="4931" xr:uid="{F761229E-14D5-4A02-88E4-6447B1C7175E}"/>
    <cellStyle name="Millares 2 19 17" xfId="2661" xr:uid="{F92D976D-D071-427A-ADDC-EC47AFCDC4F1}"/>
    <cellStyle name="Millares 2 19 17 2" xfId="5021" xr:uid="{3CAFF093-805E-44C2-BE44-BF802371C840}"/>
    <cellStyle name="Millares 2 19 18" xfId="2751" xr:uid="{C421666F-8EFF-418C-A361-850C866B337F}"/>
    <cellStyle name="Millares 2 19 18 2" xfId="5111" xr:uid="{F5A29D0F-3312-4BBD-A15B-F30F47CD86E5}"/>
    <cellStyle name="Millares 2 19 19" xfId="2841" xr:uid="{D6866C81-4E33-45B9-AC86-77135FE02E92}"/>
    <cellStyle name="Millares 2 19 19 2" xfId="5201" xr:uid="{BFC8227E-2F80-4B26-B3C5-4FC181B4BBED}"/>
    <cellStyle name="Millares 2 19 2" xfId="1301" xr:uid="{00000000-0005-0000-0000-0000F3030000}"/>
    <cellStyle name="Millares 2 19 2 2" xfId="3466" xr:uid="{0D2C9A16-797E-4EFE-8C64-19E0ED87ED9A}"/>
    <cellStyle name="Millares 2 19 2 2 2" xfId="5477" xr:uid="{578DA45C-0839-44F8-980F-1122F02922B9}"/>
    <cellStyle name="Millares 2 19 2 3" xfId="3674" xr:uid="{B90C1B86-DA9A-48EA-B90F-0E2BFA0A9692}"/>
    <cellStyle name="Millares 2 19 20" xfId="2934" xr:uid="{3CAB81F8-7FE1-4FDB-B4EB-56F3891A9BC9}"/>
    <cellStyle name="Millares 2 19 20 2" xfId="5294" xr:uid="{CFEF2011-33BB-4FE9-B01D-71537464447D}"/>
    <cellStyle name="Millares 2 19 21" xfId="3028" xr:uid="{3D2D1CF8-D5DD-47C6-8BD7-113E984C8F5C}"/>
    <cellStyle name="Millares 2 19 21 2" xfId="5387" xr:uid="{9BABA0AB-1BC0-45BA-BFF3-AC915FAB5AEF}"/>
    <cellStyle name="Millares 2 19 22" xfId="3638" xr:uid="{FB904070-1688-46D9-B313-292945331CA2}"/>
    <cellStyle name="Millares 2 19 3" xfId="1398" xr:uid="{00000000-0005-0000-0000-0000F4030000}"/>
    <cellStyle name="Millares 2 19 3 2" xfId="3764" xr:uid="{51C14805-DCAC-4C0C-A902-403DB7E28002}"/>
    <cellStyle name="Millares 2 19 4" xfId="1488" xr:uid="{00000000-0005-0000-0000-0000F5030000}"/>
    <cellStyle name="Millares 2 19 4 2" xfId="3854" xr:uid="{CE8D635F-F898-482A-A176-754CC8E3B90A}"/>
    <cellStyle name="Millares 2 19 5" xfId="1578" xr:uid="{00000000-0005-0000-0000-0000F6030000}"/>
    <cellStyle name="Millares 2 19 5 2" xfId="3944" xr:uid="{ACFDA136-2332-4DA5-A5DA-15A51A237DFD}"/>
    <cellStyle name="Millares 2 19 6" xfId="1669" xr:uid="{00000000-0005-0000-0000-0000F7030000}"/>
    <cellStyle name="Millares 2 19 6 2" xfId="4034" xr:uid="{2743FCED-5F37-4A1B-B3C9-B1EB5D83E739}"/>
    <cellStyle name="Millares 2 19 7" xfId="1762" xr:uid="{00000000-0005-0000-0000-0000F8030000}"/>
    <cellStyle name="Millares 2 19 7 2" xfId="4124" xr:uid="{61DA9276-14B0-4AFE-A411-3364958501B6}"/>
    <cellStyle name="Millares 2 19 8" xfId="1853" xr:uid="{690A5447-3FBA-4ECE-9AB1-042414322477}"/>
    <cellStyle name="Millares 2 19 8 2" xfId="4214" xr:uid="{3C6567C5-0EB6-4359-95CD-BBF7CB0331BF}"/>
    <cellStyle name="Millares 2 19 9" xfId="1944" xr:uid="{D016000B-8B17-4490-AFBC-B79E25C0F5FA}"/>
    <cellStyle name="Millares 2 19 9 2" xfId="4304" xr:uid="{E7120E8A-9F03-4EF9-A02F-F67083F32E0D}"/>
    <cellStyle name="Millares 2 2" xfId="879" xr:uid="{00000000-0005-0000-0000-0000F9030000}"/>
    <cellStyle name="Millares 2 2 10" xfId="1229" xr:uid="{00000000-0005-0000-0000-0000FA030000}"/>
    <cellStyle name="Millares 2 2 10 10" xfId="2035" xr:uid="{4C0B7426-A176-4966-B412-CB4BAEF4F321}"/>
    <cellStyle name="Millares 2 2 10 10 2" xfId="4395" xr:uid="{5DEC8874-C589-43D6-955D-9A9510B4854E}"/>
    <cellStyle name="Millares 2 2 10 11" xfId="2126" xr:uid="{7F8D6835-899F-44DE-B75F-E79F654A8A42}"/>
    <cellStyle name="Millares 2 2 10 11 2" xfId="4486" xr:uid="{BE479519-FBAB-4BA8-B286-CBCFE2C2AFAE}"/>
    <cellStyle name="Millares 2 2 10 12" xfId="2215" xr:uid="{B4C46276-6C8E-4094-B996-021799B4A317}"/>
    <cellStyle name="Millares 2 2 10 12 2" xfId="4575" xr:uid="{5737AD7C-4DF7-4AAC-9CBD-22EEA700160D}"/>
    <cellStyle name="Millares 2 2 10 13" xfId="2305" xr:uid="{41B93FBD-48E1-4146-BD28-179F8FE2EF1F}"/>
    <cellStyle name="Millares 2 2 10 13 2" xfId="4665" xr:uid="{D619B819-DD54-4655-AF33-5659B5BA3607}"/>
    <cellStyle name="Millares 2 2 10 14" xfId="2394" xr:uid="{03A9AF3A-B8D2-4A64-95B8-9D33240E8D12}"/>
    <cellStyle name="Millares 2 2 10 14 2" xfId="4754" xr:uid="{CCDD75F1-6F1F-4A3A-9C9D-1ED65DCD333A}"/>
    <cellStyle name="Millares 2 2 10 15" xfId="2484" xr:uid="{B2FD3815-64F5-4D1B-BA6A-8B09590FBD77}"/>
    <cellStyle name="Millares 2 2 10 15 2" xfId="4844" xr:uid="{EE1F279D-D920-456C-BFF6-FD9B2C2C0505}"/>
    <cellStyle name="Millares 2 2 10 16" xfId="2573" xr:uid="{7BE4A521-F7B6-4BB2-91B2-69E3E1EDECB4}"/>
    <cellStyle name="Millares 2 2 10 16 2" xfId="4933" xr:uid="{7B7DF3AE-2E00-4B6E-87D8-00136297B8B0}"/>
    <cellStyle name="Millares 2 2 10 17" xfId="2663" xr:uid="{65A3A01C-8083-47B9-814B-975A7F7ED771}"/>
    <cellStyle name="Millares 2 2 10 17 2" xfId="5023" xr:uid="{381E7129-6B68-4CFA-805A-C02847F3769E}"/>
    <cellStyle name="Millares 2 2 10 18" xfId="2753" xr:uid="{D3471AFC-A1E6-4F5C-86AC-D75C94D75CF7}"/>
    <cellStyle name="Millares 2 2 10 18 2" xfId="5113" xr:uid="{BCB28000-BB93-4484-9BBF-F96BCEB5D11B}"/>
    <cellStyle name="Millares 2 2 10 19" xfId="2843" xr:uid="{A5DAEF1B-2696-42AC-991F-C75AEC2FDFB5}"/>
    <cellStyle name="Millares 2 2 10 19 2" xfId="5203" xr:uid="{3CCBC5B6-0F18-4675-8B04-A719C6197B41}"/>
    <cellStyle name="Millares 2 2 10 2" xfId="1303" xr:uid="{00000000-0005-0000-0000-0000FB030000}"/>
    <cellStyle name="Millares 2 2 10 2 2" xfId="3468" xr:uid="{970D67ED-8BA6-4952-A814-FC7BFEA2FC44}"/>
    <cellStyle name="Millares 2 2 10 2 2 2" xfId="5479" xr:uid="{BD42C135-5BC2-4539-84E3-D5BF2FDDFCF4}"/>
    <cellStyle name="Millares 2 2 10 2 3" xfId="3676" xr:uid="{4A2E9587-5894-4C2F-B110-202949AED40A}"/>
    <cellStyle name="Millares 2 2 10 20" xfId="2936" xr:uid="{0035A39E-34CD-4110-AB6A-E2B8DFA9F78D}"/>
    <cellStyle name="Millares 2 2 10 20 2" xfId="5296" xr:uid="{5278885B-E1D0-443A-A4BC-6A67474ACC2E}"/>
    <cellStyle name="Millares 2 2 10 21" xfId="3030" xr:uid="{77941922-F79E-4FC6-B3D9-DEA75E22BDB8}"/>
    <cellStyle name="Millares 2 2 10 21 2" xfId="5389" xr:uid="{C35F4FA2-E584-45BC-8179-4776B84B5B20}"/>
    <cellStyle name="Millares 2 2 10 22" xfId="3607" xr:uid="{A27B382C-7C18-4608-AFDA-C5C4C3102696}"/>
    <cellStyle name="Millares 2 2 10 3" xfId="1400" xr:uid="{00000000-0005-0000-0000-0000FC030000}"/>
    <cellStyle name="Millares 2 2 10 3 2" xfId="3766" xr:uid="{657FF589-766B-49B2-A108-49A79DA78063}"/>
    <cellStyle name="Millares 2 2 10 4" xfId="1490" xr:uid="{00000000-0005-0000-0000-0000FD030000}"/>
    <cellStyle name="Millares 2 2 10 4 2" xfId="3856" xr:uid="{87AB05CD-29F1-4F2D-9FB3-A9684CF83E63}"/>
    <cellStyle name="Millares 2 2 10 5" xfId="1580" xr:uid="{00000000-0005-0000-0000-0000FE030000}"/>
    <cellStyle name="Millares 2 2 10 5 2" xfId="3946" xr:uid="{21BCAF89-649E-4294-B4CD-3258DC1C5937}"/>
    <cellStyle name="Millares 2 2 10 6" xfId="1671" xr:uid="{00000000-0005-0000-0000-0000FF030000}"/>
    <cellStyle name="Millares 2 2 10 6 2" xfId="4036" xr:uid="{2C22A8BC-8AC6-4684-9C3A-D74F0BF936E1}"/>
    <cellStyle name="Millares 2 2 10 7" xfId="1764" xr:uid="{00000000-0005-0000-0000-000000040000}"/>
    <cellStyle name="Millares 2 2 10 7 2" xfId="4126" xr:uid="{31C4C295-2FD2-44D2-A03F-A6F159EFC01D}"/>
    <cellStyle name="Millares 2 2 10 8" xfId="1855" xr:uid="{8E78C304-343C-4FA1-AD6A-161C0A461E10}"/>
    <cellStyle name="Millares 2 2 10 8 2" xfId="4216" xr:uid="{7AB8805F-74F7-4D79-B1A3-884E11833805}"/>
    <cellStyle name="Millares 2 2 10 9" xfId="1946" xr:uid="{7D912FD1-147C-4ACF-A088-2842724CB327}"/>
    <cellStyle name="Millares 2 2 10 9 2" xfId="4306" xr:uid="{B58B3D3D-2EB7-4C83-BFEA-57E40972B1B9}"/>
    <cellStyle name="Millares 2 2 11" xfId="1233" xr:uid="{00000000-0005-0000-0000-000001040000}"/>
    <cellStyle name="Millares 2 2 11 10" xfId="2036" xr:uid="{A4587DCD-2D0D-4237-BDFA-14AE9580E252}"/>
    <cellStyle name="Millares 2 2 11 10 2" xfId="4396" xr:uid="{314C607B-0F12-4A68-BEDA-8484CE125E45}"/>
    <cellStyle name="Millares 2 2 11 11" xfId="2127" xr:uid="{1EA217EC-1D69-4BE4-8B49-0C70F71CF1C8}"/>
    <cellStyle name="Millares 2 2 11 11 2" xfId="4487" xr:uid="{80BBC943-330D-4D54-8895-39E1AA52F5DF}"/>
    <cellStyle name="Millares 2 2 11 12" xfId="2216" xr:uid="{D2B9668D-F4F1-4F04-8EF5-DE8F9184A2D3}"/>
    <cellStyle name="Millares 2 2 11 12 2" xfId="4576" xr:uid="{A5CFA706-BB2E-48B8-96AC-65B519072499}"/>
    <cellStyle name="Millares 2 2 11 13" xfId="2306" xr:uid="{1EE6D3D8-3086-4FE2-9F08-77BF1B743796}"/>
    <cellStyle name="Millares 2 2 11 13 2" xfId="4666" xr:uid="{ACFD7D7B-D66F-40FB-AFEB-2A9628218812}"/>
    <cellStyle name="Millares 2 2 11 14" xfId="2395" xr:uid="{6B35B91D-A467-4EBF-B712-BC57F54E49CE}"/>
    <cellStyle name="Millares 2 2 11 14 2" xfId="4755" xr:uid="{585A3F95-391C-4558-B629-2E174D1EACAE}"/>
    <cellStyle name="Millares 2 2 11 15" xfId="2485" xr:uid="{568DA744-20BC-466D-9163-36A087469920}"/>
    <cellStyle name="Millares 2 2 11 15 2" xfId="4845" xr:uid="{3A52AB39-0549-489F-9C84-7606EB375400}"/>
    <cellStyle name="Millares 2 2 11 16" xfId="2574" xr:uid="{8DFAEB90-7318-453F-825A-3263794484E2}"/>
    <cellStyle name="Millares 2 2 11 16 2" xfId="4934" xr:uid="{0D6F003F-E074-4878-89A7-3A028FAB0073}"/>
    <cellStyle name="Millares 2 2 11 17" xfId="2664" xr:uid="{743B0894-A61C-453E-84CE-404AE9C24518}"/>
    <cellStyle name="Millares 2 2 11 17 2" xfId="5024" xr:uid="{6D039A88-F52E-46A5-80DE-AC8A1DD1D9E7}"/>
    <cellStyle name="Millares 2 2 11 18" xfId="2754" xr:uid="{0B331EB7-D30F-4F45-B1AF-96C5EC6AD119}"/>
    <cellStyle name="Millares 2 2 11 18 2" xfId="5114" xr:uid="{676D7DD3-FCED-4E34-8AAE-F33ED096F3BB}"/>
    <cellStyle name="Millares 2 2 11 19" xfId="2844" xr:uid="{38B004AF-A380-4AF9-9F35-8F7F65D0FA52}"/>
    <cellStyle name="Millares 2 2 11 19 2" xfId="5204" xr:uid="{095C31F3-CCD1-407D-AFF2-459D496BA384}"/>
    <cellStyle name="Millares 2 2 11 2" xfId="1304" xr:uid="{00000000-0005-0000-0000-000002040000}"/>
    <cellStyle name="Millares 2 2 11 2 2" xfId="3469" xr:uid="{7B80C9A5-3F87-46DA-A210-9CE09262DA2C}"/>
    <cellStyle name="Millares 2 2 11 2 2 2" xfId="5480" xr:uid="{BDAD16BE-F391-4620-8BF1-6B80AA649F98}"/>
    <cellStyle name="Millares 2 2 11 2 3" xfId="3677" xr:uid="{C1C7F509-0007-4423-8853-151D27AB755E}"/>
    <cellStyle name="Millares 2 2 11 20" xfId="2937" xr:uid="{24FC0166-FA34-4B92-9C58-261121427795}"/>
    <cellStyle name="Millares 2 2 11 20 2" xfId="5297" xr:uid="{B82D376E-2E4B-4350-8076-3C3CC098264F}"/>
    <cellStyle name="Millares 2 2 11 21" xfId="3031" xr:uid="{5DCE8AE6-9CD5-4634-853F-1BA45B576A21}"/>
    <cellStyle name="Millares 2 2 11 21 2" xfId="5390" xr:uid="{9FF7385B-DC5B-4D9A-B768-A705C3695192}"/>
    <cellStyle name="Millares 2 2 11 22" xfId="3611" xr:uid="{63C3F833-DB70-4E36-9BEB-7C9A0A65D5F0}"/>
    <cellStyle name="Millares 2 2 11 3" xfId="1401" xr:uid="{00000000-0005-0000-0000-000003040000}"/>
    <cellStyle name="Millares 2 2 11 3 2" xfId="3767" xr:uid="{E29852EE-9DE1-4E3E-9A60-1CEC72524FED}"/>
    <cellStyle name="Millares 2 2 11 4" xfId="1491" xr:uid="{00000000-0005-0000-0000-000004040000}"/>
    <cellStyle name="Millares 2 2 11 4 2" xfId="3857" xr:uid="{B8019DB8-5BD0-4A23-9C56-1465C155EFBD}"/>
    <cellStyle name="Millares 2 2 11 5" xfId="1581" xr:uid="{00000000-0005-0000-0000-000005040000}"/>
    <cellStyle name="Millares 2 2 11 5 2" xfId="3947" xr:uid="{5F846A02-BF24-4F76-B86D-CF7A71388CFB}"/>
    <cellStyle name="Millares 2 2 11 6" xfId="1672" xr:uid="{00000000-0005-0000-0000-000006040000}"/>
    <cellStyle name="Millares 2 2 11 6 2" xfId="4037" xr:uid="{E07C6C28-AA0D-48EB-A36E-A9731CDD2745}"/>
    <cellStyle name="Millares 2 2 11 7" xfId="1765" xr:uid="{00000000-0005-0000-0000-000007040000}"/>
    <cellStyle name="Millares 2 2 11 7 2" xfId="4127" xr:uid="{C7E51766-7C6C-4166-A5C8-494D6798A403}"/>
    <cellStyle name="Millares 2 2 11 8" xfId="1856" xr:uid="{10A41D52-E675-4165-9741-2B7CCBCD5F5C}"/>
    <cellStyle name="Millares 2 2 11 8 2" xfId="4217" xr:uid="{FE4E77CE-CE15-4E54-94C3-33BE2A52A877}"/>
    <cellStyle name="Millares 2 2 11 9" xfId="1947" xr:uid="{1CAA800A-F57A-4D2B-80D6-B36C41831721}"/>
    <cellStyle name="Millares 2 2 11 9 2" xfId="4307" xr:uid="{C8B91328-CA46-4CE2-8951-E5603C3E5751}"/>
    <cellStyle name="Millares 2 2 12" xfId="1237" xr:uid="{00000000-0005-0000-0000-000008040000}"/>
    <cellStyle name="Millares 2 2 12 10" xfId="2037" xr:uid="{9CF68211-5C0D-4743-9B91-4D5CEDCC66D4}"/>
    <cellStyle name="Millares 2 2 12 10 2" xfId="4397" xr:uid="{CB8EC9C2-9426-45ED-8FBB-D2411F4BB074}"/>
    <cellStyle name="Millares 2 2 12 11" xfId="2128" xr:uid="{75EE325F-A441-4E98-9347-6FE00CFAF717}"/>
    <cellStyle name="Millares 2 2 12 11 2" xfId="4488" xr:uid="{550DDA85-B029-4AB0-BF97-0D9DB082C6E6}"/>
    <cellStyle name="Millares 2 2 12 12" xfId="2217" xr:uid="{FE12D936-2EB6-47E4-949D-03E16B4A6C89}"/>
    <cellStyle name="Millares 2 2 12 12 2" xfId="4577" xr:uid="{582AFD0E-1458-487D-A460-BA9EF6BD12F4}"/>
    <cellStyle name="Millares 2 2 12 13" xfId="2307" xr:uid="{1DC05EB1-53DC-4BEE-8895-2CD2D400A591}"/>
    <cellStyle name="Millares 2 2 12 13 2" xfId="4667" xr:uid="{A6D15B42-3966-4A88-8AD1-20E475B2B32A}"/>
    <cellStyle name="Millares 2 2 12 14" xfId="2396" xr:uid="{011057C0-2205-462D-8C07-C64748B0ECC7}"/>
    <cellStyle name="Millares 2 2 12 14 2" xfId="4756" xr:uid="{B7AA1947-91E9-4E2A-85DE-50830E073C67}"/>
    <cellStyle name="Millares 2 2 12 15" xfId="2486" xr:uid="{6D189B8E-1A04-4E1B-A12B-134A972E7A64}"/>
    <cellStyle name="Millares 2 2 12 15 2" xfId="4846" xr:uid="{F6B10CF5-0242-42B3-95A7-E9EE6E1FD573}"/>
    <cellStyle name="Millares 2 2 12 16" xfId="2575" xr:uid="{0FE720E5-9FC7-4F80-B1D5-5D4AC6B62A59}"/>
    <cellStyle name="Millares 2 2 12 16 2" xfId="4935" xr:uid="{0F6C0549-0A30-4306-B4F0-E68F18417F73}"/>
    <cellStyle name="Millares 2 2 12 17" xfId="2665" xr:uid="{29238BE8-D7DC-4036-993E-C2209C9A6C79}"/>
    <cellStyle name="Millares 2 2 12 17 2" xfId="5025" xr:uid="{51311315-24A2-4054-8D54-3069CAF3B77B}"/>
    <cellStyle name="Millares 2 2 12 18" xfId="2755" xr:uid="{E1C6E980-F40A-4127-BEBB-F514250D25F5}"/>
    <cellStyle name="Millares 2 2 12 18 2" xfId="5115" xr:uid="{76696181-AAA3-4A3D-9FE9-FE1E230F0543}"/>
    <cellStyle name="Millares 2 2 12 19" xfId="2845" xr:uid="{2812E1FE-E158-4FCF-8C3E-AE9FDD41FDAD}"/>
    <cellStyle name="Millares 2 2 12 19 2" xfId="5205" xr:uid="{FDF7AA08-2342-4F7C-A389-7F446009C5C0}"/>
    <cellStyle name="Millares 2 2 12 2" xfId="1305" xr:uid="{00000000-0005-0000-0000-000009040000}"/>
    <cellStyle name="Millares 2 2 12 2 2" xfId="3470" xr:uid="{CB6494DA-1392-4AB0-B3FE-22CC0252AB2F}"/>
    <cellStyle name="Millares 2 2 12 2 2 2" xfId="5481" xr:uid="{D49C61EB-9957-46FD-A4FC-68CBCB28ACB5}"/>
    <cellStyle name="Millares 2 2 12 2 3" xfId="3678" xr:uid="{6A02C477-7A5C-4029-A0BD-0C89C350FA9C}"/>
    <cellStyle name="Millares 2 2 12 20" xfId="2938" xr:uid="{81C94146-CEA8-420E-9AEA-250969E6B0C2}"/>
    <cellStyle name="Millares 2 2 12 20 2" xfId="5298" xr:uid="{8B93369F-03F2-489B-8BC0-50E421374C05}"/>
    <cellStyle name="Millares 2 2 12 21" xfId="3032" xr:uid="{56A654A1-BD80-4226-BEA1-FC585A68085F}"/>
    <cellStyle name="Millares 2 2 12 21 2" xfId="5391" xr:uid="{9889ECD7-FBE3-4A33-B3E6-B8F10C1D5434}"/>
    <cellStyle name="Millares 2 2 12 22" xfId="3615" xr:uid="{F5EB4E27-9AEB-4FC5-9275-71D903295651}"/>
    <cellStyle name="Millares 2 2 12 3" xfId="1402" xr:uid="{00000000-0005-0000-0000-00000A040000}"/>
    <cellStyle name="Millares 2 2 12 3 2" xfId="3768" xr:uid="{30172D81-E76F-4F1F-BC48-6550DFD6D140}"/>
    <cellStyle name="Millares 2 2 12 4" xfId="1492" xr:uid="{00000000-0005-0000-0000-00000B040000}"/>
    <cellStyle name="Millares 2 2 12 4 2" xfId="3858" xr:uid="{07E46F71-7ADB-4874-81B2-7A6DEE2856B6}"/>
    <cellStyle name="Millares 2 2 12 5" xfId="1582" xr:uid="{00000000-0005-0000-0000-00000C040000}"/>
    <cellStyle name="Millares 2 2 12 5 2" xfId="3948" xr:uid="{19B8D2A4-0483-430A-A85F-C56B6DC74721}"/>
    <cellStyle name="Millares 2 2 12 6" xfId="1673" xr:uid="{00000000-0005-0000-0000-00000D040000}"/>
    <cellStyle name="Millares 2 2 12 6 2" xfId="4038" xr:uid="{F8268172-F43E-4C36-AB44-196656577130}"/>
    <cellStyle name="Millares 2 2 12 7" xfId="1766" xr:uid="{00000000-0005-0000-0000-00000E040000}"/>
    <cellStyle name="Millares 2 2 12 7 2" xfId="4128" xr:uid="{FC7DD8AD-49DC-4619-9182-A33C8EA1B120}"/>
    <cellStyle name="Millares 2 2 12 8" xfId="1857" xr:uid="{E513D153-0996-4BDF-B3D7-86261C13319D}"/>
    <cellStyle name="Millares 2 2 12 8 2" xfId="4218" xr:uid="{ACEAEBED-9756-4AE7-B7EB-142D4B6B9275}"/>
    <cellStyle name="Millares 2 2 12 9" xfId="1948" xr:uid="{8BF66ABB-55B0-4013-ADE8-1B1F5BA33989}"/>
    <cellStyle name="Millares 2 2 12 9 2" xfId="4308" xr:uid="{A954035F-D9F4-4512-86B5-FCD07BF05579}"/>
    <cellStyle name="Millares 2 2 13" xfId="1242" xr:uid="{00000000-0005-0000-0000-00000F040000}"/>
    <cellStyle name="Millares 2 2 13 10" xfId="2038" xr:uid="{7DF268F5-D695-4333-BC1A-EC206C6C845C}"/>
    <cellStyle name="Millares 2 2 13 10 2" xfId="4398" xr:uid="{D05FDCE6-A03D-4E65-81C6-37381052D2B6}"/>
    <cellStyle name="Millares 2 2 13 11" xfId="2129" xr:uid="{02FD98C6-749E-4627-81A3-DE1701B3D556}"/>
    <cellStyle name="Millares 2 2 13 11 2" xfId="4489" xr:uid="{D9DFEC0E-18E8-42BB-8D68-CA18C4D10EB3}"/>
    <cellStyle name="Millares 2 2 13 12" xfId="2218" xr:uid="{333DFA51-92DE-4659-85A2-26FC062C8F13}"/>
    <cellStyle name="Millares 2 2 13 12 2" xfId="4578" xr:uid="{6924DA72-94DF-4C1D-83CC-0049A93A0393}"/>
    <cellStyle name="Millares 2 2 13 13" xfId="2308" xr:uid="{D73D23FE-091F-4AE9-B0F5-FE011C7E9F81}"/>
    <cellStyle name="Millares 2 2 13 13 2" xfId="4668" xr:uid="{52B724FB-FB32-4F73-87F5-0B55E9579956}"/>
    <cellStyle name="Millares 2 2 13 14" xfId="2397" xr:uid="{C76F4249-3A6B-49C3-8BF0-6C2F48F80FC6}"/>
    <cellStyle name="Millares 2 2 13 14 2" xfId="4757" xr:uid="{8DC7DFD4-25C1-4C91-B2EE-0EA21E76F19E}"/>
    <cellStyle name="Millares 2 2 13 15" xfId="2487" xr:uid="{467A9BE4-F4E8-4E95-89C3-D8DB6B431DC6}"/>
    <cellStyle name="Millares 2 2 13 15 2" xfId="4847" xr:uid="{D974F968-6588-4F5F-8E91-87DC47D23209}"/>
    <cellStyle name="Millares 2 2 13 16" xfId="2576" xr:uid="{B966260E-99B4-43C8-B70D-0C5FF612C95E}"/>
    <cellStyle name="Millares 2 2 13 16 2" xfId="4936" xr:uid="{CD5755BB-8813-40A6-BEE7-1F1AEE7495E3}"/>
    <cellStyle name="Millares 2 2 13 17" xfId="2666" xr:uid="{D4BCBDC4-2E37-4E3F-BBF4-DB2E786D551F}"/>
    <cellStyle name="Millares 2 2 13 17 2" xfId="5026" xr:uid="{17FCE24B-B606-4877-965B-68ABB4C1C22E}"/>
    <cellStyle name="Millares 2 2 13 18" xfId="2756" xr:uid="{59D2C677-D563-4813-9409-CC6CB9C6FDFA}"/>
    <cellStyle name="Millares 2 2 13 18 2" xfId="5116" xr:uid="{17C3C67D-353E-4D1D-A67D-4A4C7E2D2414}"/>
    <cellStyle name="Millares 2 2 13 19" xfId="2846" xr:uid="{D1846E11-9C4D-4CD4-9786-3372A040D6FA}"/>
    <cellStyle name="Millares 2 2 13 19 2" xfId="5206" xr:uid="{1EEF7F83-C623-47F1-AE0A-88F777132C04}"/>
    <cellStyle name="Millares 2 2 13 2" xfId="1306" xr:uid="{00000000-0005-0000-0000-000010040000}"/>
    <cellStyle name="Millares 2 2 13 2 2" xfId="3471" xr:uid="{0B30FC3A-6E32-4387-8521-124C983293EE}"/>
    <cellStyle name="Millares 2 2 13 2 2 2" xfId="5482" xr:uid="{BC508D6F-3F55-4C17-B54E-61D2250302EF}"/>
    <cellStyle name="Millares 2 2 13 2 3" xfId="3679" xr:uid="{CFEED5AB-2626-49F7-9719-E8B2FBEF9FB8}"/>
    <cellStyle name="Millares 2 2 13 20" xfId="2939" xr:uid="{4D31CB49-B615-4B88-962F-E3442243B5C3}"/>
    <cellStyle name="Millares 2 2 13 20 2" xfId="5299" xr:uid="{2D3E343A-D4B6-42EC-8022-8D6A1235C975}"/>
    <cellStyle name="Millares 2 2 13 21" xfId="3033" xr:uid="{A9CB3842-80FB-430B-A782-9B6E6FFBD4E5}"/>
    <cellStyle name="Millares 2 2 13 21 2" xfId="5392" xr:uid="{9D798E8E-D843-48A6-91F1-C59945916D0D}"/>
    <cellStyle name="Millares 2 2 13 22" xfId="3619" xr:uid="{35669313-760F-4F0E-B51A-8AD2EBF2475B}"/>
    <cellStyle name="Millares 2 2 13 3" xfId="1403" xr:uid="{00000000-0005-0000-0000-000011040000}"/>
    <cellStyle name="Millares 2 2 13 3 2" xfId="3769" xr:uid="{AD1C9C6B-2390-41D1-854F-0AE6CE9B660B}"/>
    <cellStyle name="Millares 2 2 13 4" xfId="1493" xr:uid="{00000000-0005-0000-0000-000012040000}"/>
    <cellStyle name="Millares 2 2 13 4 2" xfId="3859" xr:uid="{F0C72D5B-A906-4B3A-886A-2B759409A28E}"/>
    <cellStyle name="Millares 2 2 13 5" xfId="1583" xr:uid="{00000000-0005-0000-0000-000013040000}"/>
    <cellStyle name="Millares 2 2 13 5 2" xfId="3949" xr:uid="{17EF4B45-6B99-41D9-890F-18C373852BE9}"/>
    <cellStyle name="Millares 2 2 13 6" xfId="1674" xr:uid="{00000000-0005-0000-0000-000014040000}"/>
    <cellStyle name="Millares 2 2 13 6 2" xfId="4039" xr:uid="{71E4541A-9B92-4C21-809E-AA2AAF04E15C}"/>
    <cellStyle name="Millares 2 2 13 7" xfId="1767" xr:uid="{00000000-0005-0000-0000-000015040000}"/>
    <cellStyle name="Millares 2 2 13 7 2" xfId="4129" xr:uid="{7611B34D-0EF1-4EAE-A441-8E4713E6661C}"/>
    <cellStyle name="Millares 2 2 13 8" xfId="1858" xr:uid="{470FC233-6F84-4119-BB14-63B95FA580EA}"/>
    <cellStyle name="Millares 2 2 13 8 2" xfId="4219" xr:uid="{D7A2EFEF-78A5-4657-9406-D88609DDB427}"/>
    <cellStyle name="Millares 2 2 13 9" xfId="1949" xr:uid="{ED8039A4-25E3-4907-9941-2A965569AFBE}"/>
    <cellStyle name="Millares 2 2 13 9 2" xfId="4309" xr:uid="{13B5A168-8337-47BC-8D52-ADCD230DA168}"/>
    <cellStyle name="Millares 2 2 14" xfId="1247" xr:uid="{00000000-0005-0000-0000-000016040000}"/>
    <cellStyle name="Millares 2 2 14 10" xfId="2039" xr:uid="{684F0E59-AD1D-42D3-93E2-C4C7F4E1AA87}"/>
    <cellStyle name="Millares 2 2 14 10 2" xfId="4399" xr:uid="{3C89DFA1-4E4A-4706-97D9-C094151A0719}"/>
    <cellStyle name="Millares 2 2 14 11" xfId="2130" xr:uid="{34B381D6-8116-49A2-8073-A4E9F8B2399C}"/>
    <cellStyle name="Millares 2 2 14 11 2" xfId="4490" xr:uid="{282A5814-707C-446C-B199-D6ADE93C7F30}"/>
    <cellStyle name="Millares 2 2 14 12" xfId="2219" xr:uid="{E20665C1-48C8-46DA-90AE-94AC000E773D}"/>
    <cellStyle name="Millares 2 2 14 12 2" xfId="4579" xr:uid="{78CF7ECC-A3B5-4EDA-95CA-DC2C82569D5C}"/>
    <cellStyle name="Millares 2 2 14 13" xfId="2309" xr:uid="{D832FE16-FF86-4808-8E26-9800B5FF0669}"/>
    <cellStyle name="Millares 2 2 14 13 2" xfId="4669" xr:uid="{A52756BB-9BA5-40FD-8EF5-2632005C4793}"/>
    <cellStyle name="Millares 2 2 14 14" xfId="2398" xr:uid="{CED5A290-E41B-4E34-999A-61829E867121}"/>
    <cellStyle name="Millares 2 2 14 14 2" xfId="4758" xr:uid="{BB0A73A9-CB89-4F86-9F31-62EE43311426}"/>
    <cellStyle name="Millares 2 2 14 15" xfId="2488" xr:uid="{A7F997DB-DFF2-45BD-AC4B-19C574066FB6}"/>
    <cellStyle name="Millares 2 2 14 15 2" xfId="4848" xr:uid="{4BB0FAFC-0CB1-4C9F-888A-4D68A887FE75}"/>
    <cellStyle name="Millares 2 2 14 16" xfId="2577" xr:uid="{384E8B54-AAD6-4E6E-89EC-D14256AA1C81}"/>
    <cellStyle name="Millares 2 2 14 16 2" xfId="4937" xr:uid="{87898365-9FEE-4D72-8025-294CF67498CF}"/>
    <cellStyle name="Millares 2 2 14 17" xfId="2667" xr:uid="{C4723EEB-5A6A-4F30-86EA-806E66FD51A4}"/>
    <cellStyle name="Millares 2 2 14 17 2" xfId="5027" xr:uid="{DAE2E5C2-F81C-4862-BD9D-D88E7AB169E7}"/>
    <cellStyle name="Millares 2 2 14 18" xfId="2757" xr:uid="{9920E6E6-D4DA-4426-8E57-F96A4165414F}"/>
    <cellStyle name="Millares 2 2 14 18 2" xfId="5117" xr:uid="{F873A773-0FEB-47E2-B091-11DB66E40B61}"/>
    <cellStyle name="Millares 2 2 14 19" xfId="2847" xr:uid="{D2F0DD79-67C6-473B-9C84-2FBDEC00ADD7}"/>
    <cellStyle name="Millares 2 2 14 19 2" xfId="5207" xr:uid="{5F2CC9F8-0BE0-435D-9F39-5659808DE39B}"/>
    <cellStyle name="Millares 2 2 14 2" xfId="1307" xr:uid="{00000000-0005-0000-0000-000017040000}"/>
    <cellStyle name="Millares 2 2 14 2 2" xfId="3472" xr:uid="{C6E49416-03CF-44C1-9719-4437BE1DB419}"/>
    <cellStyle name="Millares 2 2 14 2 2 2" xfId="5483" xr:uid="{8E8CAB3B-4ED6-48E0-B362-4CB17660DB51}"/>
    <cellStyle name="Millares 2 2 14 2 3" xfId="3680" xr:uid="{E2704940-A821-4252-8F8C-9DDB79C62AD9}"/>
    <cellStyle name="Millares 2 2 14 20" xfId="2940" xr:uid="{392A6D20-0B21-4096-B003-95D9323E97F7}"/>
    <cellStyle name="Millares 2 2 14 20 2" xfId="5300" xr:uid="{4C1301DD-150A-4656-9A15-58CE96969689}"/>
    <cellStyle name="Millares 2 2 14 21" xfId="3034" xr:uid="{A7409236-6DFC-42B2-B4B8-18F869E2C410}"/>
    <cellStyle name="Millares 2 2 14 21 2" xfId="5393" xr:uid="{EAC6F1AB-3192-4E17-A575-76ABFE225865}"/>
    <cellStyle name="Millares 2 2 14 22" xfId="3623" xr:uid="{4FF82D90-2BBD-43E7-831B-A0DD1ECA7121}"/>
    <cellStyle name="Millares 2 2 14 3" xfId="1404" xr:uid="{00000000-0005-0000-0000-000018040000}"/>
    <cellStyle name="Millares 2 2 14 3 2" xfId="3770" xr:uid="{78403C4A-7F1B-47BA-B45A-BE21F08688F4}"/>
    <cellStyle name="Millares 2 2 14 4" xfId="1494" xr:uid="{00000000-0005-0000-0000-000019040000}"/>
    <cellStyle name="Millares 2 2 14 4 2" xfId="3860" xr:uid="{B5F17894-8A23-4E88-8541-8E66D111469F}"/>
    <cellStyle name="Millares 2 2 14 5" xfId="1584" xr:uid="{00000000-0005-0000-0000-00001A040000}"/>
    <cellStyle name="Millares 2 2 14 5 2" xfId="3950" xr:uid="{D9048752-7757-43C0-B6D7-F9F497A49F90}"/>
    <cellStyle name="Millares 2 2 14 6" xfId="1675" xr:uid="{00000000-0005-0000-0000-00001B040000}"/>
    <cellStyle name="Millares 2 2 14 6 2" xfId="4040" xr:uid="{09F7CAFE-D6D6-42F6-9362-AE8053F3EF92}"/>
    <cellStyle name="Millares 2 2 14 7" xfId="1768" xr:uid="{00000000-0005-0000-0000-00001C040000}"/>
    <cellStyle name="Millares 2 2 14 7 2" xfId="4130" xr:uid="{DD9F0A1B-0491-46F5-BA8B-468D25CD60C0}"/>
    <cellStyle name="Millares 2 2 14 8" xfId="1859" xr:uid="{1E211E3F-901D-4F32-91F1-C3CF3FEFCC0E}"/>
    <cellStyle name="Millares 2 2 14 8 2" xfId="4220" xr:uid="{354B1D60-213E-4294-B47B-DA03A438DA86}"/>
    <cellStyle name="Millares 2 2 14 9" xfId="1950" xr:uid="{E3FFF034-E58C-4422-B65C-52E23EFD4039}"/>
    <cellStyle name="Millares 2 2 14 9 2" xfId="4310" xr:uid="{CD55BB27-CB9B-4955-8614-801CF2138DCC}"/>
    <cellStyle name="Millares 2 2 15" xfId="1252" xr:uid="{00000000-0005-0000-0000-00001D040000}"/>
    <cellStyle name="Millares 2 2 15 10" xfId="2040" xr:uid="{48538EC5-C406-4F77-8A1A-047B1DB967E0}"/>
    <cellStyle name="Millares 2 2 15 10 2" xfId="4400" xr:uid="{B0146F2A-DA8A-4F3F-A978-3DFCDCD8086E}"/>
    <cellStyle name="Millares 2 2 15 11" xfId="2131" xr:uid="{E855548D-1BA9-4BC4-ACFE-82BC4F70ACE0}"/>
    <cellStyle name="Millares 2 2 15 11 2" xfId="4491" xr:uid="{B35F3576-2B6F-4F8F-8D49-257A23919229}"/>
    <cellStyle name="Millares 2 2 15 12" xfId="2220" xr:uid="{BBE1088C-F0A2-4CE9-9885-9AF5206A4609}"/>
    <cellStyle name="Millares 2 2 15 12 2" xfId="4580" xr:uid="{617B2EA1-EBB7-4C08-A877-C350611A6E12}"/>
    <cellStyle name="Millares 2 2 15 13" xfId="2310" xr:uid="{B65413E3-20D8-4614-B36C-3D24F59CCE3A}"/>
    <cellStyle name="Millares 2 2 15 13 2" xfId="4670" xr:uid="{7046DA14-3938-494E-B963-7142BD36B779}"/>
    <cellStyle name="Millares 2 2 15 14" xfId="2399" xr:uid="{66A1BBAD-F249-4F66-A987-565862B8C404}"/>
    <cellStyle name="Millares 2 2 15 14 2" xfId="4759" xr:uid="{83C33C32-E6E1-45A4-8340-FB59FD3565FD}"/>
    <cellStyle name="Millares 2 2 15 15" xfId="2489" xr:uid="{38EF62E7-550E-4BA6-9175-554F7AADB047}"/>
    <cellStyle name="Millares 2 2 15 15 2" xfId="4849" xr:uid="{286C7B1B-AE39-4019-8C7A-232EFC0C45AA}"/>
    <cellStyle name="Millares 2 2 15 16" xfId="2578" xr:uid="{913EE498-F192-4B24-BFF8-71FB397030B6}"/>
    <cellStyle name="Millares 2 2 15 16 2" xfId="4938" xr:uid="{43897A94-FEA6-4969-82E4-FD23DF8CFD22}"/>
    <cellStyle name="Millares 2 2 15 17" xfId="2668" xr:uid="{4DCFFAEC-EB96-44B0-89CC-66BAE253DF24}"/>
    <cellStyle name="Millares 2 2 15 17 2" xfId="5028" xr:uid="{E3448783-2E8A-4F28-A562-D344323BFCBE}"/>
    <cellStyle name="Millares 2 2 15 18" xfId="2758" xr:uid="{8F18D925-BE71-42D1-AA87-D0B63919F28B}"/>
    <cellStyle name="Millares 2 2 15 18 2" xfId="5118" xr:uid="{20CA1305-6C52-467D-893C-52EF10FDAB44}"/>
    <cellStyle name="Millares 2 2 15 19" xfId="2848" xr:uid="{18B2EF97-0AE2-4FF9-B6E3-40B0450869EF}"/>
    <cellStyle name="Millares 2 2 15 19 2" xfId="5208" xr:uid="{2BE883DF-59A2-4D86-A55B-5054CB01B62A}"/>
    <cellStyle name="Millares 2 2 15 2" xfId="1308" xr:uid="{00000000-0005-0000-0000-00001E040000}"/>
    <cellStyle name="Millares 2 2 15 2 2" xfId="3473" xr:uid="{3353855B-2706-4192-AF71-F3A163667316}"/>
    <cellStyle name="Millares 2 2 15 2 2 2" xfId="5484" xr:uid="{5ADD5E23-D0B1-473A-8B1F-F904027D17D8}"/>
    <cellStyle name="Millares 2 2 15 2 3" xfId="3681" xr:uid="{6632B82E-98F2-460B-8B54-A9A66343DB6B}"/>
    <cellStyle name="Millares 2 2 15 20" xfId="2941" xr:uid="{DD6B05DA-BC77-43CB-831A-92E6EA7EC62F}"/>
    <cellStyle name="Millares 2 2 15 20 2" xfId="5301" xr:uid="{DF3F9B1D-8F8B-48D9-B0BB-A65A8C74795F}"/>
    <cellStyle name="Millares 2 2 15 21" xfId="3035" xr:uid="{D7962D97-452A-4F46-9827-8B3644DE2DC6}"/>
    <cellStyle name="Millares 2 2 15 21 2" xfId="5394" xr:uid="{B115023E-3688-44B0-A4AB-BEBA75DBB547}"/>
    <cellStyle name="Millares 2 2 15 22" xfId="3627" xr:uid="{6530D0AE-475E-4A05-A070-0CF01F8230B9}"/>
    <cellStyle name="Millares 2 2 15 3" xfId="1405" xr:uid="{00000000-0005-0000-0000-00001F040000}"/>
    <cellStyle name="Millares 2 2 15 3 2" xfId="3771" xr:uid="{64AFC2D8-1499-4930-93AF-09D4BCC2710C}"/>
    <cellStyle name="Millares 2 2 15 4" xfId="1495" xr:uid="{00000000-0005-0000-0000-000020040000}"/>
    <cellStyle name="Millares 2 2 15 4 2" xfId="3861" xr:uid="{B5CEE60F-B9F6-4166-8F83-0E684A2677FD}"/>
    <cellStyle name="Millares 2 2 15 5" xfId="1585" xr:uid="{00000000-0005-0000-0000-000021040000}"/>
    <cellStyle name="Millares 2 2 15 5 2" xfId="3951" xr:uid="{2E4BCFF3-67A6-46CF-9366-99207DEC1FA6}"/>
    <cellStyle name="Millares 2 2 15 6" xfId="1676" xr:uid="{00000000-0005-0000-0000-000022040000}"/>
    <cellStyle name="Millares 2 2 15 6 2" xfId="4041" xr:uid="{C72EFFE3-F45E-4D5A-BE78-459D502E54CC}"/>
    <cellStyle name="Millares 2 2 15 7" xfId="1769" xr:uid="{00000000-0005-0000-0000-000023040000}"/>
    <cellStyle name="Millares 2 2 15 7 2" xfId="4131" xr:uid="{8288D1A2-96DC-4FD2-930F-01DEC7B7C51A}"/>
    <cellStyle name="Millares 2 2 15 8" xfId="1860" xr:uid="{115FE98B-3DDA-4419-8815-C59334A886DD}"/>
    <cellStyle name="Millares 2 2 15 8 2" xfId="4221" xr:uid="{915A03A5-D409-45ED-94F9-72649039E192}"/>
    <cellStyle name="Millares 2 2 15 9" xfId="1951" xr:uid="{6C316B51-3636-4501-BF9E-9C37969302F2}"/>
    <cellStyle name="Millares 2 2 15 9 2" xfId="4311" xr:uid="{C16F9590-51CB-426C-93AE-76CCFD15DFD9}"/>
    <cellStyle name="Millares 2 2 16" xfId="1257" xr:uid="{00000000-0005-0000-0000-000024040000}"/>
    <cellStyle name="Millares 2 2 16 10" xfId="2041" xr:uid="{C84604ED-3A94-4123-A0FB-1BA3A4B7A8CF}"/>
    <cellStyle name="Millares 2 2 16 10 2" xfId="4401" xr:uid="{3B420B4E-1AEA-414C-B998-C3C104F48790}"/>
    <cellStyle name="Millares 2 2 16 11" xfId="2132" xr:uid="{6F5F2485-FA95-4A40-BEA3-2F9BCBA87C5C}"/>
    <cellStyle name="Millares 2 2 16 11 2" xfId="4492" xr:uid="{1E52CA15-0ED0-4277-BEB8-10DC41C51187}"/>
    <cellStyle name="Millares 2 2 16 12" xfId="2221" xr:uid="{D5837E44-7AD5-484C-8CBA-4477DE5005B8}"/>
    <cellStyle name="Millares 2 2 16 12 2" xfId="4581" xr:uid="{62014B71-36DF-4585-81EA-F9E36E13F924}"/>
    <cellStyle name="Millares 2 2 16 13" xfId="2311" xr:uid="{C671F0F2-CCE0-4A59-AB91-12FAB225D291}"/>
    <cellStyle name="Millares 2 2 16 13 2" xfId="4671" xr:uid="{1D3D1075-D7AD-4003-925E-7DEB83F34236}"/>
    <cellStyle name="Millares 2 2 16 14" xfId="2400" xr:uid="{2CE25FC2-7E1C-4DBB-B36A-B7FB960567EB}"/>
    <cellStyle name="Millares 2 2 16 14 2" xfId="4760" xr:uid="{F872BB8F-D02F-4F58-BCF6-1AEFC1651574}"/>
    <cellStyle name="Millares 2 2 16 15" xfId="2490" xr:uid="{65D3BB13-3259-4608-9195-ADD665F29C1D}"/>
    <cellStyle name="Millares 2 2 16 15 2" xfId="4850" xr:uid="{ADD157C6-50F4-4866-BED2-A0C5D9CDFC3C}"/>
    <cellStyle name="Millares 2 2 16 16" xfId="2579" xr:uid="{C8BF1502-011D-4846-B8B9-09DDD95E4893}"/>
    <cellStyle name="Millares 2 2 16 16 2" xfId="4939" xr:uid="{FD7BE697-C176-4BC6-8A84-8984D3EC7E01}"/>
    <cellStyle name="Millares 2 2 16 17" xfId="2669" xr:uid="{4A2504EC-C34C-48CC-9BDC-9FC5FF5025E0}"/>
    <cellStyle name="Millares 2 2 16 17 2" xfId="5029" xr:uid="{49EE6EA2-6A34-4ACB-B1DD-FEBE15CFFCB0}"/>
    <cellStyle name="Millares 2 2 16 18" xfId="2759" xr:uid="{51768685-5C96-4789-8067-972EC0DDBE13}"/>
    <cellStyle name="Millares 2 2 16 18 2" xfId="5119" xr:uid="{96986E57-F8D1-4B1D-BFBC-B24E3487C5D5}"/>
    <cellStyle name="Millares 2 2 16 19" xfId="2849" xr:uid="{24B47298-1E1C-4CB7-B7F3-407601335419}"/>
    <cellStyle name="Millares 2 2 16 19 2" xfId="5209" xr:uid="{A55215A2-7605-4A14-B58C-8CE492E52BF6}"/>
    <cellStyle name="Millares 2 2 16 2" xfId="1309" xr:uid="{00000000-0005-0000-0000-000025040000}"/>
    <cellStyle name="Millares 2 2 16 2 2" xfId="3474" xr:uid="{9638C02B-34A7-44DF-94B0-E51ABA0F2107}"/>
    <cellStyle name="Millares 2 2 16 2 2 2" xfId="5485" xr:uid="{BC0D1F5E-D429-4266-9A0F-E70BDB23A605}"/>
    <cellStyle name="Millares 2 2 16 2 3" xfId="3682" xr:uid="{436DE7DA-1CB3-4D04-80FE-A58C9236D1C9}"/>
    <cellStyle name="Millares 2 2 16 20" xfId="2942" xr:uid="{5B5552BA-DA98-4CC8-9B8D-E82E93030C89}"/>
    <cellStyle name="Millares 2 2 16 20 2" xfId="5302" xr:uid="{80EB500F-BB0C-4D9C-99B9-9AC0AC717196}"/>
    <cellStyle name="Millares 2 2 16 21" xfId="3036" xr:uid="{36F7DB7A-B4BD-42A8-99D0-EDF095B32EBA}"/>
    <cellStyle name="Millares 2 2 16 21 2" xfId="5395" xr:uid="{217C83D4-EE3C-44CF-98BC-8BEB62BA6439}"/>
    <cellStyle name="Millares 2 2 16 22" xfId="3631" xr:uid="{60A1AE3A-8910-45B4-AC3E-EE2BCC6B8D25}"/>
    <cellStyle name="Millares 2 2 16 3" xfId="1406" xr:uid="{00000000-0005-0000-0000-000026040000}"/>
    <cellStyle name="Millares 2 2 16 3 2" xfId="3772" xr:uid="{3F09065B-F57A-4F61-8939-C18EDEE00C40}"/>
    <cellStyle name="Millares 2 2 16 4" xfId="1496" xr:uid="{00000000-0005-0000-0000-000027040000}"/>
    <cellStyle name="Millares 2 2 16 4 2" xfId="3862" xr:uid="{8180D2A4-D765-45BD-B8F7-45A926C419CC}"/>
    <cellStyle name="Millares 2 2 16 5" xfId="1586" xr:uid="{00000000-0005-0000-0000-000028040000}"/>
    <cellStyle name="Millares 2 2 16 5 2" xfId="3952" xr:uid="{6BE4656D-88F5-47E9-9B17-7F01AE6879E1}"/>
    <cellStyle name="Millares 2 2 16 6" xfId="1677" xr:uid="{00000000-0005-0000-0000-000029040000}"/>
    <cellStyle name="Millares 2 2 16 6 2" xfId="4042" xr:uid="{3BC6E1C5-AAB6-42AF-B17A-56CD2B352F8F}"/>
    <cellStyle name="Millares 2 2 16 7" xfId="1770" xr:uid="{00000000-0005-0000-0000-00002A040000}"/>
    <cellStyle name="Millares 2 2 16 7 2" xfId="4132" xr:uid="{8EF6961D-2AEF-4A79-9CF1-0BEFD37BC7E7}"/>
    <cellStyle name="Millares 2 2 16 8" xfId="1861" xr:uid="{DF7F1BDB-0A1A-46C0-AE32-71D4F635FD7A}"/>
    <cellStyle name="Millares 2 2 16 8 2" xfId="4222" xr:uid="{79C04126-ACE2-462D-9DD5-90346DCF3365}"/>
    <cellStyle name="Millares 2 2 16 9" xfId="1952" xr:uid="{639A1C56-2F27-4BAB-9F7B-F83B7F13764F}"/>
    <cellStyle name="Millares 2 2 16 9 2" xfId="4312" xr:uid="{C6E375C1-F197-464D-BBD2-43A3AC87F422}"/>
    <cellStyle name="Millares 2 2 17" xfId="1261" xr:uid="{00000000-0005-0000-0000-00002B040000}"/>
    <cellStyle name="Millares 2 2 17 10" xfId="2042" xr:uid="{38A666C3-716F-4952-97CE-7034FCC760F3}"/>
    <cellStyle name="Millares 2 2 17 10 2" xfId="4402" xr:uid="{5A0FB4D9-221E-43D8-ACDD-4584D76783CF}"/>
    <cellStyle name="Millares 2 2 17 11" xfId="2133" xr:uid="{41D95C07-45B5-4FE9-A91D-AEBA4B5D08F2}"/>
    <cellStyle name="Millares 2 2 17 11 2" xfId="4493" xr:uid="{F94FC6B5-D901-40B8-B5F7-FC5D992F3FF2}"/>
    <cellStyle name="Millares 2 2 17 12" xfId="2222" xr:uid="{3AAB8643-1024-4031-9799-90C62F9C00D7}"/>
    <cellStyle name="Millares 2 2 17 12 2" xfId="4582" xr:uid="{8AB2F19C-95FA-438B-A71F-81CC84C75DA6}"/>
    <cellStyle name="Millares 2 2 17 13" xfId="2312" xr:uid="{14C98B54-6A93-4AFE-A861-B6D9F3169231}"/>
    <cellStyle name="Millares 2 2 17 13 2" xfId="4672" xr:uid="{D49EB92F-7469-485F-9B30-666253540EB6}"/>
    <cellStyle name="Millares 2 2 17 14" xfId="2401" xr:uid="{9A5E2F7A-48FB-40EA-ACB8-B7CE2AC9D801}"/>
    <cellStyle name="Millares 2 2 17 14 2" xfId="4761" xr:uid="{BBA67D20-E795-4B7E-AE3A-56627D02A830}"/>
    <cellStyle name="Millares 2 2 17 15" xfId="2491" xr:uid="{6A25F2BE-8F3B-466F-BEC4-BEE8B7E4EE83}"/>
    <cellStyle name="Millares 2 2 17 15 2" xfId="4851" xr:uid="{BB7E414C-2FE8-490D-B16A-A03252EE7B89}"/>
    <cellStyle name="Millares 2 2 17 16" xfId="2580" xr:uid="{E15CFFDD-F21C-49D4-83BB-04CBD823E5F0}"/>
    <cellStyle name="Millares 2 2 17 16 2" xfId="4940" xr:uid="{422EBC5F-964C-461B-83A0-DFEBBD27F5EC}"/>
    <cellStyle name="Millares 2 2 17 17" xfId="2670" xr:uid="{24EB1F3F-AC8F-4B16-B59F-6ED29F9BC0B6}"/>
    <cellStyle name="Millares 2 2 17 17 2" xfId="5030" xr:uid="{C3F58147-4FD0-4BBF-8A4C-BB377C6D16EB}"/>
    <cellStyle name="Millares 2 2 17 18" xfId="2760" xr:uid="{B63D2511-99A4-4A0A-ABEE-689053C418E7}"/>
    <cellStyle name="Millares 2 2 17 18 2" xfId="5120" xr:uid="{AF51FC88-7C0D-4525-83E2-7EFB0367096E}"/>
    <cellStyle name="Millares 2 2 17 19" xfId="2850" xr:uid="{B87C0C54-0692-4F15-B946-AA051D518EC8}"/>
    <cellStyle name="Millares 2 2 17 19 2" xfId="5210" xr:uid="{85D3D955-8F81-4A7E-8AFE-1856F74B60FE}"/>
    <cellStyle name="Millares 2 2 17 2" xfId="1310" xr:uid="{00000000-0005-0000-0000-00002C040000}"/>
    <cellStyle name="Millares 2 2 17 2 2" xfId="3475" xr:uid="{92E17B21-C9C3-4F42-BB9A-188057228136}"/>
    <cellStyle name="Millares 2 2 17 2 2 2" xfId="5486" xr:uid="{90FB4C47-4CB4-4F0A-BA0A-CC21F91529E7}"/>
    <cellStyle name="Millares 2 2 17 2 3" xfId="3683" xr:uid="{1CCA0263-4487-48B2-A193-5F7AE7A4915B}"/>
    <cellStyle name="Millares 2 2 17 20" xfId="2943" xr:uid="{D8040F19-E1F9-4A83-B040-593F7AB48FB5}"/>
    <cellStyle name="Millares 2 2 17 20 2" xfId="5303" xr:uid="{8A7DE322-3960-4388-906C-147F13A6E1B4}"/>
    <cellStyle name="Millares 2 2 17 21" xfId="3037" xr:uid="{39E3CA26-3262-4B6A-AD44-6F6FA26E281E}"/>
    <cellStyle name="Millares 2 2 17 21 2" xfId="5396" xr:uid="{7482140A-EB7A-41D9-8B73-CCF5F8315033}"/>
    <cellStyle name="Millares 2 2 17 22" xfId="3635" xr:uid="{99BDC0AF-7598-400D-BB95-830F96DC97B5}"/>
    <cellStyle name="Millares 2 2 17 3" xfId="1407" xr:uid="{00000000-0005-0000-0000-00002D040000}"/>
    <cellStyle name="Millares 2 2 17 3 2" xfId="3773" xr:uid="{B8F3DB8A-A7C2-4ED7-A6B0-C38AB71544B7}"/>
    <cellStyle name="Millares 2 2 17 4" xfId="1497" xr:uid="{00000000-0005-0000-0000-00002E040000}"/>
    <cellStyle name="Millares 2 2 17 4 2" xfId="3863" xr:uid="{DCC91AB3-5721-4EFD-BA0F-5D92DCA1B44A}"/>
    <cellStyle name="Millares 2 2 17 5" xfId="1587" xr:uid="{00000000-0005-0000-0000-00002F040000}"/>
    <cellStyle name="Millares 2 2 17 5 2" xfId="3953" xr:uid="{3C64D9BB-6156-4EE2-8D27-ED0B923C56D6}"/>
    <cellStyle name="Millares 2 2 17 6" xfId="1678" xr:uid="{00000000-0005-0000-0000-000030040000}"/>
    <cellStyle name="Millares 2 2 17 6 2" xfId="4043" xr:uid="{91335FA4-B21A-441D-9C1D-A80DAECBD9AD}"/>
    <cellStyle name="Millares 2 2 17 7" xfId="1771" xr:uid="{00000000-0005-0000-0000-000031040000}"/>
    <cellStyle name="Millares 2 2 17 7 2" xfId="4133" xr:uid="{78A06925-0CAF-47B3-9E91-C71A91E78C25}"/>
    <cellStyle name="Millares 2 2 17 8" xfId="1862" xr:uid="{CBCD47D2-80A2-465C-80DD-AAF91E9DBCB8}"/>
    <cellStyle name="Millares 2 2 17 8 2" xfId="4223" xr:uid="{EDBF5427-BFF8-4009-AA9D-2FE1C98B4EC0}"/>
    <cellStyle name="Millares 2 2 17 9" xfId="1953" xr:uid="{4BC5670B-581C-4D64-8E23-3EB6B3401C44}"/>
    <cellStyle name="Millares 2 2 17 9 2" xfId="4313" xr:uid="{961BAE1A-CF14-4B46-8997-125CDFA6C788}"/>
    <cellStyle name="Millares 2 2 18" xfId="1265" xr:uid="{00000000-0005-0000-0000-000032040000}"/>
    <cellStyle name="Millares 2 2 18 10" xfId="2043" xr:uid="{2AC14945-FF4F-4C6F-A35E-1BDEBB86D1C9}"/>
    <cellStyle name="Millares 2 2 18 10 2" xfId="4403" xr:uid="{027805B5-BB8C-46CF-9A1E-66F77C336702}"/>
    <cellStyle name="Millares 2 2 18 11" xfId="2134" xr:uid="{F1CD8ACC-31EA-4EA6-B871-F93BB695DB2B}"/>
    <cellStyle name="Millares 2 2 18 11 2" xfId="4494" xr:uid="{154BD64E-B936-4CC5-B6AE-4AF7053282EB}"/>
    <cellStyle name="Millares 2 2 18 12" xfId="2223" xr:uid="{821FD212-023A-43D3-8E3C-FFF64E820515}"/>
    <cellStyle name="Millares 2 2 18 12 2" xfId="4583" xr:uid="{BCABB904-35E7-4AC8-A974-3C3B19CAFEE1}"/>
    <cellStyle name="Millares 2 2 18 13" xfId="2313" xr:uid="{23D877C1-CF44-4F5C-A1CF-DB66662EB3D4}"/>
    <cellStyle name="Millares 2 2 18 13 2" xfId="4673" xr:uid="{4CB7A482-F2E5-4224-8A82-3C5A462C692C}"/>
    <cellStyle name="Millares 2 2 18 14" xfId="2402" xr:uid="{B01832E9-C6CB-4888-AD9E-D787A7A2312D}"/>
    <cellStyle name="Millares 2 2 18 14 2" xfId="4762" xr:uid="{6F6FEF33-D454-48B3-B630-510B667A71BB}"/>
    <cellStyle name="Millares 2 2 18 15" xfId="2492" xr:uid="{DB78AFDD-B3E8-441A-8D9F-48A9049F808F}"/>
    <cellStyle name="Millares 2 2 18 15 2" xfId="4852" xr:uid="{EF0C6C20-BF7A-4FA0-B98C-B3EA3E787923}"/>
    <cellStyle name="Millares 2 2 18 16" xfId="2581" xr:uid="{A31776A7-0BA3-4B3C-A90E-8FC9A9649780}"/>
    <cellStyle name="Millares 2 2 18 16 2" xfId="4941" xr:uid="{6A68AAA1-9268-40C2-8769-5074DFA4AEC5}"/>
    <cellStyle name="Millares 2 2 18 17" xfId="2671" xr:uid="{78DA7557-2F41-48F7-B87E-B0DD6A58D762}"/>
    <cellStyle name="Millares 2 2 18 17 2" xfId="5031" xr:uid="{7B000ED5-80CA-43A7-9950-F908CC6BE45B}"/>
    <cellStyle name="Millares 2 2 18 18" xfId="2761" xr:uid="{9798AF64-7ADC-4A95-A41F-B8047AFFE005}"/>
    <cellStyle name="Millares 2 2 18 18 2" xfId="5121" xr:uid="{6916C308-12FE-420C-BFA2-75699BBF911A}"/>
    <cellStyle name="Millares 2 2 18 19" xfId="2851" xr:uid="{37172DEF-03D7-44EE-AC22-4F9A5E66CF2B}"/>
    <cellStyle name="Millares 2 2 18 19 2" xfId="5211" xr:uid="{61D6A6C8-148C-46B3-A036-4B1F708B1DB4}"/>
    <cellStyle name="Millares 2 2 18 2" xfId="1311" xr:uid="{00000000-0005-0000-0000-000033040000}"/>
    <cellStyle name="Millares 2 2 18 2 2" xfId="3476" xr:uid="{A35D66FF-94A3-446D-A888-E4ACB9FE8B4A}"/>
    <cellStyle name="Millares 2 2 18 2 2 2" xfId="5487" xr:uid="{D6D99BBB-3248-489C-ADB4-1018E1AB5D54}"/>
    <cellStyle name="Millares 2 2 18 2 3" xfId="3684" xr:uid="{6945A308-F058-458F-88E1-927D5144B535}"/>
    <cellStyle name="Millares 2 2 18 20" xfId="2944" xr:uid="{E1105199-00F8-43B4-861B-A874BAE32B99}"/>
    <cellStyle name="Millares 2 2 18 20 2" xfId="5304" xr:uid="{7CEFBC12-CB2D-43A5-B576-C8B61BE276B2}"/>
    <cellStyle name="Millares 2 2 18 21" xfId="3038" xr:uid="{8787226D-7C87-4DFE-8A7B-AABC7045DFA9}"/>
    <cellStyle name="Millares 2 2 18 21 2" xfId="5397" xr:uid="{207BF18E-57C7-46DF-AC32-64D5E537EC74}"/>
    <cellStyle name="Millares 2 2 18 22" xfId="3639" xr:uid="{538449A5-061A-4086-87D8-E159AB7A9BA8}"/>
    <cellStyle name="Millares 2 2 18 3" xfId="1408" xr:uid="{00000000-0005-0000-0000-000034040000}"/>
    <cellStyle name="Millares 2 2 18 3 2" xfId="3774" xr:uid="{044CFB1F-2610-4086-803B-26618A3D32C2}"/>
    <cellStyle name="Millares 2 2 18 4" xfId="1498" xr:uid="{00000000-0005-0000-0000-000035040000}"/>
    <cellStyle name="Millares 2 2 18 4 2" xfId="3864" xr:uid="{64563D9A-E809-4D7D-BF70-B5882B456EE0}"/>
    <cellStyle name="Millares 2 2 18 5" xfId="1588" xr:uid="{00000000-0005-0000-0000-000036040000}"/>
    <cellStyle name="Millares 2 2 18 5 2" xfId="3954" xr:uid="{EA628F4C-2E97-49F9-A8A4-3B2F990A9DE5}"/>
    <cellStyle name="Millares 2 2 18 6" xfId="1679" xr:uid="{00000000-0005-0000-0000-000037040000}"/>
    <cellStyle name="Millares 2 2 18 6 2" xfId="4044" xr:uid="{1A11F87F-B127-478D-A1AD-16F741BCF926}"/>
    <cellStyle name="Millares 2 2 18 7" xfId="1772" xr:uid="{00000000-0005-0000-0000-000038040000}"/>
    <cellStyle name="Millares 2 2 18 7 2" xfId="4134" xr:uid="{6918ED2F-3F4E-41B4-9DFE-7D7183A06046}"/>
    <cellStyle name="Millares 2 2 18 8" xfId="1863" xr:uid="{770B2954-E547-4754-B65E-0B06598BDEDF}"/>
    <cellStyle name="Millares 2 2 18 8 2" xfId="4224" xr:uid="{FBD7DB12-D8E3-42CC-BB8A-C52B5C5550C3}"/>
    <cellStyle name="Millares 2 2 18 9" xfId="1954" xr:uid="{F62DC970-6D4A-4E20-BA31-ABA5EAACB348}"/>
    <cellStyle name="Millares 2 2 18 9 2" xfId="4314" xr:uid="{A0074981-C9A5-40E0-AE8F-81B0FD4A6C3D}"/>
    <cellStyle name="Millares 2 2 19" xfId="1270" xr:uid="{00000000-0005-0000-0000-000039040000}"/>
    <cellStyle name="Millares 2 2 19 10" xfId="2044" xr:uid="{78CB8D81-1C1C-4FA9-9D76-54D07A0EE43B}"/>
    <cellStyle name="Millares 2 2 19 10 2" xfId="4404" xr:uid="{57443B54-0867-4502-B7EA-3D3C54E12937}"/>
    <cellStyle name="Millares 2 2 19 11" xfId="2135" xr:uid="{E1C81E1C-CE59-46A6-A8EA-E5F2E9A15EE7}"/>
    <cellStyle name="Millares 2 2 19 11 2" xfId="4495" xr:uid="{E0EBB671-709D-4A88-B1A9-C68E9AD9C827}"/>
    <cellStyle name="Millares 2 2 19 12" xfId="2224" xr:uid="{CB496E5F-01A5-47F5-BDB9-2F90BF92FC3D}"/>
    <cellStyle name="Millares 2 2 19 12 2" xfId="4584" xr:uid="{421D4E88-BDFC-4226-898B-C6BABC11F1E5}"/>
    <cellStyle name="Millares 2 2 19 13" xfId="2314" xr:uid="{564E1C96-F769-4FBA-BE05-A1C8685CDFF6}"/>
    <cellStyle name="Millares 2 2 19 13 2" xfId="4674" xr:uid="{1F3ED77D-0D31-4D8B-99EA-866B1D7A8BEB}"/>
    <cellStyle name="Millares 2 2 19 14" xfId="2403" xr:uid="{00E6C410-328E-4779-A165-23F9E6B4EE3F}"/>
    <cellStyle name="Millares 2 2 19 14 2" xfId="4763" xr:uid="{8C699F5A-352C-488A-82E2-B6D438EA4A98}"/>
    <cellStyle name="Millares 2 2 19 15" xfId="2493" xr:uid="{AD376C68-677B-4D95-8F4F-59CA44A60D43}"/>
    <cellStyle name="Millares 2 2 19 15 2" xfId="4853" xr:uid="{1A74BDE9-87AE-4F52-BF2C-C5CFD22A5634}"/>
    <cellStyle name="Millares 2 2 19 16" xfId="2582" xr:uid="{6FC78C2B-8488-4036-ABD8-D507BA0361DC}"/>
    <cellStyle name="Millares 2 2 19 16 2" xfId="4942" xr:uid="{A5F686AA-D4CE-4203-A413-CE0D770D31A5}"/>
    <cellStyle name="Millares 2 2 19 17" xfId="2672" xr:uid="{86ADAAEF-2D53-4EAF-B317-5BCC0EA8D0D3}"/>
    <cellStyle name="Millares 2 2 19 17 2" xfId="5032" xr:uid="{7765C2F0-A70D-462A-8126-F2A1D3EFB920}"/>
    <cellStyle name="Millares 2 2 19 18" xfId="2762" xr:uid="{315429A3-213C-4FFD-9782-A259DC0FD8B4}"/>
    <cellStyle name="Millares 2 2 19 18 2" xfId="5122" xr:uid="{227E59EF-3EF9-418D-A7C6-C09492DA895A}"/>
    <cellStyle name="Millares 2 2 19 19" xfId="2852" xr:uid="{D56F5BE2-6DE0-402E-91D8-5A734C608357}"/>
    <cellStyle name="Millares 2 2 19 19 2" xfId="5212" xr:uid="{B621893E-4956-4561-ACB5-AA2E2932E473}"/>
    <cellStyle name="Millares 2 2 19 2" xfId="1312" xr:uid="{00000000-0005-0000-0000-00003A040000}"/>
    <cellStyle name="Millares 2 2 19 2 2" xfId="3477" xr:uid="{3EE65A50-9A2E-4288-80E3-553CE0898596}"/>
    <cellStyle name="Millares 2 2 19 2 2 2" xfId="5488" xr:uid="{DB278792-BF28-43C1-A3AF-4C018AEF03C4}"/>
    <cellStyle name="Millares 2 2 19 2 3" xfId="3685" xr:uid="{48CF27F5-3B2B-42C7-8181-036F4059C262}"/>
    <cellStyle name="Millares 2 2 19 20" xfId="2945" xr:uid="{AC8D7A90-B29A-4641-99FE-B6FA39225E18}"/>
    <cellStyle name="Millares 2 2 19 20 2" xfId="5305" xr:uid="{75FDCC10-FA78-4105-93F7-BF21D0CCEDFE}"/>
    <cellStyle name="Millares 2 2 19 21" xfId="3039" xr:uid="{65C7B291-AAE0-469B-A141-1E8C16ED49A4}"/>
    <cellStyle name="Millares 2 2 19 21 2" xfId="5398" xr:uid="{4FFAAC50-21C0-4FA1-B680-C6BEC78B394D}"/>
    <cellStyle name="Millares 2 2 19 22" xfId="3643" xr:uid="{D0EDFC0F-90F7-4F38-8677-600DBEB0D5FF}"/>
    <cellStyle name="Millares 2 2 19 3" xfId="1409" xr:uid="{00000000-0005-0000-0000-00003B040000}"/>
    <cellStyle name="Millares 2 2 19 3 2" xfId="3775" xr:uid="{4464B0F9-2187-46F4-806B-C61705D40E26}"/>
    <cellStyle name="Millares 2 2 19 4" xfId="1499" xr:uid="{00000000-0005-0000-0000-00003C040000}"/>
    <cellStyle name="Millares 2 2 19 4 2" xfId="3865" xr:uid="{B5A6EF95-1382-4FE1-AEDD-E04BB525D44C}"/>
    <cellStyle name="Millares 2 2 19 5" xfId="1589" xr:uid="{00000000-0005-0000-0000-00003D040000}"/>
    <cellStyle name="Millares 2 2 19 5 2" xfId="3955" xr:uid="{D62E63CF-CCC9-4C64-A2FE-AB29B2CB8D33}"/>
    <cellStyle name="Millares 2 2 19 6" xfId="1680" xr:uid="{00000000-0005-0000-0000-00003E040000}"/>
    <cellStyle name="Millares 2 2 19 6 2" xfId="4045" xr:uid="{265EC93A-C72A-495C-8527-755F301EAB71}"/>
    <cellStyle name="Millares 2 2 19 7" xfId="1773" xr:uid="{00000000-0005-0000-0000-00003F040000}"/>
    <cellStyle name="Millares 2 2 19 7 2" xfId="4135" xr:uid="{3FD204C5-2F2C-46FF-BA64-2DF82503F2CD}"/>
    <cellStyle name="Millares 2 2 19 8" xfId="1864" xr:uid="{7251B3DC-8292-48CA-9E39-6C179D4FD71A}"/>
    <cellStyle name="Millares 2 2 19 8 2" xfId="4225" xr:uid="{77F8E662-E3CD-4E20-8BE2-CC76FFAD91B6}"/>
    <cellStyle name="Millares 2 2 19 9" xfId="1955" xr:uid="{76BDC2FE-E062-4939-BDA4-0DC1917A8525}"/>
    <cellStyle name="Millares 2 2 19 9 2" xfId="4315" xr:uid="{C941C7C9-D498-4997-AD4A-5D2F68BB66D3}"/>
    <cellStyle name="Millares 2 2 2" xfId="1195" xr:uid="{00000000-0005-0000-0000-000040040000}"/>
    <cellStyle name="Millares 2 2 2 10" xfId="2045" xr:uid="{100AE71C-96D7-4BD7-B621-4480C2DFD4F5}"/>
    <cellStyle name="Millares 2 2 2 10 2" xfId="4405" xr:uid="{A2E4DE19-6F00-47ED-B123-6AE1CD4C2506}"/>
    <cellStyle name="Millares 2 2 2 11" xfId="2136" xr:uid="{ABA3D037-BC6E-40D5-9FA7-87E8417CE002}"/>
    <cellStyle name="Millares 2 2 2 11 2" xfId="4496" xr:uid="{37F05AA2-E748-40B7-B99F-64D0DE9DE4B6}"/>
    <cellStyle name="Millares 2 2 2 12" xfId="2225" xr:uid="{517AECF3-77A7-4F5B-86E7-19DD2FA9A91F}"/>
    <cellStyle name="Millares 2 2 2 12 2" xfId="4585" xr:uid="{B80C273C-02B3-4CE4-873B-6DB6ED78157B}"/>
    <cellStyle name="Millares 2 2 2 13" xfId="2315" xr:uid="{3C21CEAA-AA10-4A15-B88B-D71CAC242AF3}"/>
    <cellStyle name="Millares 2 2 2 13 2" xfId="4675" xr:uid="{DA18CA4A-984E-4D00-AC8A-3C8C40AD9015}"/>
    <cellStyle name="Millares 2 2 2 14" xfId="2404" xr:uid="{1AC31964-6F9D-402E-9D21-85D42F1A206C}"/>
    <cellStyle name="Millares 2 2 2 14 2" xfId="4764" xr:uid="{C2BFC18C-9DCE-4520-B1DD-FEC1A2B9C0CA}"/>
    <cellStyle name="Millares 2 2 2 15" xfId="2494" xr:uid="{AAD2D71F-2CB6-4C5F-AD9C-2DACE35A29F6}"/>
    <cellStyle name="Millares 2 2 2 15 2" xfId="4854" xr:uid="{77378BB4-6B81-4DAF-AD62-41B1F2E159F5}"/>
    <cellStyle name="Millares 2 2 2 16" xfId="2583" xr:uid="{EE99379D-BAE5-4E52-81A0-E83AC8156060}"/>
    <cellStyle name="Millares 2 2 2 16 2" xfId="4943" xr:uid="{88A0DB53-AC40-4B62-8905-AF5A339224D9}"/>
    <cellStyle name="Millares 2 2 2 17" xfId="2673" xr:uid="{A22FF0C5-991D-47EA-8C48-D4EB9C6052B8}"/>
    <cellStyle name="Millares 2 2 2 17 2" xfId="5033" xr:uid="{453CE65F-85A3-4547-B4C9-902D247608AA}"/>
    <cellStyle name="Millares 2 2 2 18" xfId="2763" xr:uid="{80B53F66-5E46-48E9-9704-815B28A8C0FE}"/>
    <cellStyle name="Millares 2 2 2 18 2" xfId="5123" xr:uid="{B5771DF7-0B21-4635-A432-48A14E75E644}"/>
    <cellStyle name="Millares 2 2 2 19" xfId="2853" xr:uid="{7C778501-0505-4825-A9CB-14871E505CFD}"/>
    <cellStyle name="Millares 2 2 2 19 2" xfId="5213" xr:uid="{7FE1874F-6421-4AFA-97A6-85D5545A0A08}"/>
    <cellStyle name="Millares 2 2 2 2" xfId="1313" xr:uid="{00000000-0005-0000-0000-000041040000}"/>
    <cellStyle name="Millares 2 2 2 2 2" xfId="3478" xr:uid="{2A9E5242-FF40-4A1E-8009-DF473E7B1EA7}"/>
    <cellStyle name="Millares 2 2 2 2 2 2" xfId="5489" xr:uid="{C2EAFF4D-058F-4F0F-B12C-932226338E9F}"/>
    <cellStyle name="Millares 2 2 2 2 3" xfId="3686" xr:uid="{6A1C9210-3277-412A-9F28-E5A8AA6F5500}"/>
    <cellStyle name="Millares 2 2 2 20" xfId="2946" xr:uid="{1122B5FD-C264-4A40-8327-FA9D9DFFE8B6}"/>
    <cellStyle name="Millares 2 2 2 20 2" xfId="5306" xr:uid="{DD02799B-EB19-498A-9E78-2E4B29B94479}"/>
    <cellStyle name="Millares 2 2 2 21" xfId="3040" xr:uid="{3F376EB5-D875-4AC1-B85B-FA195B0A413A}"/>
    <cellStyle name="Millares 2 2 2 21 2" xfId="5399" xr:uid="{04FFC5F7-99BC-477D-BEEA-82CA09B06C46}"/>
    <cellStyle name="Millares 2 2 2 22" xfId="3575" xr:uid="{81E7CA74-E330-474B-AD28-0E6720D0E665}"/>
    <cellStyle name="Millares 2 2 2 3" xfId="1410" xr:uid="{00000000-0005-0000-0000-000042040000}"/>
    <cellStyle name="Millares 2 2 2 3 2" xfId="3776" xr:uid="{3D326BB0-3EE5-46FE-8D9D-9F5A48BB50ED}"/>
    <cellStyle name="Millares 2 2 2 4" xfId="1500" xr:uid="{00000000-0005-0000-0000-000043040000}"/>
    <cellStyle name="Millares 2 2 2 4 2" xfId="3866" xr:uid="{D737D125-24A3-4884-A7B0-CD1593D2A22E}"/>
    <cellStyle name="Millares 2 2 2 5" xfId="1590" xr:uid="{00000000-0005-0000-0000-000044040000}"/>
    <cellStyle name="Millares 2 2 2 5 2" xfId="3956" xr:uid="{92C7E2FD-4A5E-4A5A-83BF-F717363C35A6}"/>
    <cellStyle name="Millares 2 2 2 6" xfId="1681" xr:uid="{00000000-0005-0000-0000-000045040000}"/>
    <cellStyle name="Millares 2 2 2 6 2" xfId="4046" xr:uid="{4D5C0CA6-6E8E-4902-BBDE-41DCCC29AF1C}"/>
    <cellStyle name="Millares 2 2 2 7" xfId="1774" xr:uid="{00000000-0005-0000-0000-000046040000}"/>
    <cellStyle name="Millares 2 2 2 7 2" xfId="4136" xr:uid="{4F3F7729-7D2B-4001-B40E-238CA3D67FF9}"/>
    <cellStyle name="Millares 2 2 2 8" xfId="1865" xr:uid="{C843F626-3C78-4470-826D-5A1613577C0D}"/>
    <cellStyle name="Millares 2 2 2 8 2" xfId="4226" xr:uid="{E391C804-CB54-482C-86AF-467647373A77}"/>
    <cellStyle name="Millares 2 2 2 9" xfId="1956" xr:uid="{16DF5A3D-59A8-42BC-9920-EF3F0EBB501A}"/>
    <cellStyle name="Millares 2 2 2 9 2" xfId="4316" xr:uid="{6BCF2581-B946-4365-8235-DF17A251CF15}"/>
    <cellStyle name="Millares 2 2 20" xfId="1274" xr:uid="{00000000-0005-0000-0000-000047040000}"/>
    <cellStyle name="Millares 2 2 20 10" xfId="2046" xr:uid="{76BC28AB-DBE1-4A72-8E89-E4AA0E78FA08}"/>
    <cellStyle name="Millares 2 2 20 10 2" xfId="4406" xr:uid="{ECE48D21-BE40-453E-BE44-4A3A1F217F09}"/>
    <cellStyle name="Millares 2 2 20 11" xfId="2137" xr:uid="{062806A7-1B70-4F2B-893E-629319B8107E}"/>
    <cellStyle name="Millares 2 2 20 11 2" xfId="4497" xr:uid="{5175E3AB-C97E-4DD7-B2ED-2068673A2F16}"/>
    <cellStyle name="Millares 2 2 20 12" xfId="2226" xr:uid="{F2055C96-AEA3-4FCF-8B20-64A30AA859E6}"/>
    <cellStyle name="Millares 2 2 20 12 2" xfId="4586" xr:uid="{B5CF1727-7C10-4312-8970-F62E12C8D9EF}"/>
    <cellStyle name="Millares 2 2 20 13" xfId="2316" xr:uid="{E6FADCAE-83E5-448C-A694-AD5D056ECCFE}"/>
    <cellStyle name="Millares 2 2 20 13 2" xfId="4676" xr:uid="{CB376127-7CE8-412E-A765-8C726093915F}"/>
    <cellStyle name="Millares 2 2 20 14" xfId="2405" xr:uid="{02F27CDD-2488-4797-947C-82791CD01CDB}"/>
    <cellStyle name="Millares 2 2 20 14 2" xfId="4765" xr:uid="{296EE815-0586-4A68-9019-746C704D3676}"/>
    <cellStyle name="Millares 2 2 20 15" xfId="2495" xr:uid="{8F8BD5DA-9179-4DEF-A633-29C58AD10D6A}"/>
    <cellStyle name="Millares 2 2 20 15 2" xfId="4855" xr:uid="{C7A9472D-408D-475E-8D21-3CBA8711DFBF}"/>
    <cellStyle name="Millares 2 2 20 16" xfId="2584" xr:uid="{2F661A53-63F3-4D63-96EA-04D0F85CBE38}"/>
    <cellStyle name="Millares 2 2 20 16 2" xfId="4944" xr:uid="{F3791CB4-2315-4265-B86C-B5231B2CADD7}"/>
    <cellStyle name="Millares 2 2 20 17" xfId="2674" xr:uid="{F6EC7995-2A81-44F8-BF25-A640033E0F90}"/>
    <cellStyle name="Millares 2 2 20 17 2" xfId="5034" xr:uid="{1EBEFA20-1D31-4FE9-A881-841B69E28AA9}"/>
    <cellStyle name="Millares 2 2 20 18" xfId="2764" xr:uid="{8A5F6990-C7D2-4439-9B8F-369C6A8B70F9}"/>
    <cellStyle name="Millares 2 2 20 18 2" xfId="5124" xr:uid="{74366F86-5A87-44D9-9709-D330EDC67ACB}"/>
    <cellStyle name="Millares 2 2 20 19" xfId="2854" xr:uid="{3EA3FE22-3BB8-43A7-9F7D-C574BC305C32}"/>
    <cellStyle name="Millares 2 2 20 19 2" xfId="5214" xr:uid="{D30640A7-421A-488B-BFEA-0E0119E4D73F}"/>
    <cellStyle name="Millares 2 2 20 2" xfId="1314" xr:uid="{00000000-0005-0000-0000-000048040000}"/>
    <cellStyle name="Millares 2 2 20 2 2" xfId="3479" xr:uid="{D563BC58-15E5-4DB9-8E86-B3E42AA9CDC4}"/>
    <cellStyle name="Millares 2 2 20 2 2 2" xfId="5490" xr:uid="{8B365B02-78F3-4B50-964F-9A0B502C2CD2}"/>
    <cellStyle name="Millares 2 2 20 2 3" xfId="3687" xr:uid="{2BBF42C5-E21C-4E12-9608-9DF31DFFB67F}"/>
    <cellStyle name="Millares 2 2 20 20" xfId="2947" xr:uid="{DF2B9952-6900-4852-81E6-B6FDF677A1B9}"/>
    <cellStyle name="Millares 2 2 20 20 2" xfId="5307" xr:uid="{7DB0D12E-5DC3-41C8-BDAD-45B539615D8E}"/>
    <cellStyle name="Millares 2 2 20 21" xfId="3041" xr:uid="{E51C6C13-8EEA-4F53-98AD-A9FF6DE0B8B4}"/>
    <cellStyle name="Millares 2 2 20 21 2" xfId="5400" xr:uid="{6B8B88AE-2A3B-4398-B037-E74F43D1ACC7}"/>
    <cellStyle name="Millares 2 2 20 22" xfId="3647" xr:uid="{31E801A8-500B-428D-8A58-B3421BACDE67}"/>
    <cellStyle name="Millares 2 2 20 3" xfId="1411" xr:uid="{00000000-0005-0000-0000-000049040000}"/>
    <cellStyle name="Millares 2 2 20 3 2" xfId="3777" xr:uid="{3D54CF43-8B8A-444C-B587-DA710D27BA9C}"/>
    <cellStyle name="Millares 2 2 20 4" xfId="1501" xr:uid="{00000000-0005-0000-0000-00004A040000}"/>
    <cellStyle name="Millares 2 2 20 4 2" xfId="3867" xr:uid="{70322479-2828-466C-9641-66F359A04F1C}"/>
    <cellStyle name="Millares 2 2 20 5" xfId="1591" xr:uid="{00000000-0005-0000-0000-00004B040000}"/>
    <cellStyle name="Millares 2 2 20 5 2" xfId="3957" xr:uid="{8A45B031-619A-41B6-AB87-AAC61E0DD093}"/>
    <cellStyle name="Millares 2 2 20 6" xfId="1682" xr:uid="{00000000-0005-0000-0000-00004C040000}"/>
    <cellStyle name="Millares 2 2 20 6 2" xfId="4047" xr:uid="{0821FAA4-A4E6-4174-8F1C-4496E13BE8F2}"/>
    <cellStyle name="Millares 2 2 20 7" xfId="1775" xr:uid="{00000000-0005-0000-0000-00004D040000}"/>
    <cellStyle name="Millares 2 2 20 7 2" xfId="4137" xr:uid="{03345892-7F4E-4E2B-BA30-0FA1CA258841}"/>
    <cellStyle name="Millares 2 2 20 8" xfId="1866" xr:uid="{3F7C105C-4337-4DCC-9DB6-EE989BCCEBE8}"/>
    <cellStyle name="Millares 2 2 20 8 2" xfId="4227" xr:uid="{42B311A4-7DA7-48A9-A245-884519E3E114}"/>
    <cellStyle name="Millares 2 2 20 9" xfId="1957" xr:uid="{6347FCF7-2218-4B94-BBF0-A2F7D5AEB168}"/>
    <cellStyle name="Millares 2 2 20 9 2" xfId="4317" xr:uid="{9CEAC22B-4610-4EB1-B614-610F8DD8D0A7}"/>
    <cellStyle name="Millares 2 2 21" xfId="1278" xr:uid="{00000000-0005-0000-0000-00004E040000}"/>
    <cellStyle name="Millares 2 2 21 10" xfId="2047" xr:uid="{D3BDEFA1-C1CA-4FB3-BCC2-1C10A94348D7}"/>
    <cellStyle name="Millares 2 2 21 10 2" xfId="4407" xr:uid="{FAF27CE0-34F4-47DE-80A1-4ADF6A7EE515}"/>
    <cellStyle name="Millares 2 2 21 11" xfId="2138" xr:uid="{DD05EB11-4EFA-45C2-A891-FBDBB08CD854}"/>
    <cellStyle name="Millares 2 2 21 11 2" xfId="4498" xr:uid="{1C9A9369-83B9-4715-AD41-8A6B98C8A47D}"/>
    <cellStyle name="Millares 2 2 21 12" xfId="2227" xr:uid="{04864A00-0C78-4514-8945-C52BD73EED6A}"/>
    <cellStyle name="Millares 2 2 21 12 2" xfId="4587" xr:uid="{440B8895-71EE-4693-9742-FF7538EF1331}"/>
    <cellStyle name="Millares 2 2 21 13" xfId="2317" xr:uid="{3283DFBC-0E58-4F1D-8DEA-77549FF39CA2}"/>
    <cellStyle name="Millares 2 2 21 13 2" xfId="4677" xr:uid="{85E7540F-D3D1-41FF-B91E-FA44A4EC7BF1}"/>
    <cellStyle name="Millares 2 2 21 14" xfId="2406" xr:uid="{2E149305-9E63-4813-8550-9485646444BB}"/>
    <cellStyle name="Millares 2 2 21 14 2" xfId="4766" xr:uid="{48E29CC2-8237-4F6E-92F2-557270E79C5F}"/>
    <cellStyle name="Millares 2 2 21 15" xfId="2496" xr:uid="{1DE95785-0678-4C8E-B9E0-2E99FFEEDF70}"/>
    <cellStyle name="Millares 2 2 21 15 2" xfId="4856" xr:uid="{41FB0D72-DDF4-4CA7-B9D0-76E5CFD81973}"/>
    <cellStyle name="Millares 2 2 21 16" xfId="2585" xr:uid="{FAA7D097-EE79-4BB1-9923-8B59B35240D9}"/>
    <cellStyle name="Millares 2 2 21 16 2" xfId="4945" xr:uid="{2EB35204-17E9-4A1B-8CCD-0F7189980783}"/>
    <cellStyle name="Millares 2 2 21 17" xfId="2675" xr:uid="{13CA8450-CAAE-4F52-BC89-2DCF55B1A48A}"/>
    <cellStyle name="Millares 2 2 21 17 2" xfId="5035" xr:uid="{BC4F584D-C6D3-43DE-9074-60081F427F43}"/>
    <cellStyle name="Millares 2 2 21 18" xfId="2765" xr:uid="{F76A4B25-70B9-4721-98DB-3C3C79AB98D7}"/>
    <cellStyle name="Millares 2 2 21 18 2" xfId="5125" xr:uid="{7D45D614-E876-4110-91CC-4ED00A2E3F2F}"/>
    <cellStyle name="Millares 2 2 21 19" xfId="2855" xr:uid="{10850332-F08F-498A-80C6-C7764D1F724E}"/>
    <cellStyle name="Millares 2 2 21 19 2" xfId="5215" xr:uid="{F0935FEE-26BB-46C2-8C10-99B49253C860}"/>
    <cellStyle name="Millares 2 2 21 2" xfId="1315" xr:uid="{00000000-0005-0000-0000-00004F040000}"/>
    <cellStyle name="Millares 2 2 21 2 2" xfId="3480" xr:uid="{A4F09FFA-82E5-45C7-BCD2-1668F22C782F}"/>
    <cellStyle name="Millares 2 2 21 2 2 2" xfId="5491" xr:uid="{6F3D624D-2BA9-4642-84A5-7373789C78C9}"/>
    <cellStyle name="Millares 2 2 21 2 3" xfId="3688" xr:uid="{5DF9216B-3E34-4B71-934A-584B77FAED7A}"/>
    <cellStyle name="Millares 2 2 21 20" xfId="2948" xr:uid="{312C7BB4-A380-49B5-A1C3-41E8D59B8BC4}"/>
    <cellStyle name="Millares 2 2 21 20 2" xfId="5308" xr:uid="{5AD94BE4-DED4-4F4B-8FDD-975C77445595}"/>
    <cellStyle name="Millares 2 2 21 21" xfId="3042" xr:uid="{815B889E-CECE-492A-BDCD-C20F8C5B6199}"/>
    <cellStyle name="Millares 2 2 21 21 2" xfId="5401" xr:uid="{2DC21C01-F028-45AD-88C8-FB0CE2850FFB}"/>
    <cellStyle name="Millares 2 2 21 22" xfId="3651" xr:uid="{BD287EF9-B65D-41DD-A0D0-5212D748B44C}"/>
    <cellStyle name="Millares 2 2 21 3" xfId="1412" xr:uid="{00000000-0005-0000-0000-000050040000}"/>
    <cellStyle name="Millares 2 2 21 3 2" xfId="3778" xr:uid="{BCED2FA5-149A-4501-90A8-6A4ADA72919C}"/>
    <cellStyle name="Millares 2 2 21 4" xfId="1502" xr:uid="{00000000-0005-0000-0000-000051040000}"/>
    <cellStyle name="Millares 2 2 21 4 2" xfId="3868" xr:uid="{7BFB32FE-5811-4EA3-AA38-81A330383E7E}"/>
    <cellStyle name="Millares 2 2 21 5" xfId="1592" xr:uid="{00000000-0005-0000-0000-000052040000}"/>
    <cellStyle name="Millares 2 2 21 5 2" xfId="3958" xr:uid="{8E9A2136-CDC9-4CB8-BDB3-ED0FE62CA3BB}"/>
    <cellStyle name="Millares 2 2 21 6" xfId="1683" xr:uid="{00000000-0005-0000-0000-000053040000}"/>
    <cellStyle name="Millares 2 2 21 6 2" xfId="4048" xr:uid="{7CE6425C-E003-4C2E-99C8-D880AC4FF86A}"/>
    <cellStyle name="Millares 2 2 21 7" xfId="1776" xr:uid="{00000000-0005-0000-0000-000054040000}"/>
    <cellStyle name="Millares 2 2 21 7 2" xfId="4138" xr:uid="{21671FA9-B6AE-42FC-9D3B-9DFCBCC58F50}"/>
    <cellStyle name="Millares 2 2 21 8" xfId="1867" xr:uid="{A444C3DD-4CCE-455D-B3B9-6D9E534A9E32}"/>
    <cellStyle name="Millares 2 2 21 8 2" xfId="4228" xr:uid="{D132B07A-8894-4C68-AAF1-92305BB1A93B}"/>
    <cellStyle name="Millares 2 2 21 9" xfId="1958" xr:uid="{63AF042F-EB9A-4128-9701-D684A27F94AF}"/>
    <cellStyle name="Millares 2 2 21 9 2" xfId="4318" xr:uid="{A8CB1B2E-0C87-4689-98A1-94EB1405A652}"/>
    <cellStyle name="Millares 2 2 22" xfId="1316" xr:uid="{00000000-0005-0000-0000-000055040000}"/>
    <cellStyle name="Millares 2 2 22 10" xfId="2139" xr:uid="{B25F22BC-AEB6-4306-A208-EAC2FF859C32}"/>
    <cellStyle name="Millares 2 2 22 10 2" xfId="4499" xr:uid="{FDDE6697-D9B8-4EF3-A137-F2B219A4245D}"/>
    <cellStyle name="Millares 2 2 22 11" xfId="2228" xr:uid="{E994A72F-2686-4987-840B-D5EC5E323ABE}"/>
    <cellStyle name="Millares 2 2 22 11 2" xfId="4588" xr:uid="{0CDA1264-05EC-4967-B375-140E3BB8C2E7}"/>
    <cellStyle name="Millares 2 2 22 12" xfId="2318" xr:uid="{C86490FF-5FDA-4D18-8B89-ACE4541E2287}"/>
    <cellStyle name="Millares 2 2 22 12 2" xfId="4678" xr:uid="{47EBA593-48B3-4F1E-A504-3AC81C937072}"/>
    <cellStyle name="Millares 2 2 22 13" xfId="2407" xr:uid="{55D28268-73E8-4646-ACCA-3CBE97155947}"/>
    <cellStyle name="Millares 2 2 22 13 2" xfId="4767" xr:uid="{F4B13DB8-8F17-43B7-9257-36DE762A4CCD}"/>
    <cellStyle name="Millares 2 2 22 14" xfId="2497" xr:uid="{F5E52628-F5E3-4774-AD21-99D24FD85980}"/>
    <cellStyle name="Millares 2 2 22 14 2" xfId="4857" xr:uid="{4519B95E-04CE-40AB-8B46-B7EB33480D5C}"/>
    <cellStyle name="Millares 2 2 22 15" xfId="2586" xr:uid="{0915B14F-F3B3-4B1B-BAAD-C5FF44F462C6}"/>
    <cellStyle name="Millares 2 2 22 15 2" xfId="4946" xr:uid="{4039879C-E4B7-4284-93F4-96255672FA86}"/>
    <cellStyle name="Millares 2 2 22 16" xfId="2676" xr:uid="{AA10F8D7-AA04-4F4D-BC5A-8EF6C820CE77}"/>
    <cellStyle name="Millares 2 2 22 16 2" xfId="5036" xr:uid="{1EFFA651-C0C3-46E1-A55A-47D39FF1B12A}"/>
    <cellStyle name="Millares 2 2 22 17" xfId="2766" xr:uid="{9E25DFEB-897B-4A2A-B99F-267771421EB7}"/>
    <cellStyle name="Millares 2 2 22 17 2" xfId="5126" xr:uid="{11D886A1-C7D9-4A83-8942-53B244B527FE}"/>
    <cellStyle name="Millares 2 2 22 18" xfId="2856" xr:uid="{721D279E-56DB-4AE9-8D46-CCB5D02A6744}"/>
    <cellStyle name="Millares 2 2 22 18 2" xfId="5216" xr:uid="{193DE26B-75A8-4800-A77C-A7AD249B9D67}"/>
    <cellStyle name="Millares 2 2 22 19" xfId="2949" xr:uid="{93E03F24-C58A-4A58-A95B-3D1A04AACE1C}"/>
    <cellStyle name="Millares 2 2 22 19 2" xfId="5309" xr:uid="{50B71EA9-DA83-4205-95F1-007F0212B949}"/>
    <cellStyle name="Millares 2 2 22 2" xfId="1413" xr:uid="{00000000-0005-0000-0000-000056040000}"/>
    <cellStyle name="Millares 2 2 22 2 2" xfId="3481" xr:uid="{F40126E0-4B48-4B89-904F-74C79965C8A8}"/>
    <cellStyle name="Millares 2 2 22 2 2 2" xfId="5492" xr:uid="{E1DBAE03-B720-4E98-B590-D0120FAF5D31}"/>
    <cellStyle name="Millares 2 2 22 2 3" xfId="3779" xr:uid="{9D8C79B5-204E-4446-89E4-E8766361B9A8}"/>
    <cellStyle name="Millares 2 2 22 20" xfId="3043" xr:uid="{DDB1A3C6-C277-4C90-866C-2F1E3D9EFF7A}"/>
    <cellStyle name="Millares 2 2 22 20 2" xfId="5402" xr:uid="{5F596DF7-A2FD-4F3D-8A46-75FE6E029384}"/>
    <cellStyle name="Millares 2 2 22 21" xfId="3689" xr:uid="{CB593841-4DF9-48E4-8DB6-845FF675E82C}"/>
    <cellStyle name="Millares 2 2 22 3" xfId="1503" xr:uid="{00000000-0005-0000-0000-000057040000}"/>
    <cellStyle name="Millares 2 2 22 3 2" xfId="3869" xr:uid="{7B3CB7A7-92DC-471E-AE3B-E5D953ABF031}"/>
    <cellStyle name="Millares 2 2 22 4" xfId="1593" xr:uid="{00000000-0005-0000-0000-000058040000}"/>
    <cellStyle name="Millares 2 2 22 4 2" xfId="3959" xr:uid="{C0B23DA2-9D44-4DE3-9A44-951F93A908EC}"/>
    <cellStyle name="Millares 2 2 22 5" xfId="1684" xr:uid="{00000000-0005-0000-0000-000059040000}"/>
    <cellStyle name="Millares 2 2 22 5 2" xfId="4049" xr:uid="{DA9F8257-BC5C-4A7C-ACEC-FDE3EC8892E4}"/>
    <cellStyle name="Millares 2 2 22 6" xfId="1777" xr:uid="{00000000-0005-0000-0000-00005A040000}"/>
    <cellStyle name="Millares 2 2 22 6 2" xfId="4139" xr:uid="{B9162EAA-E774-45CE-ABC6-FC55C20F55CB}"/>
    <cellStyle name="Millares 2 2 22 7" xfId="1868" xr:uid="{8D9C279D-389F-4710-8DC4-CAE4647C77AE}"/>
    <cellStyle name="Millares 2 2 22 7 2" xfId="4229" xr:uid="{3CD4EB8F-229E-4D21-A2F4-9AD62BB1B102}"/>
    <cellStyle name="Millares 2 2 22 8" xfId="1959" xr:uid="{C0EDF200-BF4E-428C-819E-CB89652698E7}"/>
    <cellStyle name="Millares 2 2 22 8 2" xfId="4319" xr:uid="{B6E1F38E-090F-4685-87C5-BA1798F6CAE3}"/>
    <cellStyle name="Millares 2 2 22 9" xfId="2048" xr:uid="{2897AF55-9509-46BD-BFD2-4E91634567F8}"/>
    <cellStyle name="Millares 2 2 22 9 2" xfId="4408" xr:uid="{BC4B2F06-2AB6-4B16-91AB-778679DC4889}"/>
    <cellStyle name="Millares 2 2 23" xfId="1302" xr:uid="{00000000-0005-0000-0000-00005B040000}"/>
    <cellStyle name="Millares 2 2 23 2" xfId="3467" xr:uid="{81EC75EE-2BA7-493D-956B-68C94FA20093}"/>
    <cellStyle name="Millares 2 2 23 2 2" xfId="5478" xr:uid="{06CD118E-7477-46ED-B905-4FA0979AF0FA}"/>
    <cellStyle name="Millares 2 2 23 3" xfId="3675" xr:uid="{AA9CA384-FDBF-4C54-AAFF-519514479814}"/>
    <cellStyle name="Millares 2 2 24" xfId="1399" xr:uid="{00000000-0005-0000-0000-00005C040000}"/>
    <cellStyle name="Millares 2 2 24 2" xfId="3765" xr:uid="{BA46F5BE-0FF3-4D80-9AA3-2767C2983E97}"/>
    <cellStyle name="Millares 2 2 25" xfId="1489" xr:uid="{00000000-0005-0000-0000-00005D040000}"/>
    <cellStyle name="Millares 2 2 25 2" xfId="3855" xr:uid="{073DA402-490B-47ED-B2A5-7EFDE37A3525}"/>
    <cellStyle name="Millares 2 2 26" xfId="1579" xr:uid="{00000000-0005-0000-0000-00005E040000}"/>
    <cellStyle name="Millares 2 2 26 2" xfId="3945" xr:uid="{BC90E6EC-2AAA-47DB-8A14-9DF7E47A63B6}"/>
    <cellStyle name="Millares 2 2 27" xfId="1670" xr:uid="{00000000-0005-0000-0000-00005F040000}"/>
    <cellStyle name="Millares 2 2 27 2" xfId="4035" xr:uid="{159AFDF4-A52C-4E2C-9637-6E12D9A5758D}"/>
    <cellStyle name="Millares 2 2 28" xfId="1763" xr:uid="{00000000-0005-0000-0000-000060040000}"/>
    <cellStyle name="Millares 2 2 28 2" xfId="4125" xr:uid="{3B87C6F0-5337-4049-ACAD-03EC26AB0DB9}"/>
    <cellStyle name="Millares 2 2 29" xfId="1854" xr:uid="{566B1E83-BF6A-4B09-87A4-12634AC5845F}"/>
    <cellStyle name="Millares 2 2 29 2" xfId="4215" xr:uid="{D0FD277B-65FD-4427-95C7-506E93114C49}"/>
    <cellStyle name="Millares 2 2 3" xfId="1200" xr:uid="{00000000-0005-0000-0000-000061040000}"/>
    <cellStyle name="Millares 2 2 3 10" xfId="2049" xr:uid="{E6626775-DD43-4D42-B15F-4072C4CFC41D}"/>
    <cellStyle name="Millares 2 2 3 10 2" xfId="4409" xr:uid="{CA10DB60-D635-417F-AECF-237C4357EC79}"/>
    <cellStyle name="Millares 2 2 3 11" xfId="2140" xr:uid="{B5F08C5B-09F6-498B-9BF1-3AD5A67DDAB6}"/>
    <cellStyle name="Millares 2 2 3 11 2" xfId="4500" xr:uid="{30946091-C29A-4132-91BA-EEB5EA2E6D80}"/>
    <cellStyle name="Millares 2 2 3 12" xfId="2229" xr:uid="{BF5636DC-3ACF-485F-BC1F-B7B10C05F339}"/>
    <cellStyle name="Millares 2 2 3 12 2" xfId="4589" xr:uid="{45A9521A-13D5-47A0-B7C7-05DB7A6CFFFA}"/>
    <cellStyle name="Millares 2 2 3 13" xfId="2319" xr:uid="{6512A2D8-6AB3-43E7-A06C-8FC7D8711A1E}"/>
    <cellStyle name="Millares 2 2 3 13 2" xfId="4679" xr:uid="{5FD8C9E9-DFB2-4375-BFCC-DC275695838F}"/>
    <cellStyle name="Millares 2 2 3 14" xfId="2408" xr:uid="{CC28860B-B86E-4AFA-B945-4C72C231325F}"/>
    <cellStyle name="Millares 2 2 3 14 2" xfId="4768" xr:uid="{FCFBB0E3-1052-4B98-8120-ED8635079E5A}"/>
    <cellStyle name="Millares 2 2 3 15" xfId="2498" xr:uid="{A01F336A-0DAA-402E-9789-4C57D49C396A}"/>
    <cellStyle name="Millares 2 2 3 15 2" xfId="4858" xr:uid="{3C53A848-92EB-47B1-B5C4-B7C6F682B148}"/>
    <cellStyle name="Millares 2 2 3 16" xfId="2587" xr:uid="{8C36C4B9-D88D-49A0-9F99-020047F5DE23}"/>
    <cellStyle name="Millares 2 2 3 16 2" xfId="4947" xr:uid="{97AA865F-2B58-4F0F-AF79-074F6A12D379}"/>
    <cellStyle name="Millares 2 2 3 17" xfId="2677" xr:uid="{77970AF4-B39D-4F7B-A087-ADF540F1896C}"/>
    <cellStyle name="Millares 2 2 3 17 2" xfId="5037" xr:uid="{8E765B18-7896-48A4-A222-DA34E1BC3CB4}"/>
    <cellStyle name="Millares 2 2 3 18" xfId="2767" xr:uid="{DD0D0D02-06F0-483C-A4FE-6CCCEAC13F1B}"/>
    <cellStyle name="Millares 2 2 3 18 2" xfId="5127" xr:uid="{C43BD430-48F5-40FB-BC59-9320BCACCA71}"/>
    <cellStyle name="Millares 2 2 3 19" xfId="2857" xr:uid="{78BA2E58-EA01-4CD8-A191-C3AEB099BBC9}"/>
    <cellStyle name="Millares 2 2 3 19 2" xfId="5217" xr:uid="{8F66101A-C815-4227-8EE5-217F1312BBB0}"/>
    <cellStyle name="Millares 2 2 3 2" xfId="1317" xr:uid="{00000000-0005-0000-0000-000062040000}"/>
    <cellStyle name="Millares 2 2 3 2 2" xfId="3482" xr:uid="{6EC0E2AA-9EF0-4C4A-9970-A664C0AE8CC8}"/>
    <cellStyle name="Millares 2 2 3 2 2 2" xfId="5493" xr:uid="{9171D708-CAE1-4693-9EEC-9C1467C0E453}"/>
    <cellStyle name="Millares 2 2 3 2 3" xfId="3690" xr:uid="{42DFE42F-BEC6-4D5E-AFED-48EBC106D232}"/>
    <cellStyle name="Millares 2 2 3 20" xfId="2950" xr:uid="{0005FF11-EA69-4EDE-A0D8-50D2587F1E87}"/>
    <cellStyle name="Millares 2 2 3 20 2" xfId="5310" xr:uid="{76E0C60B-5191-41DB-80F2-EB8DC467B951}"/>
    <cellStyle name="Millares 2 2 3 21" xfId="3044" xr:uid="{656287C2-EC26-4446-9451-7668E771A7DC}"/>
    <cellStyle name="Millares 2 2 3 21 2" xfId="5403" xr:uid="{76A59F1B-3BF0-4951-BDF2-E0801CAC5458}"/>
    <cellStyle name="Millares 2 2 3 22" xfId="3579" xr:uid="{B8B8F5F0-6E21-4E11-B75F-6BFAE2130278}"/>
    <cellStyle name="Millares 2 2 3 3" xfId="1414" xr:uid="{00000000-0005-0000-0000-000063040000}"/>
    <cellStyle name="Millares 2 2 3 3 2" xfId="3780" xr:uid="{3B4445AC-C5F1-4CCB-A061-DAB0963045B0}"/>
    <cellStyle name="Millares 2 2 3 4" xfId="1504" xr:uid="{00000000-0005-0000-0000-000064040000}"/>
    <cellStyle name="Millares 2 2 3 4 2" xfId="3870" xr:uid="{F8B98E76-ACA3-4213-92DA-18733FE86975}"/>
    <cellStyle name="Millares 2 2 3 5" xfId="1594" xr:uid="{00000000-0005-0000-0000-000065040000}"/>
    <cellStyle name="Millares 2 2 3 5 2" xfId="3960" xr:uid="{84B853E9-FA65-4034-981F-62DA55D319DC}"/>
    <cellStyle name="Millares 2 2 3 6" xfId="1685" xr:uid="{00000000-0005-0000-0000-000066040000}"/>
    <cellStyle name="Millares 2 2 3 6 2" xfId="4050" xr:uid="{3FA4E384-61CE-4F72-AD00-F463A93E70BA}"/>
    <cellStyle name="Millares 2 2 3 7" xfId="1778" xr:uid="{00000000-0005-0000-0000-000067040000}"/>
    <cellStyle name="Millares 2 2 3 7 2" xfId="4140" xr:uid="{06995990-0807-4456-B255-BF84CAC68523}"/>
    <cellStyle name="Millares 2 2 3 8" xfId="1869" xr:uid="{A605C820-DFC7-44EA-9171-ED7088BBC689}"/>
    <cellStyle name="Millares 2 2 3 8 2" xfId="4230" xr:uid="{D2DC6533-3722-405A-93BD-8381676987F9}"/>
    <cellStyle name="Millares 2 2 3 9" xfId="1960" xr:uid="{526D2E52-8AC3-466F-BFF8-0ED0F7C28FEC}"/>
    <cellStyle name="Millares 2 2 3 9 2" xfId="4320" xr:uid="{EA354E0B-E313-46B7-B3D2-1649BF39FF3F}"/>
    <cellStyle name="Millares 2 2 30" xfId="1945" xr:uid="{24A501FA-81EF-48B4-B951-CA39B783E575}"/>
    <cellStyle name="Millares 2 2 30 2" xfId="4305" xr:uid="{8496864D-A583-4F1A-BC5D-6C258C093A64}"/>
    <cellStyle name="Millares 2 2 31" xfId="2034" xr:uid="{70EBAF2F-9FDA-4179-A97B-44208D817453}"/>
    <cellStyle name="Millares 2 2 31 2" xfId="4394" xr:uid="{BF886095-518A-46A4-B876-0DE8F1EAD203}"/>
    <cellStyle name="Millares 2 2 32" xfId="2125" xr:uid="{5111F2F8-3449-4B40-AA80-62AD070E762B}"/>
    <cellStyle name="Millares 2 2 32 2" xfId="4485" xr:uid="{8BDA4AFD-4EF3-4909-A445-48EC9B93ADF3}"/>
    <cellStyle name="Millares 2 2 33" xfId="2214" xr:uid="{D74F1F3E-CFC9-49BE-A794-F8EA666ED863}"/>
    <cellStyle name="Millares 2 2 33 2" xfId="4574" xr:uid="{B726C968-69B6-4AE3-89B4-1886222F725E}"/>
    <cellStyle name="Millares 2 2 34" xfId="2304" xr:uid="{82420328-E021-4154-8894-93AD128A2917}"/>
    <cellStyle name="Millares 2 2 34 2" xfId="4664" xr:uid="{163961FE-A60B-4F3C-AFB6-1206B95AA87D}"/>
    <cellStyle name="Millares 2 2 35" xfId="2393" xr:uid="{76A079BF-9B2E-4636-97A7-EF0F0D9892F0}"/>
    <cellStyle name="Millares 2 2 35 2" xfId="4753" xr:uid="{3F47F59E-8253-4206-BF1A-3CB6FE87A1C3}"/>
    <cellStyle name="Millares 2 2 36" xfId="2483" xr:uid="{5D377580-2081-4A61-AA2D-42EEF5046380}"/>
    <cellStyle name="Millares 2 2 36 2" xfId="4843" xr:uid="{BDEC3732-16EA-4397-8D0A-4A6E0B34EA4D}"/>
    <cellStyle name="Millares 2 2 37" xfId="2572" xr:uid="{89F3BE1F-903A-469F-BD5D-3EF9A7DD4C45}"/>
    <cellStyle name="Millares 2 2 37 2" xfId="4932" xr:uid="{77DB60E3-891F-4D00-98CD-BEA6E45677AA}"/>
    <cellStyle name="Millares 2 2 38" xfId="2662" xr:uid="{F540FF7A-33BF-4BF6-87AB-4443653BAAD9}"/>
    <cellStyle name="Millares 2 2 38 2" xfId="5022" xr:uid="{99AAF814-5765-47A6-8464-C734F730B389}"/>
    <cellStyle name="Millares 2 2 39" xfId="2752" xr:uid="{B1F2F73D-2970-4F33-ABF1-6605889F7F5A}"/>
    <cellStyle name="Millares 2 2 39 2" xfId="5112" xr:uid="{94725CD0-B761-44B8-B99C-61CB69ECB487}"/>
    <cellStyle name="Millares 2 2 4" xfId="1205" xr:uid="{00000000-0005-0000-0000-000068040000}"/>
    <cellStyle name="Millares 2 2 4 10" xfId="2050" xr:uid="{E2CD9D11-5740-4A2B-BD03-BC1415147920}"/>
    <cellStyle name="Millares 2 2 4 10 2" xfId="4410" xr:uid="{79D52214-600C-4D86-8BBC-178D8BD0B19A}"/>
    <cellStyle name="Millares 2 2 4 11" xfId="2141" xr:uid="{623FDB46-C344-4AA6-9296-450EBE1C485D}"/>
    <cellStyle name="Millares 2 2 4 11 2" xfId="4501" xr:uid="{6FA1C0FB-64F8-44B1-A7F3-81A9130DC7AA}"/>
    <cellStyle name="Millares 2 2 4 12" xfId="2230" xr:uid="{A52D7FBC-43EF-4C37-AFA1-CA817613ADD0}"/>
    <cellStyle name="Millares 2 2 4 12 2" xfId="4590" xr:uid="{571D5D5B-4CB8-4CC6-9A5A-D6B3BC14952B}"/>
    <cellStyle name="Millares 2 2 4 13" xfId="2320" xr:uid="{F39084AA-28F7-46D5-98C2-AF881E5BF832}"/>
    <cellStyle name="Millares 2 2 4 13 2" xfId="4680" xr:uid="{0FD63BF6-9BF9-4D63-84E7-39BE555FE07D}"/>
    <cellStyle name="Millares 2 2 4 14" xfId="2409" xr:uid="{D29BFC79-3BC4-412A-B406-D600530C950F}"/>
    <cellStyle name="Millares 2 2 4 14 2" xfId="4769" xr:uid="{275A601C-0881-4F33-8F87-E98D63D49EE6}"/>
    <cellStyle name="Millares 2 2 4 15" xfId="2499" xr:uid="{618C6AE4-7A21-45C2-B783-84D059BCF3EF}"/>
    <cellStyle name="Millares 2 2 4 15 2" xfId="4859" xr:uid="{C550787D-4417-4A2E-8FF7-A37D960E9B17}"/>
    <cellStyle name="Millares 2 2 4 16" xfId="2588" xr:uid="{9D0B8B78-1AB1-4857-9F62-B4170FB35084}"/>
    <cellStyle name="Millares 2 2 4 16 2" xfId="4948" xr:uid="{10F0CE68-0579-4AD1-83A5-7380B3D05E81}"/>
    <cellStyle name="Millares 2 2 4 17" xfId="2678" xr:uid="{4B618CD9-D097-4CEA-8B8D-361E7EAD3D89}"/>
    <cellStyle name="Millares 2 2 4 17 2" xfId="5038" xr:uid="{8131364A-F882-4004-A2A0-0155BDA1473E}"/>
    <cellStyle name="Millares 2 2 4 18" xfId="2768" xr:uid="{19AE2E99-E71C-44DC-BCDB-B1942C50E131}"/>
    <cellStyle name="Millares 2 2 4 18 2" xfId="5128" xr:uid="{5362AC1F-8D73-44A1-8597-DFEF2F6A93BE}"/>
    <cellStyle name="Millares 2 2 4 19" xfId="2858" xr:uid="{54BFE826-7A12-455C-A807-C04573099AB0}"/>
    <cellStyle name="Millares 2 2 4 19 2" xfId="5218" xr:uid="{ED20A0B2-A0C6-42CA-979B-E5566EB4F566}"/>
    <cellStyle name="Millares 2 2 4 2" xfId="1318" xr:uid="{00000000-0005-0000-0000-000069040000}"/>
    <cellStyle name="Millares 2 2 4 2 2" xfId="3483" xr:uid="{1BDF76CA-0632-46AE-AFA5-031DD0338F56}"/>
    <cellStyle name="Millares 2 2 4 2 2 2" xfId="5494" xr:uid="{D9A7DF34-ED22-427A-88D3-D557DEB3B591}"/>
    <cellStyle name="Millares 2 2 4 2 3" xfId="3691" xr:uid="{104188EE-AF22-4CAA-9E98-827D2465AE83}"/>
    <cellStyle name="Millares 2 2 4 20" xfId="2951" xr:uid="{B30FAB9D-DEB9-4B14-B5A8-D69605F2E23B}"/>
    <cellStyle name="Millares 2 2 4 20 2" xfId="5311" xr:uid="{B5A1B9E9-EFE9-40EA-B4D5-1632A9B7EB40}"/>
    <cellStyle name="Millares 2 2 4 21" xfId="3045" xr:uid="{928F3D8E-E0E4-48D0-A91B-810CAD49A8F3}"/>
    <cellStyle name="Millares 2 2 4 21 2" xfId="5404" xr:uid="{0AA9B5FD-F2FF-467A-B4FA-7DB82C15C673}"/>
    <cellStyle name="Millares 2 2 4 22" xfId="3583" xr:uid="{C590F7AD-DCE0-4A38-AA40-64D39F1585C5}"/>
    <cellStyle name="Millares 2 2 4 3" xfId="1415" xr:uid="{00000000-0005-0000-0000-00006A040000}"/>
    <cellStyle name="Millares 2 2 4 3 2" xfId="3781" xr:uid="{C971EEDE-82EF-435C-BEFB-1F19E8868F5E}"/>
    <cellStyle name="Millares 2 2 4 4" xfId="1505" xr:uid="{00000000-0005-0000-0000-00006B040000}"/>
    <cellStyle name="Millares 2 2 4 4 2" xfId="3871" xr:uid="{943104A4-158F-4057-81D4-7387660718CE}"/>
    <cellStyle name="Millares 2 2 4 5" xfId="1595" xr:uid="{00000000-0005-0000-0000-00006C040000}"/>
    <cellStyle name="Millares 2 2 4 5 2" xfId="3961" xr:uid="{B91D5B58-A246-4D54-9A76-E6FB48468DF0}"/>
    <cellStyle name="Millares 2 2 4 6" xfId="1686" xr:uid="{00000000-0005-0000-0000-00006D040000}"/>
    <cellStyle name="Millares 2 2 4 6 2" xfId="4051" xr:uid="{40095270-61D4-43FD-B1BE-6AF1A2A3D21F}"/>
    <cellStyle name="Millares 2 2 4 7" xfId="1779" xr:uid="{00000000-0005-0000-0000-00006E040000}"/>
    <cellStyle name="Millares 2 2 4 7 2" xfId="4141" xr:uid="{A5618CD0-31DB-44E0-B87F-0186F06FCB88}"/>
    <cellStyle name="Millares 2 2 4 8" xfId="1870" xr:uid="{17ADDDA2-1D9C-413A-ADD8-FC291ED2F04C}"/>
    <cellStyle name="Millares 2 2 4 8 2" xfId="4231" xr:uid="{355E09DA-AC8A-4FD6-A155-28B42F0341E4}"/>
    <cellStyle name="Millares 2 2 4 9" xfId="1961" xr:uid="{82F23980-D9C7-4C5A-8A06-6B73715C3580}"/>
    <cellStyle name="Millares 2 2 4 9 2" xfId="4321" xr:uid="{CA1B4989-FB80-4B93-952A-E714981CD5B0}"/>
    <cellStyle name="Millares 2 2 40" xfId="2842" xr:uid="{195D9B65-86EC-4985-AB3C-E6DE20CDF678}"/>
    <cellStyle name="Millares 2 2 40 2" xfId="5202" xr:uid="{2B668CA1-4B33-4F41-AA48-138C58330814}"/>
    <cellStyle name="Millares 2 2 41" xfId="2935" xr:uid="{A373A33F-BB89-4AEA-B69A-EC50BC742BDF}"/>
    <cellStyle name="Millares 2 2 41 2" xfId="5295" xr:uid="{95C1A776-3562-4A02-86B4-6AF27F099440}"/>
    <cellStyle name="Millares 2 2 42" xfId="3029" xr:uid="{089A6D5C-3B36-40BE-AA32-4A8B183EE83D}"/>
    <cellStyle name="Millares 2 2 42 2" xfId="5388" xr:uid="{C44E9910-E0E6-4062-85DE-F82EC0F59AE8}"/>
    <cellStyle name="Millares 2 2 43" xfId="3571" xr:uid="{000DCEEE-0FAE-479D-84A5-DF63F99C62C1}"/>
    <cellStyle name="Millares 2 2 5" xfId="1209" xr:uid="{00000000-0005-0000-0000-00006F040000}"/>
    <cellStyle name="Millares 2 2 5 10" xfId="2051" xr:uid="{B8B45D47-E0CE-480A-9060-02C2D471BA2D}"/>
    <cellStyle name="Millares 2 2 5 10 2" xfId="4411" xr:uid="{20A137B7-91B2-4466-9A64-32EAADE6AA4C}"/>
    <cellStyle name="Millares 2 2 5 11" xfId="2142" xr:uid="{87862B0C-08EC-4675-8A67-BA1EA05A7210}"/>
    <cellStyle name="Millares 2 2 5 11 2" xfId="4502" xr:uid="{BC7B7317-4724-4FFC-AD03-EDDEAE8E7AC5}"/>
    <cellStyle name="Millares 2 2 5 12" xfId="2231" xr:uid="{DE2D6435-FF88-40EE-A16C-2A2DF06F597F}"/>
    <cellStyle name="Millares 2 2 5 12 2" xfId="4591" xr:uid="{313C4032-DB71-49D6-A0F1-C9C6A1D1018A}"/>
    <cellStyle name="Millares 2 2 5 13" xfId="2321" xr:uid="{B420EDD1-6076-4CC7-8991-6AD1EB64B187}"/>
    <cellStyle name="Millares 2 2 5 13 2" xfId="4681" xr:uid="{F1E07296-B7B8-43C3-9288-30B19B5D70D6}"/>
    <cellStyle name="Millares 2 2 5 14" xfId="2410" xr:uid="{FA780CF6-BE89-485A-9943-A6F5352ECC91}"/>
    <cellStyle name="Millares 2 2 5 14 2" xfId="4770" xr:uid="{D469422D-B6E5-459F-8CEE-52694EDBFD5C}"/>
    <cellStyle name="Millares 2 2 5 15" xfId="2500" xr:uid="{67667074-BE42-4DFF-93FF-93C9760AE9D7}"/>
    <cellStyle name="Millares 2 2 5 15 2" xfId="4860" xr:uid="{4123362C-CFC9-479B-8651-7C8A460F2228}"/>
    <cellStyle name="Millares 2 2 5 16" xfId="2589" xr:uid="{26E09625-04EE-45E2-87E7-59DEC7EAF171}"/>
    <cellStyle name="Millares 2 2 5 16 2" xfId="4949" xr:uid="{56BA0188-FF92-4995-9D06-B069D74531F8}"/>
    <cellStyle name="Millares 2 2 5 17" xfId="2679" xr:uid="{650E9140-CE67-45F7-926D-45457757FF52}"/>
    <cellStyle name="Millares 2 2 5 17 2" xfId="5039" xr:uid="{C9199EC7-1AC9-461D-91B5-7BEFDB4389A1}"/>
    <cellStyle name="Millares 2 2 5 18" xfId="2769" xr:uid="{88F94B92-5351-4A86-B19E-9BC694BD8530}"/>
    <cellStyle name="Millares 2 2 5 18 2" xfId="5129" xr:uid="{83AE45B3-DC53-477E-B795-6089227B8EE5}"/>
    <cellStyle name="Millares 2 2 5 19" xfId="2859" xr:uid="{33BCC278-1F51-45E2-8032-F420D61ACD56}"/>
    <cellStyle name="Millares 2 2 5 19 2" xfId="5219" xr:uid="{2C726876-F201-42BB-A63D-783829881CF2}"/>
    <cellStyle name="Millares 2 2 5 2" xfId="1319" xr:uid="{00000000-0005-0000-0000-000070040000}"/>
    <cellStyle name="Millares 2 2 5 2 2" xfId="3484" xr:uid="{E864AA60-5561-4E7E-B904-9B127D9DB75C}"/>
    <cellStyle name="Millares 2 2 5 2 2 2" xfId="5495" xr:uid="{2F5E5272-7796-4D46-AF23-39EA27DBCB06}"/>
    <cellStyle name="Millares 2 2 5 2 3" xfId="3692" xr:uid="{FE7AB078-3862-4D77-845A-DE58019C4C37}"/>
    <cellStyle name="Millares 2 2 5 20" xfId="2952" xr:uid="{CA6D63C2-05B2-44BC-BCC5-5C8BDD9EDAF1}"/>
    <cellStyle name="Millares 2 2 5 20 2" xfId="5312" xr:uid="{B025B619-0378-48D4-A35C-EFEE946DBD74}"/>
    <cellStyle name="Millares 2 2 5 21" xfId="3046" xr:uid="{1C537201-6367-4C9A-93CB-0437DE3EC251}"/>
    <cellStyle name="Millares 2 2 5 21 2" xfId="5405" xr:uid="{BCA7217D-289F-4677-9FDF-3C48A607DF54}"/>
    <cellStyle name="Millares 2 2 5 22" xfId="3587" xr:uid="{B3C86F5A-71DD-4AFF-9937-CCB20F5483D3}"/>
    <cellStyle name="Millares 2 2 5 3" xfId="1416" xr:uid="{00000000-0005-0000-0000-000071040000}"/>
    <cellStyle name="Millares 2 2 5 3 2" xfId="3782" xr:uid="{239F1ED8-B91F-40F8-8B72-716B974F9D5E}"/>
    <cellStyle name="Millares 2 2 5 4" xfId="1506" xr:uid="{00000000-0005-0000-0000-000072040000}"/>
    <cellStyle name="Millares 2 2 5 4 2" xfId="3872" xr:uid="{DDA39C3A-0C63-494D-A919-9B9989B34632}"/>
    <cellStyle name="Millares 2 2 5 5" xfId="1596" xr:uid="{00000000-0005-0000-0000-000073040000}"/>
    <cellStyle name="Millares 2 2 5 5 2" xfId="3962" xr:uid="{1C8B2C2D-2A18-468E-B751-35FC4C13E14D}"/>
    <cellStyle name="Millares 2 2 5 6" xfId="1687" xr:uid="{00000000-0005-0000-0000-000074040000}"/>
    <cellStyle name="Millares 2 2 5 6 2" xfId="4052" xr:uid="{51220487-CDC8-4D67-8FE6-E56D48000788}"/>
    <cellStyle name="Millares 2 2 5 7" xfId="1780" xr:uid="{00000000-0005-0000-0000-000075040000}"/>
    <cellStyle name="Millares 2 2 5 7 2" xfId="4142" xr:uid="{E064F864-0498-4C08-8E67-BDB4EE41105F}"/>
    <cellStyle name="Millares 2 2 5 8" xfId="1871" xr:uid="{9B7D5247-DA01-40B8-9A32-6A196D8FD984}"/>
    <cellStyle name="Millares 2 2 5 8 2" xfId="4232" xr:uid="{61978D5F-85A6-4F6C-8DC4-1B3B96AB7DA6}"/>
    <cellStyle name="Millares 2 2 5 9" xfId="1962" xr:uid="{8DF630DD-8556-4D20-AEFF-0061B5AC5376}"/>
    <cellStyle name="Millares 2 2 5 9 2" xfId="4322" xr:uid="{AC8D286F-FE3B-4D08-86CB-7E990A75A7EC}"/>
    <cellStyle name="Millares 2 2 6" xfId="1213" xr:uid="{00000000-0005-0000-0000-000076040000}"/>
    <cellStyle name="Millares 2 2 6 10" xfId="2052" xr:uid="{F61759B8-B60D-4DB6-A998-2B6AFBC7FA7F}"/>
    <cellStyle name="Millares 2 2 6 10 2" xfId="4412" xr:uid="{5201B0FA-0060-4BAC-AE63-E5C30337A447}"/>
    <cellStyle name="Millares 2 2 6 11" xfId="2143" xr:uid="{EDA2E6AA-DC49-461F-AE2F-53662C924947}"/>
    <cellStyle name="Millares 2 2 6 11 2" xfId="4503" xr:uid="{D1A48EFE-DEB7-4A19-AE48-993C0A25BD59}"/>
    <cellStyle name="Millares 2 2 6 12" xfId="2232" xr:uid="{90318EA6-E2A5-41D3-8303-D9C3BAC91BE3}"/>
    <cellStyle name="Millares 2 2 6 12 2" xfId="4592" xr:uid="{EE004B5E-442C-435F-A69B-D2A34B241FB1}"/>
    <cellStyle name="Millares 2 2 6 13" xfId="2322" xr:uid="{DA71A7DB-5D78-4E2B-A262-61895D38A065}"/>
    <cellStyle name="Millares 2 2 6 13 2" xfId="4682" xr:uid="{04702A1F-39C5-4199-9E03-24E7ED9E6C73}"/>
    <cellStyle name="Millares 2 2 6 14" xfId="2411" xr:uid="{72B93343-0D8E-4B66-91AC-B0F67495A7FF}"/>
    <cellStyle name="Millares 2 2 6 14 2" xfId="4771" xr:uid="{6AE71402-CD21-4DD9-B51C-F8FB8680DC9C}"/>
    <cellStyle name="Millares 2 2 6 15" xfId="2501" xr:uid="{28CFB1E1-FC4B-42E3-84BB-C10673400D57}"/>
    <cellStyle name="Millares 2 2 6 15 2" xfId="4861" xr:uid="{EB43586E-9615-4D99-A10C-49D46EEBC7C9}"/>
    <cellStyle name="Millares 2 2 6 16" xfId="2590" xr:uid="{FD0F444B-F959-4E90-AA0B-676CE957F97B}"/>
    <cellStyle name="Millares 2 2 6 16 2" xfId="4950" xr:uid="{11E64F3A-6AC7-457C-B226-B53125095B55}"/>
    <cellStyle name="Millares 2 2 6 17" xfId="2680" xr:uid="{E393B59C-656B-4884-A5FD-03C48E210105}"/>
    <cellStyle name="Millares 2 2 6 17 2" xfId="5040" xr:uid="{563F7D17-D046-439F-81A1-1C8F3114E85A}"/>
    <cellStyle name="Millares 2 2 6 18" xfId="2770" xr:uid="{E2427C3E-DCA5-4D0B-8C4E-F369A42DBDA8}"/>
    <cellStyle name="Millares 2 2 6 18 2" xfId="5130" xr:uid="{CF2BDC2E-4520-4EBD-B003-567095CCC144}"/>
    <cellStyle name="Millares 2 2 6 19" xfId="2860" xr:uid="{7920A529-9EDB-49C1-ACFA-DD5B7B1A1309}"/>
    <cellStyle name="Millares 2 2 6 19 2" xfId="5220" xr:uid="{61133D45-B2FE-4D6B-8B40-7389E99D7FCE}"/>
    <cellStyle name="Millares 2 2 6 2" xfId="1320" xr:uid="{00000000-0005-0000-0000-000077040000}"/>
    <cellStyle name="Millares 2 2 6 2 2" xfId="3485" xr:uid="{5F1475D7-6B0F-4A85-A25C-D00B7F1BCB0E}"/>
    <cellStyle name="Millares 2 2 6 2 2 2" xfId="5496" xr:uid="{E1E9F857-8EF2-4CB7-AFE9-3EA02C6D0AA4}"/>
    <cellStyle name="Millares 2 2 6 2 3" xfId="3693" xr:uid="{05E85956-BF3B-4783-A187-38CA80B1B729}"/>
    <cellStyle name="Millares 2 2 6 20" xfId="2953" xr:uid="{390ABF9F-E958-41E1-8934-D8CC54913296}"/>
    <cellStyle name="Millares 2 2 6 20 2" xfId="5313" xr:uid="{40B9D978-3034-46F9-A7E3-B92980192515}"/>
    <cellStyle name="Millares 2 2 6 21" xfId="3047" xr:uid="{EFD3D1EB-20A9-4737-8162-B20FA08BDA47}"/>
    <cellStyle name="Millares 2 2 6 21 2" xfId="5406" xr:uid="{84B80B47-C24A-4735-85C1-6CC21FB373BE}"/>
    <cellStyle name="Millares 2 2 6 22" xfId="3591" xr:uid="{A774251F-F09D-487C-BCA0-319E866E53A6}"/>
    <cellStyle name="Millares 2 2 6 3" xfId="1417" xr:uid="{00000000-0005-0000-0000-000078040000}"/>
    <cellStyle name="Millares 2 2 6 3 2" xfId="3783" xr:uid="{4D7B12F4-ECE4-44F1-87FE-095623627269}"/>
    <cellStyle name="Millares 2 2 6 4" xfId="1507" xr:uid="{00000000-0005-0000-0000-000079040000}"/>
    <cellStyle name="Millares 2 2 6 4 2" xfId="3873" xr:uid="{522CD8CC-0C65-4C47-8BA9-E577162D0BCB}"/>
    <cellStyle name="Millares 2 2 6 5" xfId="1597" xr:uid="{00000000-0005-0000-0000-00007A040000}"/>
    <cellStyle name="Millares 2 2 6 5 2" xfId="3963" xr:uid="{BAD1E6FD-5659-4965-8DDB-5E65C65C6BA4}"/>
    <cellStyle name="Millares 2 2 6 6" xfId="1688" xr:uid="{00000000-0005-0000-0000-00007B040000}"/>
    <cellStyle name="Millares 2 2 6 6 2" xfId="4053" xr:uid="{2DE682A1-591A-4BE4-BD90-8B56852F7487}"/>
    <cellStyle name="Millares 2 2 6 7" xfId="1781" xr:uid="{00000000-0005-0000-0000-00007C040000}"/>
    <cellStyle name="Millares 2 2 6 7 2" xfId="4143" xr:uid="{A56F865D-273F-4C08-B091-F0F241E59140}"/>
    <cellStyle name="Millares 2 2 6 8" xfId="1872" xr:uid="{B1E043CF-C88E-4A03-B3B1-58D8E5367F76}"/>
    <cellStyle name="Millares 2 2 6 8 2" xfId="4233" xr:uid="{78AC473A-402D-45FA-B795-38D806CEF3EA}"/>
    <cellStyle name="Millares 2 2 6 9" xfId="1963" xr:uid="{3C6DE352-4C7A-4911-9F33-464E7CA31B06}"/>
    <cellStyle name="Millares 2 2 6 9 2" xfId="4323" xr:uid="{7D4423E8-93BD-47C3-885E-3D90A419BC45}"/>
    <cellStyle name="Millares 2 2 7" xfId="1217" xr:uid="{00000000-0005-0000-0000-00007D040000}"/>
    <cellStyle name="Millares 2 2 7 10" xfId="2053" xr:uid="{3765E4FB-70EA-4CD1-B6D9-CDC8A1D522AD}"/>
    <cellStyle name="Millares 2 2 7 10 2" xfId="4413" xr:uid="{4ED1ACBF-D29C-486B-B947-C46A7A462C75}"/>
    <cellStyle name="Millares 2 2 7 11" xfId="2144" xr:uid="{3981F9FB-654A-4E2C-A987-5DD0E01F3777}"/>
    <cellStyle name="Millares 2 2 7 11 2" xfId="4504" xr:uid="{FD6F2578-195F-4F84-84CE-093696D823BA}"/>
    <cellStyle name="Millares 2 2 7 12" xfId="2233" xr:uid="{D36FA325-E171-48E9-9B4D-B0255B837055}"/>
    <cellStyle name="Millares 2 2 7 12 2" xfId="4593" xr:uid="{B8BBA0BE-1FEE-4E9D-B934-3C30319AE641}"/>
    <cellStyle name="Millares 2 2 7 13" xfId="2323" xr:uid="{8845D00E-B5AB-41AF-98BF-A8037BA55D14}"/>
    <cellStyle name="Millares 2 2 7 13 2" xfId="4683" xr:uid="{7BCEE1F4-91F4-4913-AE5A-5EAA1E099C30}"/>
    <cellStyle name="Millares 2 2 7 14" xfId="2412" xr:uid="{378C5DD8-7ADB-4EA4-9832-F4A39F37484D}"/>
    <cellStyle name="Millares 2 2 7 14 2" xfId="4772" xr:uid="{4AC23782-8ED6-4427-80FB-4483DFEFD049}"/>
    <cellStyle name="Millares 2 2 7 15" xfId="2502" xr:uid="{E2D28AF0-58EE-408A-B621-62CBEBF4377A}"/>
    <cellStyle name="Millares 2 2 7 15 2" xfId="4862" xr:uid="{9746C964-194E-4B28-A958-CCA18B8443CE}"/>
    <cellStyle name="Millares 2 2 7 16" xfId="2591" xr:uid="{057EB366-D30A-45F5-AFBF-399452FF9B3D}"/>
    <cellStyle name="Millares 2 2 7 16 2" xfId="4951" xr:uid="{0090DEE1-3499-4D8E-9B1C-7E48D537B882}"/>
    <cellStyle name="Millares 2 2 7 17" xfId="2681" xr:uid="{391C2AD3-02D9-461C-A666-9563D3470016}"/>
    <cellStyle name="Millares 2 2 7 17 2" xfId="5041" xr:uid="{62ED35C4-FE25-4744-8B86-EF1175073FF8}"/>
    <cellStyle name="Millares 2 2 7 18" xfId="2771" xr:uid="{1038DDA2-67D1-46CA-8006-0B71E0E202CB}"/>
    <cellStyle name="Millares 2 2 7 18 2" xfId="5131" xr:uid="{9DB79FC6-F014-45E3-9DB5-1F631D7A66E3}"/>
    <cellStyle name="Millares 2 2 7 19" xfId="2861" xr:uid="{EE40C070-78C2-4BF2-8583-EC2D35BB2DE4}"/>
    <cellStyle name="Millares 2 2 7 19 2" xfId="5221" xr:uid="{C9E7B660-3A3E-41F3-9528-5E65CD28CD0C}"/>
    <cellStyle name="Millares 2 2 7 2" xfId="1321" xr:uid="{00000000-0005-0000-0000-00007E040000}"/>
    <cellStyle name="Millares 2 2 7 2 2" xfId="3486" xr:uid="{CAD2B92E-F14F-4560-848B-9B664197886A}"/>
    <cellStyle name="Millares 2 2 7 2 2 2" xfId="5497" xr:uid="{A3FD8BED-808E-4163-AAF9-71BD86689812}"/>
    <cellStyle name="Millares 2 2 7 2 3" xfId="3694" xr:uid="{C2AE7B06-F0AA-4E8E-88BF-1422AF2D8E3C}"/>
    <cellStyle name="Millares 2 2 7 20" xfId="2954" xr:uid="{5852B54E-F669-453C-A4E7-032FE5FB1E2A}"/>
    <cellStyle name="Millares 2 2 7 20 2" xfId="5314" xr:uid="{EC2E7711-9776-465F-B433-84096178F4ED}"/>
    <cellStyle name="Millares 2 2 7 21" xfId="3048" xr:uid="{375A20E6-63C5-4519-B715-CA1530A9D7B4}"/>
    <cellStyle name="Millares 2 2 7 21 2" xfId="5407" xr:uid="{FB0DFCA4-191D-4221-8698-17062946359D}"/>
    <cellStyle name="Millares 2 2 7 22" xfId="3595" xr:uid="{7BA85EDE-29BE-4528-9BD7-52846F60931F}"/>
    <cellStyle name="Millares 2 2 7 3" xfId="1418" xr:uid="{00000000-0005-0000-0000-00007F040000}"/>
    <cellStyle name="Millares 2 2 7 3 2" xfId="3784" xr:uid="{0DA6999A-F9C2-4CAB-BD64-06583FA275C3}"/>
    <cellStyle name="Millares 2 2 7 4" xfId="1508" xr:uid="{00000000-0005-0000-0000-000080040000}"/>
    <cellStyle name="Millares 2 2 7 4 2" xfId="3874" xr:uid="{FB298E7B-B4C1-48D3-B10E-53E52B37B595}"/>
    <cellStyle name="Millares 2 2 7 5" xfId="1598" xr:uid="{00000000-0005-0000-0000-000081040000}"/>
    <cellStyle name="Millares 2 2 7 5 2" xfId="3964" xr:uid="{D54ED1C1-00B3-4B6B-B836-5744EFB10220}"/>
    <cellStyle name="Millares 2 2 7 6" xfId="1689" xr:uid="{00000000-0005-0000-0000-000082040000}"/>
    <cellStyle name="Millares 2 2 7 6 2" xfId="4054" xr:uid="{52293BAB-FF21-445C-AB35-6FFD6A593EB7}"/>
    <cellStyle name="Millares 2 2 7 7" xfId="1782" xr:uid="{00000000-0005-0000-0000-000083040000}"/>
    <cellStyle name="Millares 2 2 7 7 2" xfId="4144" xr:uid="{794C4CAF-DA98-46C0-8050-47575F4FB0C0}"/>
    <cellStyle name="Millares 2 2 7 8" xfId="1873" xr:uid="{C6CD33E0-1AE9-408D-B60C-2A8D32DB4685}"/>
    <cellStyle name="Millares 2 2 7 8 2" xfId="4234" xr:uid="{8E82DADE-97C6-4486-91C7-DABE816851D3}"/>
    <cellStyle name="Millares 2 2 7 9" xfId="1964" xr:uid="{A5DE05DE-F16E-44FA-A3E8-C946CFB32F90}"/>
    <cellStyle name="Millares 2 2 7 9 2" xfId="4324" xr:uid="{AE5F04A8-16D1-48C8-BF8C-A0DE708F1DFE}"/>
    <cellStyle name="Millares 2 2 8" xfId="1221" xr:uid="{00000000-0005-0000-0000-000084040000}"/>
    <cellStyle name="Millares 2 2 8 10" xfId="2054" xr:uid="{0FB57434-DAA0-4389-A59A-2D1594E9BDAA}"/>
    <cellStyle name="Millares 2 2 8 10 2" xfId="4414" xr:uid="{1AB0909F-E4CB-474E-A1FB-D031DA6D7E57}"/>
    <cellStyle name="Millares 2 2 8 11" xfId="2145" xr:uid="{C401D793-801C-4354-9E76-A6FB96DFC07B}"/>
    <cellStyle name="Millares 2 2 8 11 2" xfId="4505" xr:uid="{BD2338A3-ABE4-4D84-898C-6566AEC468E9}"/>
    <cellStyle name="Millares 2 2 8 12" xfId="2234" xr:uid="{22A7965E-723E-40CF-9458-CA0D5B38A381}"/>
    <cellStyle name="Millares 2 2 8 12 2" xfId="4594" xr:uid="{FA24ED66-6979-49FB-B7C6-9589B7B66D0A}"/>
    <cellStyle name="Millares 2 2 8 13" xfId="2324" xr:uid="{3CC51486-BC53-423D-A1CC-AB342997517F}"/>
    <cellStyle name="Millares 2 2 8 13 2" xfId="4684" xr:uid="{7C922B52-A498-40F5-8656-5CA21F7261A7}"/>
    <cellStyle name="Millares 2 2 8 14" xfId="2413" xr:uid="{26FF63EC-7BCA-430C-8FBF-FDBD4BE872F6}"/>
    <cellStyle name="Millares 2 2 8 14 2" xfId="4773" xr:uid="{9F760DB1-85F3-467F-BD64-60D6F1D92512}"/>
    <cellStyle name="Millares 2 2 8 15" xfId="2503" xr:uid="{ECC60216-F98A-44C9-A839-2794653B2B0D}"/>
    <cellStyle name="Millares 2 2 8 15 2" xfId="4863" xr:uid="{89DC7A62-6E97-4194-A46D-76FB35A56954}"/>
    <cellStyle name="Millares 2 2 8 16" xfId="2592" xr:uid="{C0C7EF52-60EA-4094-A0A7-B47C616D7481}"/>
    <cellStyle name="Millares 2 2 8 16 2" xfId="4952" xr:uid="{5AD00336-A059-4D38-A339-8E35F14E4057}"/>
    <cellStyle name="Millares 2 2 8 17" xfId="2682" xr:uid="{6CF64583-D600-4554-B646-E084656346CF}"/>
    <cellStyle name="Millares 2 2 8 17 2" xfId="5042" xr:uid="{A9EC787D-A941-48C2-897C-8E4E8B5DAF4F}"/>
    <cellStyle name="Millares 2 2 8 18" xfId="2772" xr:uid="{E1756B69-BB8A-448D-9E32-18DBF06A8B3A}"/>
    <cellStyle name="Millares 2 2 8 18 2" xfId="5132" xr:uid="{6B3CF74B-E145-43D5-A09C-6D7447FFE1AD}"/>
    <cellStyle name="Millares 2 2 8 19" xfId="2862" xr:uid="{E5E0C1BC-86F7-444C-B718-447FC72E6B69}"/>
    <cellStyle name="Millares 2 2 8 19 2" xfId="5222" xr:uid="{4F7FB63D-E70E-4F3C-B163-C39DD40DE605}"/>
    <cellStyle name="Millares 2 2 8 2" xfId="1322" xr:uid="{00000000-0005-0000-0000-000085040000}"/>
    <cellStyle name="Millares 2 2 8 2 2" xfId="3487" xr:uid="{897F018C-8C15-4523-964C-657B77924238}"/>
    <cellStyle name="Millares 2 2 8 2 2 2" xfId="5498" xr:uid="{5F0DD7BE-4887-465B-A06C-4AF57F986D5F}"/>
    <cellStyle name="Millares 2 2 8 2 3" xfId="3695" xr:uid="{43E5DE1A-33A6-43B0-87D3-8A7FD07F0ACB}"/>
    <cellStyle name="Millares 2 2 8 20" xfId="2955" xr:uid="{9191F03E-C00B-4856-8A52-52E7699999C2}"/>
    <cellStyle name="Millares 2 2 8 20 2" xfId="5315" xr:uid="{9722A4BA-D062-41CE-B7EF-CD98A75E68F6}"/>
    <cellStyle name="Millares 2 2 8 21" xfId="3049" xr:uid="{810BD544-8A3A-4730-B77B-4BCB3DA1ED00}"/>
    <cellStyle name="Millares 2 2 8 21 2" xfId="5408" xr:uid="{70282DB7-E196-436D-AD1D-345F22F718AD}"/>
    <cellStyle name="Millares 2 2 8 22" xfId="3599" xr:uid="{CB6035AE-8B92-4CF4-BF5A-09E057AEF7B4}"/>
    <cellStyle name="Millares 2 2 8 3" xfId="1419" xr:uid="{00000000-0005-0000-0000-000086040000}"/>
    <cellStyle name="Millares 2 2 8 3 2" xfId="3785" xr:uid="{B1FE52F6-28FC-47F9-944E-CC958102BB56}"/>
    <cellStyle name="Millares 2 2 8 4" xfId="1509" xr:uid="{00000000-0005-0000-0000-000087040000}"/>
    <cellStyle name="Millares 2 2 8 4 2" xfId="3875" xr:uid="{FEB88E5F-5A31-4EA3-937D-3896984D0E97}"/>
    <cellStyle name="Millares 2 2 8 5" xfId="1599" xr:uid="{00000000-0005-0000-0000-000088040000}"/>
    <cellStyle name="Millares 2 2 8 5 2" xfId="3965" xr:uid="{100E49C8-7513-487B-8DEE-82F1B521837B}"/>
    <cellStyle name="Millares 2 2 8 6" xfId="1690" xr:uid="{00000000-0005-0000-0000-000089040000}"/>
    <cellStyle name="Millares 2 2 8 6 2" xfId="4055" xr:uid="{8A933503-1256-408B-8720-8F0A014BBB80}"/>
    <cellStyle name="Millares 2 2 8 7" xfId="1783" xr:uid="{00000000-0005-0000-0000-00008A040000}"/>
    <cellStyle name="Millares 2 2 8 7 2" xfId="4145" xr:uid="{7C93C5CD-8E67-453D-9FD3-17622A8D6409}"/>
    <cellStyle name="Millares 2 2 8 8" xfId="1874" xr:uid="{28438CF6-0B20-46B0-88FD-376B139B537F}"/>
    <cellStyle name="Millares 2 2 8 8 2" xfId="4235" xr:uid="{9F4759BE-507F-4BAE-AB4D-0AD59BC1D1B6}"/>
    <cellStyle name="Millares 2 2 8 9" xfId="1965" xr:uid="{D58CECAD-73D8-4D94-B277-4D2D59439DD5}"/>
    <cellStyle name="Millares 2 2 8 9 2" xfId="4325" xr:uid="{6AFCC23F-EE87-40EC-8219-27C6750C0D37}"/>
    <cellStyle name="Millares 2 2 9" xfId="1225" xr:uid="{00000000-0005-0000-0000-00008B040000}"/>
    <cellStyle name="Millares 2 2 9 10" xfId="2055" xr:uid="{2BE817ED-9C99-4645-87C3-FF3545494242}"/>
    <cellStyle name="Millares 2 2 9 10 2" xfId="4415" xr:uid="{92CA688B-E03D-4141-B560-1C6D378F315C}"/>
    <cellStyle name="Millares 2 2 9 11" xfId="2146" xr:uid="{2360B913-57A6-4762-A94E-5E33249315B4}"/>
    <cellStyle name="Millares 2 2 9 11 2" xfId="4506" xr:uid="{0BECF4ED-109E-44F7-9EBC-BCC046836CA0}"/>
    <cellStyle name="Millares 2 2 9 12" xfId="2235" xr:uid="{9117EBAA-C742-450F-80C7-C65D24832052}"/>
    <cellStyle name="Millares 2 2 9 12 2" xfId="4595" xr:uid="{E04F49F7-84E7-4B7A-B6A3-4CEC4E01DCEA}"/>
    <cellStyle name="Millares 2 2 9 13" xfId="2325" xr:uid="{3321A41F-5786-443B-B2BD-D696EBBEAF28}"/>
    <cellStyle name="Millares 2 2 9 13 2" xfId="4685" xr:uid="{6D57316E-E0ED-4F46-AD23-2A12B8A4E124}"/>
    <cellStyle name="Millares 2 2 9 14" xfId="2414" xr:uid="{97A06F15-9BF7-4D3F-BB75-516AF4C6CF50}"/>
    <cellStyle name="Millares 2 2 9 14 2" xfId="4774" xr:uid="{D9C771A3-D19B-4BD3-A1E1-579E0169AFD2}"/>
    <cellStyle name="Millares 2 2 9 15" xfId="2504" xr:uid="{8A9A2265-44D3-4BB4-A35E-C17A4406935D}"/>
    <cellStyle name="Millares 2 2 9 15 2" xfId="4864" xr:uid="{3FAB0D89-4846-42D7-B906-8236ED7BD774}"/>
    <cellStyle name="Millares 2 2 9 16" xfId="2593" xr:uid="{C2C7798C-B948-43EC-AADD-192C39EE7405}"/>
    <cellStyle name="Millares 2 2 9 16 2" xfId="4953" xr:uid="{3CFCAA0E-E915-4731-AEBC-9FE2A67828D1}"/>
    <cellStyle name="Millares 2 2 9 17" xfId="2683" xr:uid="{2FE0B095-B011-4746-9A27-55E57C0598E4}"/>
    <cellStyle name="Millares 2 2 9 17 2" xfId="5043" xr:uid="{8A79B9E8-E71D-4622-AB1B-79A1BA53B3FA}"/>
    <cellStyle name="Millares 2 2 9 18" xfId="2773" xr:uid="{ACD955A1-4F9C-4A21-85E7-C09E6A119FA8}"/>
    <cellStyle name="Millares 2 2 9 18 2" xfId="5133" xr:uid="{1D52E1F7-8CEA-4BCA-B0D7-975FC6F04488}"/>
    <cellStyle name="Millares 2 2 9 19" xfId="2863" xr:uid="{4C4FF143-2695-40A4-BED0-5F7B40ECBEFB}"/>
    <cellStyle name="Millares 2 2 9 19 2" xfId="5223" xr:uid="{13C84DCC-B99E-4C02-86D8-B89A5DAA61FA}"/>
    <cellStyle name="Millares 2 2 9 2" xfId="1323" xr:uid="{00000000-0005-0000-0000-00008C040000}"/>
    <cellStyle name="Millares 2 2 9 2 2" xfId="3488" xr:uid="{8350C099-4F2E-461A-BD5B-B22993236A07}"/>
    <cellStyle name="Millares 2 2 9 2 2 2" xfId="5499" xr:uid="{73F8BD0E-11DF-4605-9F05-16185D12F59D}"/>
    <cellStyle name="Millares 2 2 9 2 3" xfId="3696" xr:uid="{7862F7F8-5835-41BB-A898-486F858B5E0B}"/>
    <cellStyle name="Millares 2 2 9 20" xfId="2956" xr:uid="{06710E38-6C45-4B12-90F8-61A1E5AAE124}"/>
    <cellStyle name="Millares 2 2 9 20 2" xfId="5316" xr:uid="{B0EED28D-4A6F-4CD4-A79C-C9125DFD076D}"/>
    <cellStyle name="Millares 2 2 9 21" xfId="3050" xr:uid="{A39A1A3C-99EA-4D7C-9462-DCBEA87E9E87}"/>
    <cellStyle name="Millares 2 2 9 21 2" xfId="5409" xr:uid="{D459A212-9FD3-4CD0-AAF9-8C4D365235AD}"/>
    <cellStyle name="Millares 2 2 9 22" xfId="3603" xr:uid="{903C077F-DAF2-4842-B676-B66A8BD4FA10}"/>
    <cellStyle name="Millares 2 2 9 3" xfId="1420" xr:uid="{00000000-0005-0000-0000-00008D040000}"/>
    <cellStyle name="Millares 2 2 9 3 2" xfId="3786" xr:uid="{F14B39F0-8B51-437C-A6F4-D8BBAD89CFF4}"/>
    <cellStyle name="Millares 2 2 9 4" xfId="1510" xr:uid="{00000000-0005-0000-0000-00008E040000}"/>
    <cellStyle name="Millares 2 2 9 4 2" xfId="3876" xr:uid="{C46727D2-79F7-4C84-B4D8-8F442999037A}"/>
    <cellStyle name="Millares 2 2 9 5" xfId="1600" xr:uid="{00000000-0005-0000-0000-00008F040000}"/>
    <cellStyle name="Millares 2 2 9 5 2" xfId="3966" xr:uid="{911D4D84-B67C-42DA-B3A4-AE143FF113D6}"/>
    <cellStyle name="Millares 2 2 9 6" xfId="1691" xr:uid="{00000000-0005-0000-0000-000090040000}"/>
    <cellStyle name="Millares 2 2 9 6 2" xfId="4056" xr:uid="{B49513B0-9E1E-4285-BAC2-76D7ECA3DD1C}"/>
    <cellStyle name="Millares 2 2 9 7" xfId="1784" xr:uid="{00000000-0005-0000-0000-000091040000}"/>
    <cellStyle name="Millares 2 2 9 7 2" xfId="4146" xr:uid="{33A6A1D1-A34F-4636-BFDE-D85AEA612B94}"/>
    <cellStyle name="Millares 2 2 9 8" xfId="1875" xr:uid="{A59C9730-1B51-4157-B7F7-F7F0B053114F}"/>
    <cellStyle name="Millares 2 2 9 8 2" xfId="4236" xr:uid="{E426BD74-6AAE-46D9-8AA6-E127D9A176BF}"/>
    <cellStyle name="Millares 2 2 9 9" xfId="1966" xr:uid="{A49E77F0-F032-4898-BBFE-86890C9D1C0F}"/>
    <cellStyle name="Millares 2 2 9 9 2" xfId="4326" xr:uid="{F6B9BDF4-F5EC-4005-920E-C47B23A37E4F}"/>
    <cellStyle name="Millares 2 20" xfId="1269" xr:uid="{00000000-0005-0000-0000-000092040000}"/>
    <cellStyle name="Millares 2 20 10" xfId="2056" xr:uid="{80BCB718-52E6-402A-951D-61CA2A8293B2}"/>
    <cellStyle name="Millares 2 20 10 2" xfId="4416" xr:uid="{9E76A990-184B-4460-BC4A-C91178B59436}"/>
    <cellStyle name="Millares 2 20 11" xfId="2147" xr:uid="{53234BFB-042A-4D82-9CED-54E424FB7754}"/>
    <cellStyle name="Millares 2 20 11 2" xfId="4507" xr:uid="{5CEF8A0A-D40A-4231-B388-A0262CCFA90D}"/>
    <cellStyle name="Millares 2 20 12" xfId="2236" xr:uid="{FFBA4B75-BB2B-49E2-AFC8-910A9F649533}"/>
    <cellStyle name="Millares 2 20 12 2" xfId="4596" xr:uid="{94454C51-E1E9-4C21-98DD-C3B20CD39812}"/>
    <cellStyle name="Millares 2 20 13" xfId="2326" xr:uid="{E4075BB2-83D0-4839-A732-38221C4BC861}"/>
    <cellStyle name="Millares 2 20 13 2" xfId="4686" xr:uid="{7EBF1DE7-DABF-4848-9168-F90A5671A13B}"/>
    <cellStyle name="Millares 2 20 14" xfId="2415" xr:uid="{0EB8E254-044C-431D-8034-53F39DE27FC1}"/>
    <cellStyle name="Millares 2 20 14 2" xfId="4775" xr:uid="{E8AA239F-B451-4077-93EB-B59C1E925185}"/>
    <cellStyle name="Millares 2 20 15" xfId="2505" xr:uid="{AE8702BD-ED1F-491A-A876-07A2A5BC4095}"/>
    <cellStyle name="Millares 2 20 15 2" xfId="4865" xr:uid="{79B74E50-AB82-4606-83E8-382D7BD17695}"/>
    <cellStyle name="Millares 2 20 16" xfId="2594" xr:uid="{3EA9FEA1-852C-4552-AF83-513DAA80413A}"/>
    <cellStyle name="Millares 2 20 16 2" xfId="4954" xr:uid="{EAE8B5E5-671D-4798-87E7-5DCAEF7BA446}"/>
    <cellStyle name="Millares 2 20 17" xfId="2684" xr:uid="{C8B2DEBC-E224-4031-B7B2-EF6955856439}"/>
    <cellStyle name="Millares 2 20 17 2" xfId="5044" xr:uid="{962D73E4-A7BA-47FD-8136-8DC63AF04C35}"/>
    <cellStyle name="Millares 2 20 18" xfId="2774" xr:uid="{A393BF6A-7EF3-498F-BA94-F57B8636F3D2}"/>
    <cellStyle name="Millares 2 20 18 2" xfId="5134" xr:uid="{E68042E2-0A03-4503-B09F-576DD02A7D38}"/>
    <cellStyle name="Millares 2 20 19" xfId="2864" xr:uid="{E7E7DCEF-8CB2-4611-B8F3-8F23336EC5A6}"/>
    <cellStyle name="Millares 2 20 19 2" xfId="5224" xr:uid="{EAB2EA0E-B319-4E08-AA52-17BB5090CD7E}"/>
    <cellStyle name="Millares 2 20 2" xfId="1324" xr:uid="{00000000-0005-0000-0000-000093040000}"/>
    <cellStyle name="Millares 2 20 2 2" xfId="3489" xr:uid="{826C21E6-C3AA-43D1-A9D3-39F5872432C4}"/>
    <cellStyle name="Millares 2 20 2 2 2" xfId="5500" xr:uid="{F439B989-C449-4043-89D9-E1FD5EF0640D}"/>
    <cellStyle name="Millares 2 20 2 3" xfId="3697" xr:uid="{E7ED709D-F094-49E6-9BD7-5C8568D44303}"/>
    <cellStyle name="Millares 2 20 20" xfId="2957" xr:uid="{669BCB46-FA9B-448F-B987-3ABE95D9D7D3}"/>
    <cellStyle name="Millares 2 20 20 2" xfId="5317" xr:uid="{7FCD34A4-D38E-4F89-B806-DD86C7426E87}"/>
    <cellStyle name="Millares 2 20 21" xfId="3051" xr:uid="{3299B826-72B4-4F3F-B2EC-4B6901C77A62}"/>
    <cellStyle name="Millares 2 20 21 2" xfId="5410" xr:uid="{4615F7E7-3C84-415A-9CEE-4BBFABBB13FD}"/>
    <cellStyle name="Millares 2 20 22" xfId="3642" xr:uid="{534E5E4E-FE6B-4944-B6C7-493D01B2415F}"/>
    <cellStyle name="Millares 2 20 3" xfId="1421" xr:uid="{00000000-0005-0000-0000-000094040000}"/>
    <cellStyle name="Millares 2 20 3 2" xfId="3787" xr:uid="{2DE5E11E-AB35-4BAB-89AC-17814040BCFE}"/>
    <cellStyle name="Millares 2 20 4" xfId="1511" xr:uid="{00000000-0005-0000-0000-000095040000}"/>
    <cellStyle name="Millares 2 20 4 2" xfId="3877" xr:uid="{E34E952C-A2FF-4EC9-924E-80945FFF0B51}"/>
    <cellStyle name="Millares 2 20 5" xfId="1601" xr:uid="{00000000-0005-0000-0000-000096040000}"/>
    <cellStyle name="Millares 2 20 5 2" xfId="3967" xr:uid="{79DC7E36-4C0A-45FC-94C5-664875085408}"/>
    <cellStyle name="Millares 2 20 6" xfId="1692" xr:uid="{00000000-0005-0000-0000-000097040000}"/>
    <cellStyle name="Millares 2 20 6 2" xfId="4057" xr:uid="{EC90DBA1-CA8F-41CB-AE28-C9A1FE960000}"/>
    <cellStyle name="Millares 2 20 7" xfId="1785" xr:uid="{00000000-0005-0000-0000-000098040000}"/>
    <cellStyle name="Millares 2 20 7 2" xfId="4147" xr:uid="{FF6A785F-B443-4DD8-925E-320934C2B108}"/>
    <cellStyle name="Millares 2 20 8" xfId="1876" xr:uid="{DFF1AD05-70AF-4247-B100-1EBF5E9FCF42}"/>
    <cellStyle name="Millares 2 20 8 2" xfId="4237" xr:uid="{20C91F23-C58D-4A62-8AAB-86E061432CA0}"/>
    <cellStyle name="Millares 2 20 9" xfId="1967" xr:uid="{9EB5FD74-7E52-4320-9ED7-CCAEFE5A6095}"/>
    <cellStyle name="Millares 2 20 9 2" xfId="4327" xr:uid="{E8F1E80D-A166-462E-9502-E256E8655FC3}"/>
    <cellStyle name="Millares 2 21" xfId="1273" xr:uid="{00000000-0005-0000-0000-000099040000}"/>
    <cellStyle name="Millares 2 21 10" xfId="2057" xr:uid="{5F136E0C-508A-464A-B78E-D064DE397BE5}"/>
    <cellStyle name="Millares 2 21 10 2" xfId="4417" xr:uid="{805AAC68-2B08-4620-B05F-8F038B3047AE}"/>
    <cellStyle name="Millares 2 21 11" xfId="2148" xr:uid="{875C4E4D-5F26-4125-AC6B-28FE7AA6E2E8}"/>
    <cellStyle name="Millares 2 21 11 2" xfId="4508" xr:uid="{EE4A83EB-E2FC-4101-8FB2-64881C34AF51}"/>
    <cellStyle name="Millares 2 21 12" xfId="2237" xr:uid="{F47E473C-0503-4365-9E59-25FAB0D89E7C}"/>
    <cellStyle name="Millares 2 21 12 2" xfId="4597" xr:uid="{06D5020B-8472-40BB-8226-D8193444D115}"/>
    <cellStyle name="Millares 2 21 13" xfId="2327" xr:uid="{5D5C7264-B369-4E8E-8598-674DD619DD20}"/>
    <cellStyle name="Millares 2 21 13 2" xfId="4687" xr:uid="{CC2C0396-065A-4798-8FBD-B07176D62C28}"/>
    <cellStyle name="Millares 2 21 14" xfId="2416" xr:uid="{DE278ECE-1725-489C-ADCC-0E41AADD4037}"/>
    <cellStyle name="Millares 2 21 14 2" xfId="4776" xr:uid="{B1E32F7E-74CF-4036-AD8C-FAF71518B0CD}"/>
    <cellStyle name="Millares 2 21 15" xfId="2506" xr:uid="{72414800-D784-4FAF-9563-AAD4B0A08FA7}"/>
    <cellStyle name="Millares 2 21 15 2" xfId="4866" xr:uid="{32D886A3-4BB9-4157-9D10-113EC155DAB7}"/>
    <cellStyle name="Millares 2 21 16" xfId="2595" xr:uid="{376D1A6F-6096-438E-B7E3-46EB1288B570}"/>
    <cellStyle name="Millares 2 21 16 2" xfId="4955" xr:uid="{18ECCD12-E932-4A91-8B55-59931A173744}"/>
    <cellStyle name="Millares 2 21 17" xfId="2685" xr:uid="{8EF62981-9132-42B5-82EF-DC15695FAEA9}"/>
    <cellStyle name="Millares 2 21 17 2" xfId="5045" xr:uid="{B376A7C4-CCD7-4616-BA18-6701FFA950BE}"/>
    <cellStyle name="Millares 2 21 18" xfId="2775" xr:uid="{9C22BC1D-0BB4-4E61-A2AA-D22DFE020919}"/>
    <cellStyle name="Millares 2 21 18 2" xfId="5135" xr:uid="{8156E3BC-1028-4960-BBB6-1601CE4BA384}"/>
    <cellStyle name="Millares 2 21 19" xfId="2865" xr:uid="{90D2C281-9816-4834-B8D6-A4B9224057AC}"/>
    <cellStyle name="Millares 2 21 19 2" xfId="5225" xr:uid="{470FE679-F183-4B18-A72A-02C32C0F5B91}"/>
    <cellStyle name="Millares 2 21 2" xfId="1325" xr:uid="{00000000-0005-0000-0000-00009A040000}"/>
    <cellStyle name="Millares 2 21 2 2" xfId="3490" xr:uid="{B4958528-EE32-4B83-B41D-4911F9E7B66F}"/>
    <cellStyle name="Millares 2 21 2 2 2" xfId="5501" xr:uid="{C9ACF0A0-B96C-4BC6-8D1F-1DE67A62E861}"/>
    <cellStyle name="Millares 2 21 2 3" xfId="3698" xr:uid="{2ED42FF4-2AB2-4E6F-85AE-05E6B5A17F36}"/>
    <cellStyle name="Millares 2 21 20" xfId="2958" xr:uid="{32456B7E-07B9-4379-A5ED-44A97DBD6A5B}"/>
    <cellStyle name="Millares 2 21 20 2" xfId="5318" xr:uid="{B71F0945-9F71-4816-9382-77D6E749B4AC}"/>
    <cellStyle name="Millares 2 21 21" xfId="3052" xr:uid="{EA86760A-7A3D-47E7-A3FE-31C877449722}"/>
    <cellStyle name="Millares 2 21 21 2" xfId="5411" xr:uid="{B9067967-51D1-459C-8BD7-8FC495C72DE9}"/>
    <cellStyle name="Millares 2 21 22" xfId="3646" xr:uid="{1DC4F7F2-260B-4E5C-9C0D-6C438DB8B246}"/>
    <cellStyle name="Millares 2 21 3" xfId="1422" xr:uid="{00000000-0005-0000-0000-00009B040000}"/>
    <cellStyle name="Millares 2 21 3 2" xfId="3788" xr:uid="{8795799A-6360-4D57-8C2F-E0E28281A13E}"/>
    <cellStyle name="Millares 2 21 4" xfId="1512" xr:uid="{00000000-0005-0000-0000-00009C040000}"/>
    <cellStyle name="Millares 2 21 4 2" xfId="3878" xr:uid="{FD0A2876-9E8A-4CE5-BDA6-CAAA5C99E0BB}"/>
    <cellStyle name="Millares 2 21 5" xfId="1602" xr:uid="{00000000-0005-0000-0000-00009D040000}"/>
    <cellStyle name="Millares 2 21 5 2" xfId="3968" xr:uid="{FCA08210-03F6-4DD1-B267-481791C9F4EE}"/>
    <cellStyle name="Millares 2 21 6" xfId="1693" xr:uid="{00000000-0005-0000-0000-00009E040000}"/>
    <cellStyle name="Millares 2 21 6 2" xfId="4058" xr:uid="{A32BB724-A3D1-40A5-99F1-4D5681F4CA62}"/>
    <cellStyle name="Millares 2 21 7" xfId="1786" xr:uid="{00000000-0005-0000-0000-00009F040000}"/>
    <cellStyle name="Millares 2 21 7 2" xfId="4148" xr:uid="{36371E57-95FC-4BBF-A07C-0440E556F33C}"/>
    <cellStyle name="Millares 2 21 8" xfId="1877" xr:uid="{0ABBD9A1-71AB-4FD1-ABB3-E678C033A84E}"/>
    <cellStyle name="Millares 2 21 8 2" xfId="4238" xr:uid="{25C830C6-C93D-4B36-9DE2-E3B30A794DDF}"/>
    <cellStyle name="Millares 2 21 9" xfId="1968" xr:uid="{673AB09B-9896-41B2-8132-59C8F9559FB5}"/>
    <cellStyle name="Millares 2 21 9 2" xfId="4328" xr:uid="{DF3542FC-B940-43A2-B7E1-ECD8FFB2186A}"/>
    <cellStyle name="Millares 2 22" xfId="1277" xr:uid="{00000000-0005-0000-0000-0000A0040000}"/>
    <cellStyle name="Millares 2 22 10" xfId="2058" xr:uid="{840EAAE2-4D47-40A5-BCB1-6E19AAF5E7F7}"/>
    <cellStyle name="Millares 2 22 10 2" xfId="4418" xr:uid="{E1070AB0-941E-4B04-AB5B-8918C4C96CB6}"/>
    <cellStyle name="Millares 2 22 11" xfId="2149" xr:uid="{6174B3B8-8A86-46E3-ACD3-26CDCE07667F}"/>
    <cellStyle name="Millares 2 22 11 2" xfId="4509" xr:uid="{834DDFE1-7362-4FA0-9490-5C8EDD8C6B94}"/>
    <cellStyle name="Millares 2 22 12" xfId="2238" xr:uid="{E0B1CE5B-38CF-4619-A800-589EB6164CA3}"/>
    <cellStyle name="Millares 2 22 12 2" xfId="4598" xr:uid="{42FDB8E6-F47B-4427-838B-93C9CDDD4B0B}"/>
    <cellStyle name="Millares 2 22 13" xfId="2328" xr:uid="{9ED51B77-060D-4A89-995D-CDB4BB351172}"/>
    <cellStyle name="Millares 2 22 13 2" xfId="4688" xr:uid="{7C3AAADD-BA79-483D-9705-68781AC7FEA4}"/>
    <cellStyle name="Millares 2 22 14" xfId="2417" xr:uid="{8A9DA7EC-2ACB-4549-820A-E6AB8341730E}"/>
    <cellStyle name="Millares 2 22 14 2" xfId="4777" xr:uid="{523469EF-3C2F-4E84-8C8F-8DC884E218F0}"/>
    <cellStyle name="Millares 2 22 15" xfId="2507" xr:uid="{FB352365-DC98-4B13-8BE3-BA172745FD4E}"/>
    <cellStyle name="Millares 2 22 15 2" xfId="4867" xr:uid="{1BDA205F-2CED-4A06-B033-A0B8B7A32E7C}"/>
    <cellStyle name="Millares 2 22 16" xfId="2596" xr:uid="{AB48A565-E579-4471-BF0A-4F1BF3D9984F}"/>
    <cellStyle name="Millares 2 22 16 2" xfId="4956" xr:uid="{4F278578-2FDB-4948-85E0-E56EEE69713C}"/>
    <cellStyle name="Millares 2 22 17" xfId="2686" xr:uid="{50722F4E-1C26-403C-BE35-1B11BDF496E4}"/>
    <cellStyle name="Millares 2 22 17 2" xfId="5046" xr:uid="{0C9D5198-F3D4-4FED-AD58-0F635B4E7DB2}"/>
    <cellStyle name="Millares 2 22 18" xfId="2776" xr:uid="{CB82ADA0-FBF1-4C48-B465-8AC0B6099AE1}"/>
    <cellStyle name="Millares 2 22 18 2" xfId="5136" xr:uid="{264A069D-BDF2-43FC-BDBC-61377921BC25}"/>
    <cellStyle name="Millares 2 22 19" xfId="2866" xr:uid="{7A5A8FEB-058E-4A44-B866-F2E7BA028C94}"/>
    <cellStyle name="Millares 2 22 19 2" xfId="5226" xr:uid="{576D12CC-A9D1-45A9-B758-11E04B089432}"/>
    <cellStyle name="Millares 2 22 2" xfId="1326" xr:uid="{00000000-0005-0000-0000-0000A1040000}"/>
    <cellStyle name="Millares 2 22 2 2" xfId="3491" xr:uid="{159F704B-C2FF-45F9-B8E5-8448BA249846}"/>
    <cellStyle name="Millares 2 22 2 2 2" xfId="5502" xr:uid="{07BB9FFB-E05A-41FF-BB79-337678F014BE}"/>
    <cellStyle name="Millares 2 22 2 3" xfId="3699" xr:uid="{7810BFEB-6FFA-4309-A748-C644B5DD716E}"/>
    <cellStyle name="Millares 2 22 20" xfId="2959" xr:uid="{D3B4A59A-81A1-4ECF-B46F-E02DA428E63C}"/>
    <cellStyle name="Millares 2 22 20 2" xfId="5319" xr:uid="{57CF3BE8-D837-4DA0-A666-D31F244BC821}"/>
    <cellStyle name="Millares 2 22 21" xfId="3053" xr:uid="{8554A5B5-666A-4151-8811-6D6FBD7C76C4}"/>
    <cellStyle name="Millares 2 22 21 2" xfId="5412" xr:uid="{4674B4C8-AB3B-4D6B-8BFD-47BF32A0DB8C}"/>
    <cellStyle name="Millares 2 22 22" xfId="3650" xr:uid="{A7D01442-3CC8-4393-91B2-5AE34FA0655F}"/>
    <cellStyle name="Millares 2 22 3" xfId="1423" xr:uid="{00000000-0005-0000-0000-0000A2040000}"/>
    <cellStyle name="Millares 2 22 3 2" xfId="3789" xr:uid="{40829A99-6A7C-46B6-9878-1DB574711E24}"/>
    <cellStyle name="Millares 2 22 4" xfId="1513" xr:uid="{00000000-0005-0000-0000-0000A3040000}"/>
    <cellStyle name="Millares 2 22 4 2" xfId="3879" xr:uid="{9B78C759-521F-4482-A2B5-F7B20501F236}"/>
    <cellStyle name="Millares 2 22 5" xfId="1603" xr:uid="{00000000-0005-0000-0000-0000A4040000}"/>
    <cellStyle name="Millares 2 22 5 2" xfId="3969" xr:uid="{7932F5B3-F281-4F3E-825C-6A08A3C3EA2E}"/>
    <cellStyle name="Millares 2 22 6" xfId="1694" xr:uid="{00000000-0005-0000-0000-0000A5040000}"/>
    <cellStyle name="Millares 2 22 6 2" xfId="4059" xr:uid="{D6CF7195-00A9-4CFE-8E86-BDAFDB3BABB4}"/>
    <cellStyle name="Millares 2 22 7" xfId="1787" xr:uid="{00000000-0005-0000-0000-0000A6040000}"/>
    <cellStyle name="Millares 2 22 7 2" xfId="4149" xr:uid="{A4891FC7-729D-402F-BFFD-A1649053653E}"/>
    <cellStyle name="Millares 2 22 8" xfId="1878" xr:uid="{295B73BE-83F4-4112-99B2-2ACAA544BCD6}"/>
    <cellStyle name="Millares 2 22 8 2" xfId="4239" xr:uid="{5B689F52-653B-436E-8524-0558E582A006}"/>
    <cellStyle name="Millares 2 22 9" xfId="1969" xr:uid="{DE31F7F3-A2BE-4D42-9050-4C6337A3C13A}"/>
    <cellStyle name="Millares 2 22 9 2" xfId="4329" xr:uid="{69C7CC0D-D33C-4734-B9F8-2A0E0E1C03CA}"/>
    <cellStyle name="Millares 2 23" xfId="1327" xr:uid="{00000000-0005-0000-0000-0000A7040000}"/>
    <cellStyle name="Millares 2 23 10" xfId="2150" xr:uid="{2A850C05-FDBD-4C01-B0F4-3CF6673581DC}"/>
    <cellStyle name="Millares 2 23 10 2" xfId="4510" xr:uid="{499BECAB-61AA-4CC3-A452-A9F3BD790136}"/>
    <cellStyle name="Millares 2 23 11" xfId="2239" xr:uid="{F0C18C30-1104-4C05-97AE-F6D771D68631}"/>
    <cellStyle name="Millares 2 23 11 2" xfId="4599" xr:uid="{D15B3523-7F12-45D6-9E66-BD1DABEC71C6}"/>
    <cellStyle name="Millares 2 23 12" xfId="2329" xr:uid="{C5F92AB9-B3A5-4AE7-8FA8-8CEEE17F4B3D}"/>
    <cellStyle name="Millares 2 23 12 2" xfId="4689" xr:uid="{49190EF4-088A-49FB-93D6-B77B2C8CBAE3}"/>
    <cellStyle name="Millares 2 23 13" xfId="2418" xr:uid="{CD99A6F8-B6E9-4080-8243-E3581899050A}"/>
    <cellStyle name="Millares 2 23 13 2" xfId="4778" xr:uid="{6A77E62F-9D03-4330-AC51-A9C5EF7AA33C}"/>
    <cellStyle name="Millares 2 23 14" xfId="2508" xr:uid="{5724B0B3-E74F-4E26-B959-C32AF5CDAB5C}"/>
    <cellStyle name="Millares 2 23 14 2" xfId="4868" xr:uid="{7D0A41BD-6B61-4281-9E31-A9FE3832AC63}"/>
    <cellStyle name="Millares 2 23 15" xfId="2597" xr:uid="{67945855-4A55-4E81-B482-C7EAE8D54711}"/>
    <cellStyle name="Millares 2 23 15 2" xfId="4957" xr:uid="{A082EF71-9EC4-40E4-BAD1-06A95964DC44}"/>
    <cellStyle name="Millares 2 23 16" xfId="2687" xr:uid="{BC483CC6-CE24-4CA7-A5A4-491E9CD7F757}"/>
    <cellStyle name="Millares 2 23 16 2" xfId="5047" xr:uid="{C3AD37F9-3F3C-4C23-8FCC-28BB52638C42}"/>
    <cellStyle name="Millares 2 23 17" xfId="2777" xr:uid="{524023F5-633A-4BF7-921F-3EFF16CF7D87}"/>
    <cellStyle name="Millares 2 23 17 2" xfId="5137" xr:uid="{7EA47D3A-F620-480D-B017-37F83F54E183}"/>
    <cellStyle name="Millares 2 23 18" xfId="2867" xr:uid="{574AFD19-3CD9-4C6F-B846-8CB233993DDB}"/>
    <cellStyle name="Millares 2 23 18 2" xfId="5227" xr:uid="{11A6ABD0-BD51-44F3-B206-E936FC4F278A}"/>
    <cellStyle name="Millares 2 23 19" xfId="2960" xr:uid="{2A7D9E47-6C4C-4BE9-828B-2681F3D56E41}"/>
    <cellStyle name="Millares 2 23 19 2" xfId="5320" xr:uid="{B8B8631C-F099-4B7C-9D97-445DAF7946D1}"/>
    <cellStyle name="Millares 2 23 2" xfId="1424" xr:uid="{00000000-0005-0000-0000-0000A8040000}"/>
    <cellStyle name="Millares 2 23 2 2" xfId="3492" xr:uid="{F4ED3A9F-CE79-4BB6-86FB-3C4B48250462}"/>
    <cellStyle name="Millares 2 23 2 2 2" xfId="5503" xr:uid="{4ED0AC20-4744-486A-B578-DE194CFB9ED7}"/>
    <cellStyle name="Millares 2 23 2 3" xfId="3790" xr:uid="{F7B426CF-74D5-4BB5-82AB-EDC2525B878E}"/>
    <cellStyle name="Millares 2 23 20" xfId="3054" xr:uid="{50554EBD-37F2-4EAF-80C7-1020126F3253}"/>
    <cellStyle name="Millares 2 23 20 2" xfId="5413" xr:uid="{5F6822E2-E602-4CD2-BB85-C0FFF5F199AE}"/>
    <cellStyle name="Millares 2 23 21" xfId="3700" xr:uid="{C65CC935-B803-4885-A01D-0C15B6858A47}"/>
    <cellStyle name="Millares 2 23 3" xfId="1514" xr:uid="{00000000-0005-0000-0000-0000A9040000}"/>
    <cellStyle name="Millares 2 23 3 2" xfId="3880" xr:uid="{0F1FB9D0-F156-4495-88EB-2E96890241DA}"/>
    <cellStyle name="Millares 2 23 4" xfId="1604" xr:uid="{00000000-0005-0000-0000-0000AA040000}"/>
    <cellStyle name="Millares 2 23 4 2" xfId="3970" xr:uid="{ABDC0F44-F4D9-4551-BD83-A560BD0A0D4B}"/>
    <cellStyle name="Millares 2 23 5" xfId="1695" xr:uid="{00000000-0005-0000-0000-0000AB040000}"/>
    <cellStyle name="Millares 2 23 5 2" xfId="4060" xr:uid="{52640641-449E-4B14-886C-BF4E73E61ECE}"/>
    <cellStyle name="Millares 2 23 6" xfId="1788" xr:uid="{00000000-0005-0000-0000-0000AC040000}"/>
    <cellStyle name="Millares 2 23 6 2" xfId="4150" xr:uid="{C77234DA-737E-4471-924C-3D78CE6BFD21}"/>
    <cellStyle name="Millares 2 23 7" xfId="1879" xr:uid="{53128DB9-7599-4307-A551-0C659D1BFFE4}"/>
    <cellStyle name="Millares 2 23 7 2" xfId="4240" xr:uid="{6FFEB75D-83B7-472C-BE3F-0B300A717DD8}"/>
    <cellStyle name="Millares 2 23 8" xfId="1970" xr:uid="{4731E13A-5597-42AD-AA06-59130C008A46}"/>
    <cellStyle name="Millares 2 23 8 2" xfId="4330" xr:uid="{F00A3D8B-AE3F-4173-A59F-53B117554F09}"/>
    <cellStyle name="Millares 2 23 9" xfId="2059" xr:uid="{77C6339F-8D0B-4968-99CE-99D6ECE845F5}"/>
    <cellStyle name="Millares 2 23 9 2" xfId="4419" xr:uid="{D203A6E8-193A-4726-9F50-3E2FED625D76}"/>
    <cellStyle name="Millares 2 24" xfId="1291" xr:uid="{00000000-0005-0000-0000-0000AD040000}"/>
    <cellStyle name="Millares 2 24 2" xfId="3456" xr:uid="{1147AC51-6817-4284-92C6-CAA00764909D}"/>
    <cellStyle name="Millares 2 24 2 2" xfId="5467" xr:uid="{1D3F72E5-FCF4-4B7C-AB0F-7B8E60ADB33D}"/>
    <cellStyle name="Millares 2 24 3" xfId="3664" xr:uid="{64720581-A5F9-4174-A275-87DB68575A84}"/>
    <cellStyle name="Millares 2 25" xfId="1388" xr:uid="{00000000-0005-0000-0000-0000AE040000}"/>
    <cellStyle name="Millares 2 25 2" xfId="3754" xr:uid="{7D741CAC-5251-45AB-9D14-A615E6C4FF8E}"/>
    <cellStyle name="Millares 2 26" xfId="1478" xr:uid="{00000000-0005-0000-0000-0000AF040000}"/>
    <cellStyle name="Millares 2 26 2" xfId="3844" xr:uid="{E7576425-8EDE-48AA-8F74-2C2C34B96738}"/>
    <cellStyle name="Millares 2 27" xfId="1568" xr:uid="{00000000-0005-0000-0000-0000B0040000}"/>
    <cellStyle name="Millares 2 27 2" xfId="3934" xr:uid="{C2BA1C2C-C517-469E-BBE7-6A519802D8E4}"/>
    <cellStyle name="Millares 2 28" xfId="1659" xr:uid="{00000000-0005-0000-0000-0000B1040000}"/>
    <cellStyle name="Millares 2 28 2" xfId="4024" xr:uid="{8A9F2347-1E9D-487F-9471-7BC81A713D41}"/>
    <cellStyle name="Millares 2 29" xfId="1752" xr:uid="{00000000-0005-0000-0000-0000B2040000}"/>
    <cellStyle name="Millares 2 29 2" xfId="4114" xr:uid="{D7122DC6-CB3B-4A1E-AB16-C931BE542FEA}"/>
    <cellStyle name="Millares 2 3" xfId="1194" xr:uid="{00000000-0005-0000-0000-0000B3040000}"/>
    <cellStyle name="Millares 2 3 10" xfId="2060" xr:uid="{C816CC9E-B9C6-4BF8-8D7B-B0632EA2914C}"/>
    <cellStyle name="Millares 2 3 10 2" xfId="4420" xr:uid="{B6AB00DC-3463-458C-B124-AB4C94224707}"/>
    <cellStyle name="Millares 2 3 11" xfId="2151" xr:uid="{2EAE2B19-20DD-404F-846F-9D83A8B1BD82}"/>
    <cellStyle name="Millares 2 3 11 2" xfId="4511" xr:uid="{C086EEBC-F81F-4886-A264-AEE882A88785}"/>
    <cellStyle name="Millares 2 3 12" xfId="2240" xr:uid="{A65F34F4-0DCE-410D-A3AA-A2FBCD15C6F1}"/>
    <cellStyle name="Millares 2 3 12 2" xfId="4600" xr:uid="{4A4F30F1-3B9E-4C7E-A247-93E61BAA1B66}"/>
    <cellStyle name="Millares 2 3 13" xfId="2330" xr:uid="{BBAEDFF4-202C-41B6-B893-BD21D8D158AC}"/>
    <cellStyle name="Millares 2 3 13 2" xfId="4690" xr:uid="{CD3B7602-A1F3-409B-82D3-7EE9C9639BBC}"/>
    <cellStyle name="Millares 2 3 14" xfId="2419" xr:uid="{AA42613B-4A7C-45D8-878A-37F20C201797}"/>
    <cellStyle name="Millares 2 3 14 2" xfId="4779" xr:uid="{A51A0B48-763F-4E35-B63C-81950A78C8CE}"/>
    <cellStyle name="Millares 2 3 15" xfId="2509" xr:uid="{EA49DF9B-0DDD-48D3-83A4-2FFAD3580D72}"/>
    <cellStyle name="Millares 2 3 15 2" xfId="4869" xr:uid="{B51E65ED-C5F4-4090-87E3-303C012EE099}"/>
    <cellStyle name="Millares 2 3 16" xfId="2598" xr:uid="{9B3B5739-4BE7-4928-BF9B-2FFD8D32BA6D}"/>
    <cellStyle name="Millares 2 3 16 2" xfId="4958" xr:uid="{100ABC59-7636-41FA-8700-3319B9C2A864}"/>
    <cellStyle name="Millares 2 3 17" xfId="2688" xr:uid="{C7BB226B-2867-4690-8435-0AAAA9C19D49}"/>
    <cellStyle name="Millares 2 3 17 2" xfId="5048" xr:uid="{DDB43485-A374-491A-8F2A-764256ACC479}"/>
    <cellStyle name="Millares 2 3 18" xfId="2778" xr:uid="{5C596B20-E7A9-4FCB-B3EF-E030D502AB97}"/>
    <cellStyle name="Millares 2 3 18 2" xfId="5138" xr:uid="{53D94B2D-5561-4E1D-B373-383ACB09FD83}"/>
    <cellStyle name="Millares 2 3 19" xfId="2868" xr:uid="{8751FE97-0D61-473F-9CDA-C232F067CC44}"/>
    <cellStyle name="Millares 2 3 19 2" xfId="5228" xr:uid="{0E39352B-3F41-44F1-B874-035A34D92A4A}"/>
    <cellStyle name="Millares 2 3 2" xfId="1328" xr:uid="{00000000-0005-0000-0000-0000B4040000}"/>
    <cellStyle name="Millares 2 3 2 2" xfId="3493" xr:uid="{909E0139-9012-4135-9ED3-375C5156ED72}"/>
    <cellStyle name="Millares 2 3 2 2 2" xfId="5504" xr:uid="{3FFF35D6-2D3A-4542-A5E1-F8A7B696E073}"/>
    <cellStyle name="Millares 2 3 2 3" xfId="3701" xr:uid="{2BD8FAB2-7EAB-4D8D-9CEC-706D69B79A2F}"/>
    <cellStyle name="Millares 2 3 20" xfId="2961" xr:uid="{42A1131C-2FF9-4969-8C2B-C1DB5AB66F71}"/>
    <cellStyle name="Millares 2 3 20 2" xfId="5321" xr:uid="{6CFDA987-A4ED-497E-9520-3DC112BE662E}"/>
    <cellStyle name="Millares 2 3 21" xfId="3055" xr:uid="{23FBF2FC-BD20-49ED-8354-47331D958854}"/>
    <cellStyle name="Millares 2 3 21 2" xfId="5414" xr:uid="{369F7097-2C48-4A6F-B045-B27F3D497E30}"/>
    <cellStyle name="Millares 2 3 22" xfId="3574" xr:uid="{64B3C2A3-E276-4C39-84D0-FC1625C421FF}"/>
    <cellStyle name="Millares 2 3 3" xfId="1425" xr:uid="{00000000-0005-0000-0000-0000B5040000}"/>
    <cellStyle name="Millares 2 3 3 2" xfId="3791" xr:uid="{7AA92796-5AF6-407F-AFAA-1BA3023D7D4B}"/>
    <cellStyle name="Millares 2 3 4" xfId="1515" xr:uid="{00000000-0005-0000-0000-0000B6040000}"/>
    <cellStyle name="Millares 2 3 4 2" xfId="3881" xr:uid="{6A8A5DB2-29C1-49AB-84F6-CEA2D3A3D611}"/>
    <cellStyle name="Millares 2 3 5" xfId="1605" xr:uid="{00000000-0005-0000-0000-0000B7040000}"/>
    <cellStyle name="Millares 2 3 5 2" xfId="3971" xr:uid="{83390DD5-2662-4F30-8BC7-E7B47BA3A1C3}"/>
    <cellStyle name="Millares 2 3 6" xfId="1696" xr:uid="{00000000-0005-0000-0000-0000B8040000}"/>
    <cellStyle name="Millares 2 3 6 2" xfId="4061" xr:uid="{93A38C84-18A1-4489-85C2-502C27F52DC2}"/>
    <cellStyle name="Millares 2 3 7" xfId="1789" xr:uid="{00000000-0005-0000-0000-0000B9040000}"/>
    <cellStyle name="Millares 2 3 7 2" xfId="4151" xr:uid="{ADC6E004-0F53-48C4-B21E-2EBA6B676046}"/>
    <cellStyle name="Millares 2 3 8" xfId="1880" xr:uid="{05336152-08BE-406B-85EF-293F73CD8478}"/>
    <cellStyle name="Millares 2 3 8 2" xfId="4241" xr:uid="{CC1E8F6C-302C-4724-90FE-316EA3696780}"/>
    <cellStyle name="Millares 2 3 9" xfId="1971" xr:uid="{0B14E419-8A4D-4D65-BF2D-BE3CE77AD9C2}"/>
    <cellStyle name="Millares 2 3 9 2" xfId="4331" xr:uid="{68379E90-B14F-48F7-9C60-5538F33CAEDE}"/>
    <cellStyle name="Millares 2 30" xfId="1843" xr:uid="{0C55257F-E9C0-490F-9BE1-32EEA6533B20}"/>
    <cellStyle name="Millares 2 30 2" xfId="4204" xr:uid="{A32192E2-EC5B-4EA8-872C-2D6577B0CF59}"/>
    <cellStyle name="Millares 2 31" xfId="1934" xr:uid="{02DC58C1-A377-4844-A4DC-BA09BA017113}"/>
    <cellStyle name="Millares 2 31 2" xfId="4294" xr:uid="{FEFF92B3-86C5-4BA6-A841-D2524D7F3728}"/>
    <cellStyle name="Millares 2 32" xfId="2023" xr:uid="{ACB87BCB-FAE9-45D7-BC86-95053262EFE5}"/>
    <cellStyle name="Millares 2 32 2" xfId="4383" xr:uid="{2A5725F4-071E-4E3F-BB7A-A37A8B06D415}"/>
    <cellStyle name="Millares 2 33" xfId="2114" xr:uid="{698ED4D2-847E-4797-806F-ECE1E32CA9FD}"/>
    <cellStyle name="Millares 2 33 2" xfId="4474" xr:uid="{10CA0D0B-77E2-4E7F-986D-1F2CA58E7C98}"/>
    <cellStyle name="Millares 2 34" xfId="2203" xr:uid="{655461A1-FE13-429D-B1B3-BA567652F677}"/>
    <cellStyle name="Millares 2 34 2" xfId="4563" xr:uid="{FD57D621-6185-403B-98C0-266F3AC4899B}"/>
    <cellStyle name="Millares 2 35" xfId="2293" xr:uid="{489E7B16-9E94-4897-9EC1-AE1D26F2329E}"/>
    <cellStyle name="Millares 2 35 2" xfId="4653" xr:uid="{6EC6247C-34CB-47B0-885C-76B874BEB169}"/>
    <cellStyle name="Millares 2 36" xfId="2382" xr:uid="{1946E7F0-B5B8-4776-B7C3-8AFA1568F9D0}"/>
    <cellStyle name="Millares 2 36 2" xfId="4742" xr:uid="{5D70BA5C-148B-466F-83C1-015E926F68C6}"/>
    <cellStyle name="Millares 2 37" xfId="2472" xr:uid="{F4A2B82F-12AD-4C35-89E8-82B3A69EC51C}"/>
    <cellStyle name="Millares 2 37 2" xfId="4832" xr:uid="{06F33CCD-326E-4910-B327-A0CE0116ADB1}"/>
    <cellStyle name="Millares 2 38" xfId="2561" xr:uid="{B136F68F-D3E8-4911-96AC-C541593E4B88}"/>
    <cellStyle name="Millares 2 38 2" xfId="4921" xr:uid="{5E6DDD8C-865E-469F-9BED-A0C2DBB1153D}"/>
    <cellStyle name="Millares 2 39" xfId="2651" xr:uid="{34EEB4A8-90A1-4510-B021-3865CA48CB48}"/>
    <cellStyle name="Millares 2 39 2" xfId="5011" xr:uid="{B922D425-5ADE-4994-90D4-91A901449432}"/>
    <cellStyle name="Millares 2 4" xfId="1199" xr:uid="{00000000-0005-0000-0000-0000BA040000}"/>
    <cellStyle name="Millares 2 4 10" xfId="2061" xr:uid="{4AF25E02-84DE-4364-9564-326E5B498524}"/>
    <cellStyle name="Millares 2 4 10 2" xfId="4421" xr:uid="{BEB203B1-9708-4CB2-85BF-C691DEBD119A}"/>
    <cellStyle name="Millares 2 4 11" xfId="2152" xr:uid="{B960BCE3-8957-43A1-981B-CD4A5857BFC9}"/>
    <cellStyle name="Millares 2 4 11 2" xfId="4512" xr:uid="{F5C9A55E-65DB-4547-AE7B-9FB9EAE3EB4C}"/>
    <cellStyle name="Millares 2 4 12" xfId="2241" xr:uid="{E9DBA295-FBF5-4DC9-9813-0B2E60B4BF55}"/>
    <cellStyle name="Millares 2 4 12 2" xfId="4601" xr:uid="{D4016E7B-B783-48F1-899E-82D6ABA99004}"/>
    <cellStyle name="Millares 2 4 13" xfId="2331" xr:uid="{43BC64FA-2C4D-4AA0-871C-0A29EBB1604B}"/>
    <cellStyle name="Millares 2 4 13 2" xfId="4691" xr:uid="{CB2820A8-4AD4-413C-9296-8A77513E434B}"/>
    <cellStyle name="Millares 2 4 14" xfId="2420" xr:uid="{3C736E72-E784-4CCC-B71B-4BB2F9C903B2}"/>
    <cellStyle name="Millares 2 4 14 2" xfId="4780" xr:uid="{86746192-34DC-436C-8C31-56BC4BA2DBED}"/>
    <cellStyle name="Millares 2 4 15" xfId="2510" xr:uid="{B5A42836-EAAB-4182-A5E8-46D4202ADB24}"/>
    <cellStyle name="Millares 2 4 15 2" xfId="4870" xr:uid="{40EEF1CF-8122-4AD3-874E-7651D53DFD0D}"/>
    <cellStyle name="Millares 2 4 16" xfId="2599" xr:uid="{5B08CEC9-A349-423E-997D-293350EAACAB}"/>
    <cellStyle name="Millares 2 4 16 2" xfId="4959" xr:uid="{E2CC1452-561B-4123-BC7C-A54BC81182D1}"/>
    <cellStyle name="Millares 2 4 17" xfId="2689" xr:uid="{72CCD667-4C73-4218-B31D-9E10C621CCB6}"/>
    <cellStyle name="Millares 2 4 17 2" xfId="5049" xr:uid="{DCF9B38B-C6CE-43E4-8BA0-A5E5DAA90D5A}"/>
    <cellStyle name="Millares 2 4 18" xfId="2779" xr:uid="{B2E9DB86-1095-418B-BB5C-FDC9A598581F}"/>
    <cellStyle name="Millares 2 4 18 2" xfId="5139" xr:uid="{A276A560-8EB5-4FDF-8D1C-640A8781ADD2}"/>
    <cellStyle name="Millares 2 4 19" xfId="2869" xr:uid="{A894DDF0-CE4B-4E1D-9FC1-B74A369A4E1E}"/>
    <cellStyle name="Millares 2 4 19 2" xfId="5229" xr:uid="{FEA6D586-39D9-440D-B6B1-2E30306E2331}"/>
    <cellStyle name="Millares 2 4 2" xfId="1329" xr:uid="{00000000-0005-0000-0000-0000BB040000}"/>
    <cellStyle name="Millares 2 4 2 2" xfId="3494" xr:uid="{1D87C045-E7E4-492B-B936-0E895D6E397B}"/>
    <cellStyle name="Millares 2 4 2 2 2" xfId="5505" xr:uid="{25395327-A642-4EEA-8B9B-8ECDA81B5C17}"/>
    <cellStyle name="Millares 2 4 2 3" xfId="3702" xr:uid="{6BAA1840-82D3-4DF1-8CFC-5F44B9FE9E4A}"/>
    <cellStyle name="Millares 2 4 20" xfId="2962" xr:uid="{66E7D674-B8CD-44D0-A853-D8AA6D7E2D9B}"/>
    <cellStyle name="Millares 2 4 20 2" xfId="5322" xr:uid="{E00ED89C-EB48-427B-80A1-A07EA33FD5B1}"/>
    <cellStyle name="Millares 2 4 21" xfId="3056" xr:uid="{CF26A29E-848D-43C2-9999-136D58B0ABF3}"/>
    <cellStyle name="Millares 2 4 21 2" xfId="5415" xr:uid="{3F8A3CDF-7D54-4C04-8352-97C98FCCC5C0}"/>
    <cellStyle name="Millares 2 4 22" xfId="3578" xr:uid="{B2102B0A-F069-40BC-86BA-F364DA8D479F}"/>
    <cellStyle name="Millares 2 4 3" xfId="1426" xr:uid="{00000000-0005-0000-0000-0000BC040000}"/>
    <cellStyle name="Millares 2 4 3 2" xfId="3792" xr:uid="{30D79603-07ED-486B-974E-CE397C9FA46D}"/>
    <cellStyle name="Millares 2 4 4" xfId="1516" xr:uid="{00000000-0005-0000-0000-0000BD040000}"/>
    <cellStyle name="Millares 2 4 4 2" xfId="3882" xr:uid="{9C9DFBEC-7D60-42BC-BA66-41CD2962D19D}"/>
    <cellStyle name="Millares 2 4 5" xfId="1606" xr:uid="{00000000-0005-0000-0000-0000BE040000}"/>
    <cellStyle name="Millares 2 4 5 2" xfId="3972" xr:uid="{8098F5C4-AAD2-45AA-9324-311A1ED0D465}"/>
    <cellStyle name="Millares 2 4 6" xfId="1697" xr:uid="{00000000-0005-0000-0000-0000BF040000}"/>
    <cellStyle name="Millares 2 4 6 2" xfId="4062" xr:uid="{D1C19693-F1DE-4ADB-AEA5-7EB25CA316E7}"/>
    <cellStyle name="Millares 2 4 7" xfId="1790" xr:uid="{00000000-0005-0000-0000-0000C0040000}"/>
    <cellStyle name="Millares 2 4 7 2" xfId="4152" xr:uid="{DB5500F1-3EF2-43D5-82D2-78C602211333}"/>
    <cellStyle name="Millares 2 4 8" xfId="1881" xr:uid="{66275DB5-C254-4406-806D-035B0CA17065}"/>
    <cellStyle name="Millares 2 4 8 2" xfId="4242" xr:uid="{B6C160FC-7643-4D46-B339-F9F9A10D1C4E}"/>
    <cellStyle name="Millares 2 4 9" xfId="1972" xr:uid="{F9F04940-1261-4754-B91F-EC41A625791A}"/>
    <cellStyle name="Millares 2 4 9 2" xfId="4332" xr:uid="{61DCB009-8E66-43A3-AA45-4C323866B2D1}"/>
    <cellStyle name="Millares 2 40" xfId="2741" xr:uid="{19A06542-DE40-46BB-B92E-855E1D37F097}"/>
    <cellStyle name="Millares 2 40 2" xfId="5101" xr:uid="{8D1015BF-572E-4186-B472-5CCDC49CE905}"/>
    <cellStyle name="Millares 2 41" xfId="2831" xr:uid="{A86D7CAD-0073-4C4A-AB92-E00B715A5FFE}"/>
    <cellStyle name="Millares 2 41 2" xfId="5191" xr:uid="{23C50014-0A0C-4F13-A1B7-D8A4FB2C1E55}"/>
    <cellStyle name="Millares 2 42" xfId="2924" xr:uid="{17C90D60-4CDC-47F5-A9A3-C13DF6F17D5D}"/>
    <cellStyle name="Millares 2 42 2" xfId="5284" xr:uid="{DE0F22FD-22C0-46FC-B205-C7C10F36FF59}"/>
    <cellStyle name="Millares 2 43" xfId="3018" xr:uid="{0DB39825-9C64-42ED-BB24-D8EE1C3626F7}"/>
    <cellStyle name="Millares 2 43 2" xfId="5377" xr:uid="{C3E12259-8664-49AE-8229-CF122655ABAA}"/>
    <cellStyle name="Millares 2 44" xfId="3570" xr:uid="{D83D5769-9E0A-4659-BF4A-92F872057795}"/>
    <cellStyle name="Millares 2 5" xfId="1204" xr:uid="{00000000-0005-0000-0000-0000C1040000}"/>
    <cellStyle name="Millares 2 5 10" xfId="2062" xr:uid="{DF54CC7B-6166-4CFE-B196-3B1DEB2C192C}"/>
    <cellStyle name="Millares 2 5 10 2" xfId="4422" xr:uid="{75941E78-9AD4-48CD-9D8C-8FD86498C67D}"/>
    <cellStyle name="Millares 2 5 11" xfId="2153" xr:uid="{9C09CCAD-570B-4998-BB65-24C9284AFE10}"/>
    <cellStyle name="Millares 2 5 11 2" xfId="4513" xr:uid="{2BC062F8-CE78-4F63-9FEB-6FDE46E5E90F}"/>
    <cellStyle name="Millares 2 5 12" xfId="2242" xr:uid="{EC02A398-BE78-403E-9591-2CD4BF9FE1C3}"/>
    <cellStyle name="Millares 2 5 12 2" xfId="4602" xr:uid="{089685E2-8C09-47D3-8062-48B58BE1505A}"/>
    <cellStyle name="Millares 2 5 13" xfId="2332" xr:uid="{49DA9B14-8858-4500-A6DA-5AD20A0E8DE8}"/>
    <cellStyle name="Millares 2 5 13 2" xfId="4692" xr:uid="{470B6DB8-C65D-4271-BEB0-1B44D45E770D}"/>
    <cellStyle name="Millares 2 5 14" xfId="2421" xr:uid="{D7AD7BD5-F467-4032-AFA2-DF58F7469BB1}"/>
    <cellStyle name="Millares 2 5 14 2" xfId="4781" xr:uid="{FBB10699-8841-4079-AC1E-20F273AB86AB}"/>
    <cellStyle name="Millares 2 5 15" xfId="2511" xr:uid="{4D306378-26AD-484B-8EFA-E226DE97BED5}"/>
    <cellStyle name="Millares 2 5 15 2" xfId="4871" xr:uid="{D1E8A9F6-0449-4787-9081-72C54690C29A}"/>
    <cellStyle name="Millares 2 5 16" xfId="2600" xr:uid="{C3134846-83BE-4FB7-BC25-1B52BE77108B}"/>
    <cellStyle name="Millares 2 5 16 2" xfId="4960" xr:uid="{97828786-5315-4B69-9C50-CDF277F15F2E}"/>
    <cellStyle name="Millares 2 5 17" xfId="2690" xr:uid="{9EA074C3-B90C-4B2E-9FA8-AFDC66CCE8FC}"/>
    <cellStyle name="Millares 2 5 17 2" xfId="5050" xr:uid="{98F50B00-B7E3-4F86-8740-F6FF5CC406DC}"/>
    <cellStyle name="Millares 2 5 18" xfId="2780" xr:uid="{1880A0F4-0577-4116-8BD1-8347769EAA6F}"/>
    <cellStyle name="Millares 2 5 18 2" xfId="5140" xr:uid="{338A7441-1526-4FED-9247-3FA50816741D}"/>
    <cellStyle name="Millares 2 5 19" xfId="2870" xr:uid="{7089C9C3-351A-4006-BA51-C8757922AA2C}"/>
    <cellStyle name="Millares 2 5 19 2" xfId="5230" xr:uid="{C7FB2712-09C1-4C2B-96F3-F8E47E3B9049}"/>
    <cellStyle name="Millares 2 5 2" xfId="1330" xr:uid="{00000000-0005-0000-0000-0000C2040000}"/>
    <cellStyle name="Millares 2 5 2 2" xfId="3495" xr:uid="{FAECFDBA-7885-4FD0-8EFC-3F9F20B92932}"/>
    <cellStyle name="Millares 2 5 2 2 2" xfId="5506" xr:uid="{9735D4C7-47DB-4BF4-B4A1-D35E816EEB9D}"/>
    <cellStyle name="Millares 2 5 2 3" xfId="3703" xr:uid="{6F70E572-CD27-4ACA-8EC7-6C8C8BDB4E07}"/>
    <cellStyle name="Millares 2 5 20" xfId="2963" xr:uid="{76F4F122-5255-4631-B368-6B930321FD79}"/>
    <cellStyle name="Millares 2 5 20 2" xfId="5323" xr:uid="{F71A043E-226A-44AA-96E8-8B4963DB4D80}"/>
    <cellStyle name="Millares 2 5 21" xfId="3057" xr:uid="{9E74AB3A-6646-4985-BAF8-8DAADDEFA7DC}"/>
    <cellStyle name="Millares 2 5 21 2" xfId="5416" xr:uid="{40F0BAF7-C727-48E3-9B45-9BFD28F93D9A}"/>
    <cellStyle name="Millares 2 5 22" xfId="3582" xr:uid="{7EBF58FE-0F67-4F85-BB29-1AFC73DA906C}"/>
    <cellStyle name="Millares 2 5 3" xfId="1427" xr:uid="{00000000-0005-0000-0000-0000C3040000}"/>
    <cellStyle name="Millares 2 5 3 2" xfId="3793" xr:uid="{175992AE-FF8F-4E5A-807D-303B70D9CE07}"/>
    <cellStyle name="Millares 2 5 4" xfId="1517" xr:uid="{00000000-0005-0000-0000-0000C4040000}"/>
    <cellStyle name="Millares 2 5 4 2" xfId="3883" xr:uid="{130EDD6D-27BB-4BE0-B17E-4F0643836A34}"/>
    <cellStyle name="Millares 2 5 5" xfId="1607" xr:uid="{00000000-0005-0000-0000-0000C5040000}"/>
    <cellStyle name="Millares 2 5 5 2" xfId="3973" xr:uid="{B5ABB075-1FA0-4C9F-B01C-4CA050D7385C}"/>
    <cellStyle name="Millares 2 5 6" xfId="1698" xr:uid="{00000000-0005-0000-0000-0000C6040000}"/>
    <cellStyle name="Millares 2 5 6 2" xfId="4063" xr:uid="{08E4A3FF-198D-460D-9CAA-1FF48CD14EBD}"/>
    <cellStyle name="Millares 2 5 7" xfId="1791" xr:uid="{00000000-0005-0000-0000-0000C7040000}"/>
    <cellStyle name="Millares 2 5 7 2" xfId="4153" xr:uid="{21105260-1594-4CEB-BEA3-FC107CD7F6C9}"/>
    <cellStyle name="Millares 2 5 8" xfId="1882" xr:uid="{CDD04858-8034-4083-AD9E-10D680C6CDA2}"/>
    <cellStyle name="Millares 2 5 8 2" xfId="4243" xr:uid="{DD5945FF-908C-4146-B3B7-AD59E7988980}"/>
    <cellStyle name="Millares 2 5 9" xfId="1973" xr:uid="{592403F1-4D81-406D-8F25-0A49DD7E7921}"/>
    <cellStyle name="Millares 2 5 9 2" xfId="4333" xr:uid="{DFBBE5F9-7B19-45DA-95A0-69B1897FD895}"/>
    <cellStyle name="Millares 2 6" xfId="1208" xr:uid="{00000000-0005-0000-0000-0000C8040000}"/>
    <cellStyle name="Millares 2 6 10" xfId="2063" xr:uid="{E3B95FC6-0402-4F15-A2B7-9EAD263CA25A}"/>
    <cellStyle name="Millares 2 6 10 2" xfId="4423" xr:uid="{85BBB9BE-F4E5-4504-BA64-01ED1F13B9FB}"/>
    <cellStyle name="Millares 2 6 11" xfId="2154" xr:uid="{C8289CF7-A66B-460B-A481-F1EA6C5C3BFD}"/>
    <cellStyle name="Millares 2 6 11 2" xfId="4514" xr:uid="{60D544F3-7F22-4777-90DB-0442E3ED39BB}"/>
    <cellStyle name="Millares 2 6 12" xfId="2243" xr:uid="{62E15026-4CA0-4C35-84B0-924DAA9871F6}"/>
    <cellStyle name="Millares 2 6 12 2" xfId="4603" xr:uid="{BDD35B60-B480-4B54-96D4-F0E0530B669B}"/>
    <cellStyle name="Millares 2 6 13" xfId="2333" xr:uid="{BA4B985A-F6A5-47B1-AC2F-AEC65289E01B}"/>
    <cellStyle name="Millares 2 6 13 2" xfId="4693" xr:uid="{418CF45C-E6BD-420D-8479-BB9EC7385C54}"/>
    <cellStyle name="Millares 2 6 14" xfId="2422" xr:uid="{79D50ED9-1C81-4BD2-A0A1-A1F2A9044B95}"/>
    <cellStyle name="Millares 2 6 14 2" xfId="4782" xr:uid="{D71F28B6-48E7-404D-B437-B2CA51F6E784}"/>
    <cellStyle name="Millares 2 6 15" xfId="2512" xr:uid="{0612295E-046D-4315-87E0-551F9A05494A}"/>
    <cellStyle name="Millares 2 6 15 2" xfId="4872" xr:uid="{560CA4CD-7AE4-4497-BF44-49B169B17117}"/>
    <cellStyle name="Millares 2 6 16" xfId="2601" xr:uid="{27AAB578-02A3-4C58-AC2B-858E032C93EB}"/>
    <cellStyle name="Millares 2 6 16 2" xfId="4961" xr:uid="{44DD3010-C4E8-47C2-BADF-13B278DF5131}"/>
    <cellStyle name="Millares 2 6 17" xfId="2691" xr:uid="{5AB459A1-2E27-43BD-AB81-ED549E7DC741}"/>
    <cellStyle name="Millares 2 6 17 2" xfId="5051" xr:uid="{E79F3EF0-CB25-4C2D-B7F8-33B9F943F612}"/>
    <cellStyle name="Millares 2 6 18" xfId="2781" xr:uid="{86D9BD37-1910-4932-8043-E5C83050E3BD}"/>
    <cellStyle name="Millares 2 6 18 2" xfId="5141" xr:uid="{5C2AE01C-430A-406C-83ED-8CBC13F93760}"/>
    <cellStyle name="Millares 2 6 19" xfId="2871" xr:uid="{60B73A90-153C-4DED-A313-5E3E7E1A567B}"/>
    <cellStyle name="Millares 2 6 19 2" xfId="5231" xr:uid="{1160B6E1-1CA7-4271-8BF9-F45C8E12644E}"/>
    <cellStyle name="Millares 2 6 2" xfId="1331" xr:uid="{00000000-0005-0000-0000-0000C9040000}"/>
    <cellStyle name="Millares 2 6 2 2" xfId="3496" xr:uid="{21503104-F695-4EFC-A205-ABCE99DD1A71}"/>
    <cellStyle name="Millares 2 6 2 2 2" xfId="5507" xr:uid="{D16ADAA2-B91A-404F-9452-AC57CF6F1FD2}"/>
    <cellStyle name="Millares 2 6 2 3" xfId="3704" xr:uid="{4B74370D-66DF-42A1-8248-E56C85E9EFCB}"/>
    <cellStyle name="Millares 2 6 20" xfId="2964" xr:uid="{34AF9851-E597-4959-885D-4B49E2AD5E13}"/>
    <cellStyle name="Millares 2 6 20 2" xfId="5324" xr:uid="{E225194F-8B7F-4B78-81C3-328EF9A99C29}"/>
    <cellStyle name="Millares 2 6 21" xfId="3058" xr:uid="{EAE87C71-A07E-4627-99D6-33DB89E075C8}"/>
    <cellStyle name="Millares 2 6 21 2" xfId="5417" xr:uid="{8FB9C8C0-757F-46DA-BB28-30E592F7367F}"/>
    <cellStyle name="Millares 2 6 22" xfId="3586" xr:uid="{5A09B9BA-902D-4D48-AD2C-81ECD3324550}"/>
    <cellStyle name="Millares 2 6 3" xfId="1428" xr:uid="{00000000-0005-0000-0000-0000CA040000}"/>
    <cellStyle name="Millares 2 6 3 2" xfId="3794" xr:uid="{81F8BC15-6C95-4B92-9DF6-97BBB2216F48}"/>
    <cellStyle name="Millares 2 6 4" xfId="1518" xr:uid="{00000000-0005-0000-0000-0000CB040000}"/>
    <cellStyle name="Millares 2 6 4 2" xfId="3884" xr:uid="{0DDE2DCC-73A1-4C5B-A108-3F86672101C7}"/>
    <cellStyle name="Millares 2 6 5" xfId="1608" xr:uid="{00000000-0005-0000-0000-0000CC040000}"/>
    <cellStyle name="Millares 2 6 5 2" xfId="3974" xr:uid="{9EDD8C11-21F8-4F5A-85C1-E7D8FDBAA3AF}"/>
    <cellStyle name="Millares 2 6 6" xfId="1699" xr:uid="{00000000-0005-0000-0000-0000CD040000}"/>
    <cellStyle name="Millares 2 6 6 2" xfId="4064" xr:uid="{B5232E30-6BE0-4B3D-976A-090BE77E3CCC}"/>
    <cellStyle name="Millares 2 6 7" xfId="1792" xr:uid="{00000000-0005-0000-0000-0000CE040000}"/>
    <cellStyle name="Millares 2 6 7 2" xfId="4154" xr:uid="{A45B3CFF-C2F7-4C44-A136-B6CC09B22C2C}"/>
    <cellStyle name="Millares 2 6 8" xfId="1883" xr:uid="{D1874A21-9DF1-4422-AA87-70C0AB738AFB}"/>
    <cellStyle name="Millares 2 6 8 2" xfId="4244" xr:uid="{CCAE240D-B813-4B68-94E8-A6C4CB27CF7D}"/>
    <cellStyle name="Millares 2 6 9" xfId="1974" xr:uid="{2C09A551-4270-4444-9883-2AF4EEB0B4BE}"/>
    <cellStyle name="Millares 2 6 9 2" xfId="4334" xr:uid="{B7958EBA-D864-4EA4-A751-3067540B81D0}"/>
    <cellStyle name="Millares 2 7" xfId="1212" xr:uid="{00000000-0005-0000-0000-0000CF040000}"/>
    <cellStyle name="Millares 2 7 10" xfId="2064" xr:uid="{B042E863-BE70-4D90-A681-91958CB1F92C}"/>
    <cellStyle name="Millares 2 7 10 2" xfId="4424" xr:uid="{6BF25526-C9CD-4A14-9FE5-A7F345053034}"/>
    <cellStyle name="Millares 2 7 11" xfId="2155" xr:uid="{35F25ABF-45A9-4215-BE44-CB61EC4B4A7D}"/>
    <cellStyle name="Millares 2 7 11 2" xfId="4515" xr:uid="{11A8C48F-C54F-4788-AEFA-6F632CE5052A}"/>
    <cellStyle name="Millares 2 7 12" xfId="2244" xr:uid="{0C17037D-1E18-46AA-BBA3-671778A8C920}"/>
    <cellStyle name="Millares 2 7 12 2" xfId="4604" xr:uid="{4A6CDDD5-EDA6-4AEE-918C-7CA1DE6FAD16}"/>
    <cellStyle name="Millares 2 7 13" xfId="2334" xr:uid="{C3504752-8AAC-4C82-A0EC-364F989564A6}"/>
    <cellStyle name="Millares 2 7 13 2" xfId="4694" xr:uid="{0D2B71F5-D343-4BCB-9988-4516A96CC6FF}"/>
    <cellStyle name="Millares 2 7 14" xfId="2423" xr:uid="{F391C8F9-2718-4936-9078-F3318D538DEA}"/>
    <cellStyle name="Millares 2 7 14 2" xfId="4783" xr:uid="{DC1FD732-2750-4ABB-80E8-1245D3450140}"/>
    <cellStyle name="Millares 2 7 15" xfId="2513" xr:uid="{89D53919-575F-4A55-BB76-CA29CA61C5EA}"/>
    <cellStyle name="Millares 2 7 15 2" xfId="4873" xr:uid="{758859EF-1A36-444D-BD23-8F68EDE93F79}"/>
    <cellStyle name="Millares 2 7 16" xfId="2602" xr:uid="{7A4B938F-204A-4563-8AAA-90A6A3BC576E}"/>
    <cellStyle name="Millares 2 7 16 2" xfId="4962" xr:uid="{B602BBF3-567B-479F-ADEE-C98AC0D20334}"/>
    <cellStyle name="Millares 2 7 17" xfId="2692" xr:uid="{67B2B7CC-EF03-468B-B122-A1F0127E422C}"/>
    <cellStyle name="Millares 2 7 17 2" xfId="5052" xr:uid="{8EEEBA14-8A74-4170-9B9B-B377225DCE8A}"/>
    <cellStyle name="Millares 2 7 18" xfId="2782" xr:uid="{60C61C00-6EBE-4AA7-8181-195FAEADC294}"/>
    <cellStyle name="Millares 2 7 18 2" xfId="5142" xr:uid="{5C1F8551-5CAF-4E1F-B21B-56EB8A5D027D}"/>
    <cellStyle name="Millares 2 7 19" xfId="2872" xr:uid="{706133DB-C5DA-4795-9A1C-05860F929E62}"/>
    <cellStyle name="Millares 2 7 19 2" xfId="5232" xr:uid="{3D85E2BA-0982-4B63-986B-8EB63C2542BD}"/>
    <cellStyle name="Millares 2 7 2" xfId="1332" xr:uid="{00000000-0005-0000-0000-0000D0040000}"/>
    <cellStyle name="Millares 2 7 2 2" xfId="3497" xr:uid="{3FFAC934-2694-44FC-B581-B27CB7606DCF}"/>
    <cellStyle name="Millares 2 7 2 2 2" xfId="5508" xr:uid="{84C6BD6D-422B-4D69-9C22-6DABFE4D10BC}"/>
    <cellStyle name="Millares 2 7 2 3" xfId="3705" xr:uid="{390EA47A-456E-4504-B0D8-CB3064C07D51}"/>
    <cellStyle name="Millares 2 7 20" xfId="2965" xr:uid="{D4C077FE-B7FE-4331-ADD7-9277212F3651}"/>
    <cellStyle name="Millares 2 7 20 2" xfId="5325" xr:uid="{B3A84F44-418F-4432-8BA6-32B4339B06B1}"/>
    <cellStyle name="Millares 2 7 21" xfId="3059" xr:uid="{99068A5A-7954-457E-AFAA-1A75F41A91BB}"/>
    <cellStyle name="Millares 2 7 21 2" xfId="5418" xr:uid="{6970060D-8593-4839-87AB-3120710D0884}"/>
    <cellStyle name="Millares 2 7 22" xfId="3590" xr:uid="{6164B5DA-12FB-473E-B435-680756F3999C}"/>
    <cellStyle name="Millares 2 7 3" xfId="1429" xr:uid="{00000000-0005-0000-0000-0000D1040000}"/>
    <cellStyle name="Millares 2 7 3 2" xfId="3795" xr:uid="{DF42749D-C4B1-4D29-B7C4-367FCEA59B8A}"/>
    <cellStyle name="Millares 2 7 4" xfId="1519" xr:uid="{00000000-0005-0000-0000-0000D2040000}"/>
    <cellStyle name="Millares 2 7 4 2" xfId="3885" xr:uid="{AA95B50C-11A4-45F1-9D60-1AFB2227A0FA}"/>
    <cellStyle name="Millares 2 7 5" xfId="1609" xr:uid="{00000000-0005-0000-0000-0000D3040000}"/>
    <cellStyle name="Millares 2 7 5 2" xfId="3975" xr:uid="{06EF51F4-C33A-420F-8E83-942982FEA2D8}"/>
    <cellStyle name="Millares 2 7 6" xfId="1700" xr:uid="{00000000-0005-0000-0000-0000D4040000}"/>
    <cellStyle name="Millares 2 7 6 2" xfId="4065" xr:uid="{739CAB67-B04E-4D95-ADA5-8191DE445BF7}"/>
    <cellStyle name="Millares 2 7 7" xfId="1793" xr:uid="{00000000-0005-0000-0000-0000D5040000}"/>
    <cellStyle name="Millares 2 7 7 2" xfId="4155" xr:uid="{D3E5E983-DAB0-4481-9C0C-6F57C5EC1A70}"/>
    <cellStyle name="Millares 2 7 8" xfId="1884" xr:uid="{A0CFBFBA-DB1C-4868-BD5D-D55C8F4FE41F}"/>
    <cellStyle name="Millares 2 7 8 2" xfId="4245" xr:uid="{8C661A92-2F34-4046-B614-3540FD841830}"/>
    <cellStyle name="Millares 2 7 9" xfId="1975" xr:uid="{EC7E0160-AE1C-4542-8851-2BEC49A1D71D}"/>
    <cellStyle name="Millares 2 7 9 2" xfId="4335" xr:uid="{063B2157-5C5A-4D74-B0AD-19253A28E887}"/>
    <cellStyle name="Millares 2 8" xfId="1216" xr:uid="{00000000-0005-0000-0000-0000D6040000}"/>
    <cellStyle name="Millares 2 8 10" xfId="2065" xr:uid="{B976F0E9-E782-405E-9132-271A650B600A}"/>
    <cellStyle name="Millares 2 8 10 2" xfId="4425" xr:uid="{D4B23C1C-1C81-4775-BC64-5352DF2F1E9F}"/>
    <cellStyle name="Millares 2 8 11" xfId="2156" xr:uid="{05AD2762-C5DF-4031-A1C9-A281C60E3AB6}"/>
    <cellStyle name="Millares 2 8 11 2" xfId="4516" xr:uid="{3C0AE7A7-46C0-418E-B416-EA259ACD97CB}"/>
    <cellStyle name="Millares 2 8 12" xfId="2245" xr:uid="{AD442C96-CC39-4789-98CF-B464E6CE177B}"/>
    <cellStyle name="Millares 2 8 12 2" xfId="4605" xr:uid="{318AF9DC-D153-4A47-9BFD-9A8AD3358C06}"/>
    <cellStyle name="Millares 2 8 13" xfId="2335" xr:uid="{4DA305B5-6ADB-447A-A2BB-4FC18F50B408}"/>
    <cellStyle name="Millares 2 8 13 2" xfId="4695" xr:uid="{EF7FC396-E2CA-4BB2-95C0-68FF918B8232}"/>
    <cellStyle name="Millares 2 8 14" xfId="2424" xr:uid="{0243EFEE-5FF1-4658-A855-347F065713A0}"/>
    <cellStyle name="Millares 2 8 14 2" xfId="4784" xr:uid="{CEB477C5-3EB7-41B0-ABBA-815B6B4C0009}"/>
    <cellStyle name="Millares 2 8 15" xfId="2514" xr:uid="{97675343-BADA-4D05-A51F-2F88A7996299}"/>
    <cellStyle name="Millares 2 8 15 2" xfId="4874" xr:uid="{45AA13C6-70BD-4E7F-BEA2-1D775E9478D6}"/>
    <cellStyle name="Millares 2 8 16" xfId="2603" xr:uid="{8CE659D1-7FA1-46BA-9D02-9C467AD043F0}"/>
    <cellStyle name="Millares 2 8 16 2" xfId="4963" xr:uid="{01A3EE99-164A-417D-8652-99785B9928B7}"/>
    <cellStyle name="Millares 2 8 17" xfId="2693" xr:uid="{48C32059-EBD8-446F-A39F-51062DB01A06}"/>
    <cellStyle name="Millares 2 8 17 2" xfId="5053" xr:uid="{33DCB91A-AB54-4D4F-A4C9-705D7B2382F8}"/>
    <cellStyle name="Millares 2 8 18" xfId="2783" xr:uid="{4FC2B58D-684A-4988-8164-35B6CCCA9ECA}"/>
    <cellStyle name="Millares 2 8 18 2" xfId="5143" xr:uid="{92E07115-8907-4793-91C7-C494C8E44289}"/>
    <cellStyle name="Millares 2 8 19" xfId="2873" xr:uid="{EDEF2783-FC84-4A61-A34D-D01C3E256886}"/>
    <cellStyle name="Millares 2 8 19 2" xfId="5233" xr:uid="{8E35701C-C981-4D0F-83C9-41D3DC4CEB93}"/>
    <cellStyle name="Millares 2 8 2" xfId="1333" xr:uid="{00000000-0005-0000-0000-0000D7040000}"/>
    <cellStyle name="Millares 2 8 2 2" xfId="3498" xr:uid="{A9173123-964B-479C-A5E7-458FCA1DC751}"/>
    <cellStyle name="Millares 2 8 2 2 2" xfId="5509" xr:uid="{0EB083CC-1590-47C3-9094-80FB97120812}"/>
    <cellStyle name="Millares 2 8 2 3" xfId="3706" xr:uid="{B21F5789-1D23-4062-9537-52315291261C}"/>
    <cellStyle name="Millares 2 8 20" xfId="2966" xr:uid="{13700231-2C8B-4C92-832F-7D8CC91ABB69}"/>
    <cellStyle name="Millares 2 8 20 2" xfId="5326" xr:uid="{84E45C30-E57E-4A9B-B839-CFFEE6D1BA6D}"/>
    <cellStyle name="Millares 2 8 21" xfId="3060" xr:uid="{D7131E09-3AE2-40B3-AF61-D6AD58C1C815}"/>
    <cellStyle name="Millares 2 8 21 2" xfId="5419" xr:uid="{67575744-EBE9-4DB9-83EB-AD30F32EF8BF}"/>
    <cellStyle name="Millares 2 8 22" xfId="3594" xr:uid="{946F3A7D-5112-43E9-B4A0-F6DBE2372FC9}"/>
    <cellStyle name="Millares 2 8 3" xfId="1430" xr:uid="{00000000-0005-0000-0000-0000D8040000}"/>
    <cellStyle name="Millares 2 8 3 2" xfId="3796" xr:uid="{DC382E54-EE34-4AFC-B4F9-19E492E21ACF}"/>
    <cellStyle name="Millares 2 8 4" xfId="1520" xr:uid="{00000000-0005-0000-0000-0000D9040000}"/>
    <cellStyle name="Millares 2 8 4 2" xfId="3886" xr:uid="{75C5D4AB-8EC9-41AE-85D0-2326BDD8E517}"/>
    <cellStyle name="Millares 2 8 5" xfId="1610" xr:uid="{00000000-0005-0000-0000-0000DA040000}"/>
    <cellStyle name="Millares 2 8 5 2" xfId="3976" xr:uid="{270F6F43-E8FF-4BF3-B03F-3818CE95EC79}"/>
    <cellStyle name="Millares 2 8 6" xfId="1701" xr:uid="{00000000-0005-0000-0000-0000DB040000}"/>
    <cellStyle name="Millares 2 8 6 2" xfId="4066" xr:uid="{3E46D383-44B7-4B8B-A8F2-43C1E2E2E5D3}"/>
    <cellStyle name="Millares 2 8 7" xfId="1794" xr:uid="{00000000-0005-0000-0000-0000DC040000}"/>
    <cellStyle name="Millares 2 8 7 2" xfId="4156" xr:uid="{CA703A31-938D-4781-8B29-1C7C268EEE74}"/>
    <cellStyle name="Millares 2 8 8" xfId="1885" xr:uid="{56B41793-7624-43D2-B789-C4B48E621F96}"/>
    <cellStyle name="Millares 2 8 8 2" xfId="4246" xr:uid="{923A9F59-2552-4718-942C-C03B7981A325}"/>
    <cellStyle name="Millares 2 8 9" xfId="1976" xr:uid="{D2C3BB02-FE0C-456A-BA71-BDAE16A05E93}"/>
    <cellStyle name="Millares 2 8 9 2" xfId="4336" xr:uid="{52EB9295-1ACA-4821-840B-E15D3ADE9991}"/>
    <cellStyle name="Millares 2 9" xfId="1220" xr:uid="{00000000-0005-0000-0000-0000DD040000}"/>
    <cellStyle name="Millares 2 9 10" xfId="2066" xr:uid="{82754A1A-27E3-4663-B947-97D740F1CA85}"/>
    <cellStyle name="Millares 2 9 10 2" xfId="4426" xr:uid="{B639386C-E035-4554-8461-2789D4FC950C}"/>
    <cellStyle name="Millares 2 9 11" xfId="2157" xr:uid="{167E900A-145F-4B7F-BF0F-0CC2D10608DC}"/>
    <cellStyle name="Millares 2 9 11 2" xfId="4517" xr:uid="{F03FFCF0-0854-4AAA-927D-37CDCD691699}"/>
    <cellStyle name="Millares 2 9 12" xfId="2246" xr:uid="{41760B6C-49C5-496F-B7A1-C1D08B26FC4D}"/>
    <cellStyle name="Millares 2 9 12 2" xfId="4606" xr:uid="{172A30D0-C499-45E6-9DB2-AF62F03C0ABA}"/>
    <cellStyle name="Millares 2 9 13" xfId="2336" xr:uid="{9B8777D3-66B6-4718-9DBA-1553F8873F86}"/>
    <cellStyle name="Millares 2 9 13 2" xfId="4696" xr:uid="{EAD27AC7-1F05-4CA5-82A7-A5808BB5B587}"/>
    <cellStyle name="Millares 2 9 14" xfId="2425" xr:uid="{EA91BC80-AE39-445B-A4E0-309749355D77}"/>
    <cellStyle name="Millares 2 9 14 2" xfId="4785" xr:uid="{64F75E44-76F1-4463-855F-5677FA7C3066}"/>
    <cellStyle name="Millares 2 9 15" xfId="2515" xr:uid="{6E25434A-4694-49A9-9181-85006AFD8C43}"/>
    <cellStyle name="Millares 2 9 15 2" xfId="4875" xr:uid="{2579149C-F9FA-4BF9-8089-ABDADCCE299B}"/>
    <cellStyle name="Millares 2 9 16" xfId="2604" xr:uid="{ECDCEE04-FEF4-4928-8384-1700A252C58E}"/>
    <cellStyle name="Millares 2 9 16 2" xfId="4964" xr:uid="{E1FA2B03-74FD-4E3A-86D4-BA85748D8B1B}"/>
    <cellStyle name="Millares 2 9 17" xfId="2694" xr:uid="{0EF9D947-7FBF-4FBF-BBCA-393EBAF5EF7F}"/>
    <cellStyle name="Millares 2 9 17 2" xfId="5054" xr:uid="{F4A6797A-D4FC-44F0-B12B-E8FF07F1773B}"/>
    <cellStyle name="Millares 2 9 18" xfId="2784" xr:uid="{ED1C5674-06F2-4C9A-B5AF-974E64B04A58}"/>
    <cellStyle name="Millares 2 9 18 2" xfId="5144" xr:uid="{14EE0382-B5E1-43CD-AF7F-64DC60ECF7FF}"/>
    <cellStyle name="Millares 2 9 19" xfId="2874" xr:uid="{EC8ED9AD-B0EF-48FB-8EC7-01347AC1930F}"/>
    <cellStyle name="Millares 2 9 19 2" xfId="5234" xr:uid="{73F6A527-B1A5-48DD-95F8-B8F11E4E91D9}"/>
    <cellStyle name="Millares 2 9 2" xfId="1334" xr:uid="{00000000-0005-0000-0000-0000DE040000}"/>
    <cellStyle name="Millares 2 9 2 2" xfId="3499" xr:uid="{AB3D4A94-AEE7-4457-840D-A16C03510C16}"/>
    <cellStyle name="Millares 2 9 2 2 2" xfId="5510" xr:uid="{B59DE3AC-E80E-496D-B491-E16BC5678D10}"/>
    <cellStyle name="Millares 2 9 2 3" xfId="3707" xr:uid="{9C9422E6-D5AA-42CA-9B15-21969CA45C82}"/>
    <cellStyle name="Millares 2 9 20" xfId="2967" xr:uid="{74E95996-75DD-4E96-876B-75E6D1700B09}"/>
    <cellStyle name="Millares 2 9 20 2" xfId="5327" xr:uid="{ECD071EC-18AC-4DDF-B25F-A32E049A74D5}"/>
    <cellStyle name="Millares 2 9 21" xfId="3061" xr:uid="{B115082E-1F3B-43E9-AD36-6FA3CDA2CC15}"/>
    <cellStyle name="Millares 2 9 21 2" xfId="5420" xr:uid="{BEB8441C-6CDE-4418-A404-2BEC67B1D44C}"/>
    <cellStyle name="Millares 2 9 22" xfId="3598" xr:uid="{CE969837-6F42-4388-A3FD-BDF13DF75DB9}"/>
    <cellStyle name="Millares 2 9 3" xfId="1431" xr:uid="{00000000-0005-0000-0000-0000DF040000}"/>
    <cellStyle name="Millares 2 9 3 2" xfId="3797" xr:uid="{0AF6F39A-E7D5-4D9A-8F4D-D14520643D3C}"/>
    <cellStyle name="Millares 2 9 4" xfId="1521" xr:uid="{00000000-0005-0000-0000-0000E0040000}"/>
    <cellStyle name="Millares 2 9 4 2" xfId="3887" xr:uid="{6EC2056C-08B3-4372-BDEA-1640EA7C0CAC}"/>
    <cellStyle name="Millares 2 9 5" xfId="1611" xr:uid="{00000000-0005-0000-0000-0000E1040000}"/>
    <cellStyle name="Millares 2 9 5 2" xfId="3977" xr:uid="{76F0D045-1B27-4BE6-BD4A-DAFC1D0BA28D}"/>
    <cellStyle name="Millares 2 9 6" xfId="1702" xr:uid="{00000000-0005-0000-0000-0000E2040000}"/>
    <cellStyle name="Millares 2 9 6 2" xfId="4067" xr:uid="{A9127321-1AB6-4C89-9C3D-445A9206ADA2}"/>
    <cellStyle name="Millares 2 9 7" xfId="1795" xr:uid="{00000000-0005-0000-0000-0000E3040000}"/>
    <cellStyle name="Millares 2 9 7 2" xfId="4157" xr:uid="{506DD1E8-561B-4902-B511-DCAE2C1D5319}"/>
    <cellStyle name="Millares 2 9 8" xfId="1886" xr:uid="{45770F78-1E72-4A04-97BF-F8600559FB60}"/>
    <cellStyle name="Millares 2 9 8 2" xfId="4247" xr:uid="{A69D54DD-B4A5-4EFC-B498-D67C6BB0982B}"/>
    <cellStyle name="Millares 2 9 9" xfId="1977" xr:uid="{661B4BD7-7F50-4262-97D8-CB0922AEAED4}"/>
    <cellStyle name="Millares 2 9 9 2" xfId="4337" xr:uid="{A4725073-9B72-42AE-82E1-EAF5976F57CB}"/>
    <cellStyle name="Millares 20" xfId="1259" xr:uid="{00000000-0005-0000-0000-0000E4040000}"/>
    <cellStyle name="Millares 20 10" xfId="2067" xr:uid="{F7D97139-E861-48C7-857F-D10A8D28B06F}"/>
    <cellStyle name="Millares 20 10 2" xfId="4427" xr:uid="{A8B2E20B-D4E0-467C-A102-720E5BDC046A}"/>
    <cellStyle name="Millares 20 11" xfId="2158" xr:uid="{B8392DDA-FF72-403A-9CF7-AD95A57267DB}"/>
    <cellStyle name="Millares 20 11 2" xfId="4518" xr:uid="{862E290C-C172-473F-890A-C63E3057D33A}"/>
    <cellStyle name="Millares 20 12" xfId="2247" xr:uid="{B9D0B3D6-9680-44A5-BB36-390EDFB45664}"/>
    <cellStyle name="Millares 20 12 2" xfId="4607" xr:uid="{0E76CB62-2CC8-4DD0-A335-48DF703C47E3}"/>
    <cellStyle name="Millares 20 13" xfId="2337" xr:uid="{F9F5C6ED-E2D3-476D-9AAD-9DD1B09A0F3B}"/>
    <cellStyle name="Millares 20 13 2" xfId="4697" xr:uid="{1C2BBBA4-680D-4B23-9C90-742CD7559411}"/>
    <cellStyle name="Millares 20 14" xfId="2426" xr:uid="{D4874382-C66D-4067-A8B0-8802FB8FF2B8}"/>
    <cellStyle name="Millares 20 14 2" xfId="4786" xr:uid="{02BD7442-58BC-4C6E-88BE-3B82F049B13A}"/>
    <cellStyle name="Millares 20 15" xfId="2516" xr:uid="{8AC4AD20-965F-4145-A9FB-8B3A13B201DD}"/>
    <cellStyle name="Millares 20 15 2" xfId="4876" xr:uid="{8CE1D7F0-37AD-4518-BB55-26FE2B0FD27D}"/>
    <cellStyle name="Millares 20 16" xfId="2605" xr:uid="{DD396A01-9EA4-4BE5-819C-4330149DF5FB}"/>
    <cellStyle name="Millares 20 16 2" xfId="4965" xr:uid="{BB0C05D1-F5FF-4D10-9DCC-1529721FE8BF}"/>
    <cellStyle name="Millares 20 17" xfId="2695" xr:uid="{DA2389D0-FA77-4AF5-BAD2-0919F48F9D65}"/>
    <cellStyle name="Millares 20 17 2" xfId="5055" xr:uid="{6E96D113-5F45-4733-A113-8CA83C29516A}"/>
    <cellStyle name="Millares 20 18" xfId="2785" xr:uid="{A3E3A772-9BDE-4BB4-9AC1-B2E575351CD6}"/>
    <cellStyle name="Millares 20 18 2" xfId="5145" xr:uid="{023B6CD3-BCAB-4AE0-A895-DB493D858D2C}"/>
    <cellStyle name="Millares 20 19" xfId="2875" xr:uid="{832D92D1-0B8B-4917-9C9E-77AA521F868C}"/>
    <cellStyle name="Millares 20 19 2" xfId="5235" xr:uid="{5C3AFC21-920A-41F4-AD86-4F517AB3EA24}"/>
    <cellStyle name="Millares 20 2" xfId="1335" xr:uid="{00000000-0005-0000-0000-0000E5040000}"/>
    <cellStyle name="Millares 20 2 2" xfId="3500" xr:uid="{B5E4BE3E-73B8-4DE8-9F8A-12866242EF27}"/>
    <cellStyle name="Millares 20 2 2 2" xfId="5511" xr:uid="{5AC0F521-2DDB-48A2-9ACD-32AFAEBA0CBE}"/>
    <cellStyle name="Millares 20 2 3" xfId="3708" xr:uid="{027301F3-F8EB-406B-B2C5-A5A29019B4B4}"/>
    <cellStyle name="Millares 20 20" xfId="2968" xr:uid="{B196C91C-2E66-41E6-92AE-7D0C23207BBE}"/>
    <cellStyle name="Millares 20 20 2" xfId="5328" xr:uid="{33D09D3F-3F15-4193-BA53-A8EB427D4383}"/>
    <cellStyle name="Millares 20 21" xfId="3062" xr:uid="{55754E6B-F5D4-47F3-B651-96B2F4D149F0}"/>
    <cellStyle name="Millares 20 21 2" xfId="5421" xr:uid="{F6F6352E-A742-452C-9C63-4FDEE361A71B}"/>
    <cellStyle name="Millares 20 22" xfId="3633" xr:uid="{B0EFBA8E-D602-4BCE-9D6C-116BFE41CE19}"/>
    <cellStyle name="Millares 20 3" xfId="1432" xr:uid="{00000000-0005-0000-0000-0000E6040000}"/>
    <cellStyle name="Millares 20 3 2" xfId="3798" xr:uid="{6DF588B7-E1CC-4307-8375-F1F60A3DF96B}"/>
    <cellStyle name="Millares 20 4" xfId="1522" xr:uid="{00000000-0005-0000-0000-0000E7040000}"/>
    <cellStyle name="Millares 20 4 2" xfId="3888" xr:uid="{EEDE6CC0-C7C0-421C-959E-1F45C61EA625}"/>
    <cellStyle name="Millares 20 5" xfId="1612" xr:uid="{00000000-0005-0000-0000-0000E8040000}"/>
    <cellStyle name="Millares 20 5 2" xfId="3978" xr:uid="{BF4A75C3-3591-4255-B986-3E78775C5195}"/>
    <cellStyle name="Millares 20 6" xfId="1703" xr:uid="{00000000-0005-0000-0000-0000E9040000}"/>
    <cellStyle name="Millares 20 6 2" xfId="4068" xr:uid="{21343CCC-9AE3-4E6B-A173-11EF2075B879}"/>
    <cellStyle name="Millares 20 7" xfId="1796" xr:uid="{00000000-0005-0000-0000-0000EA040000}"/>
    <cellStyle name="Millares 20 7 2" xfId="4158" xr:uid="{CD0BD49F-F0C4-4227-9658-179FE8798609}"/>
    <cellStyle name="Millares 20 8" xfId="1887" xr:uid="{88247505-1778-4670-88BA-EAC4679DE3F3}"/>
    <cellStyle name="Millares 20 8 2" xfId="4248" xr:uid="{A5CEAC19-011E-4692-9A69-F8A1CB8C811B}"/>
    <cellStyle name="Millares 20 9" xfId="1978" xr:uid="{A670F867-3396-4EEA-973F-5954B84E3635}"/>
    <cellStyle name="Millares 20 9 2" xfId="4338" xr:uid="{F9ACBB83-794D-4DA2-BCE6-EBEC29E56477}"/>
    <cellStyle name="Millares 21" xfId="1263" xr:uid="{00000000-0005-0000-0000-0000EB040000}"/>
    <cellStyle name="Millares 21 10" xfId="2068" xr:uid="{A7D2DE42-FBA9-4C0C-A1B0-B0695F9157A3}"/>
    <cellStyle name="Millares 21 10 2" xfId="4428" xr:uid="{F65BD20D-C137-49AB-8A9A-E2CB9DB75D52}"/>
    <cellStyle name="Millares 21 11" xfId="2159" xr:uid="{156B7976-CE50-43F7-91BC-DF0CEA8C31F9}"/>
    <cellStyle name="Millares 21 11 2" xfId="4519" xr:uid="{6F895CF7-717A-40CA-A096-8A1CC1761B3C}"/>
    <cellStyle name="Millares 21 12" xfId="2248" xr:uid="{73AFADB0-26C8-4A2B-8332-2EC25E52353F}"/>
    <cellStyle name="Millares 21 12 2" xfId="4608" xr:uid="{993A0B0E-B05B-4475-96A0-56B56CA0F46B}"/>
    <cellStyle name="Millares 21 13" xfId="2338" xr:uid="{B1F57ACB-A4B6-4F71-964A-3E7176FE9371}"/>
    <cellStyle name="Millares 21 13 2" xfId="4698" xr:uid="{917746C4-12AF-4B5F-8A3B-FA9323A907D0}"/>
    <cellStyle name="Millares 21 14" xfId="2427" xr:uid="{75831D1A-FE92-4CC2-AE44-8B9A617D930D}"/>
    <cellStyle name="Millares 21 14 2" xfId="4787" xr:uid="{E951CB6A-4BD7-4FB7-8901-B5791C40618A}"/>
    <cellStyle name="Millares 21 15" xfId="2517" xr:uid="{94118293-648C-4FCA-87CD-0368D4877217}"/>
    <cellStyle name="Millares 21 15 2" xfId="4877" xr:uid="{EAB3ACF7-FF23-494F-863B-1D98F590EFB7}"/>
    <cellStyle name="Millares 21 16" xfId="2606" xr:uid="{2ACD1289-38FB-4E54-92C2-04166E0FE181}"/>
    <cellStyle name="Millares 21 16 2" xfId="4966" xr:uid="{AE27034E-2B60-4B11-949B-F08A18F233F1}"/>
    <cellStyle name="Millares 21 17" xfId="2696" xr:uid="{B924BDEA-FCBB-4A8F-B352-74310A2C77E2}"/>
    <cellStyle name="Millares 21 17 2" xfId="5056" xr:uid="{C352D3F7-D2D1-45C8-BBA4-DFB7D5E6B27D}"/>
    <cellStyle name="Millares 21 18" xfId="2786" xr:uid="{E7932496-B2B0-463C-BA0D-EC349BA1B85A}"/>
    <cellStyle name="Millares 21 18 2" xfId="5146" xr:uid="{2C47D618-0F65-43BB-ABED-0CEDFE32647F}"/>
    <cellStyle name="Millares 21 19" xfId="2876" xr:uid="{9A677CC4-688C-4EA5-B7D7-57B813CC284D}"/>
    <cellStyle name="Millares 21 19 2" xfId="5236" xr:uid="{5232BFDF-7A75-43A1-8D55-E94764D4E46F}"/>
    <cellStyle name="Millares 21 2" xfId="1336" xr:uid="{00000000-0005-0000-0000-0000EC040000}"/>
    <cellStyle name="Millares 21 2 2" xfId="3501" xr:uid="{91438BF7-110C-4B90-BB47-B3EE44424795}"/>
    <cellStyle name="Millares 21 2 2 2" xfId="5512" xr:uid="{9F240485-A473-4DE8-B27C-521D0AE48E01}"/>
    <cellStyle name="Millares 21 2 3" xfId="3709" xr:uid="{778B87EA-BF8F-49C9-AD7B-A508DAE7ACC4}"/>
    <cellStyle name="Millares 21 20" xfId="2969" xr:uid="{4975AABD-3FA1-4518-9624-99335CD67068}"/>
    <cellStyle name="Millares 21 20 2" xfId="5329" xr:uid="{4DA7B81E-6FA7-4D87-BB14-3DA11A721333}"/>
    <cellStyle name="Millares 21 21" xfId="3063" xr:uid="{46F5F98C-50C3-4994-B946-27DBDBC5C12E}"/>
    <cellStyle name="Millares 21 21 2" xfId="5422" xr:uid="{0ACD2574-FC95-4E55-8782-BCE18FFB9ADD}"/>
    <cellStyle name="Millares 21 22" xfId="3637" xr:uid="{9F8DB140-10A1-4566-B92D-9B9641F34729}"/>
    <cellStyle name="Millares 21 3" xfId="1433" xr:uid="{00000000-0005-0000-0000-0000ED040000}"/>
    <cellStyle name="Millares 21 3 2" xfId="3799" xr:uid="{3AF917BD-FEE9-4B2B-8051-C2FD1068BA5D}"/>
    <cellStyle name="Millares 21 4" xfId="1523" xr:uid="{00000000-0005-0000-0000-0000EE040000}"/>
    <cellStyle name="Millares 21 4 2" xfId="3889" xr:uid="{95C9C080-F1B3-40B8-BFBF-C9023D3ECA95}"/>
    <cellStyle name="Millares 21 5" xfId="1613" xr:uid="{00000000-0005-0000-0000-0000EF040000}"/>
    <cellStyle name="Millares 21 5 2" xfId="3979" xr:uid="{49F9DEA9-A7BE-4D8B-BD31-76E57EACE51F}"/>
    <cellStyle name="Millares 21 6" xfId="1704" xr:uid="{00000000-0005-0000-0000-0000F0040000}"/>
    <cellStyle name="Millares 21 6 2" xfId="4069" xr:uid="{1246BB5D-42F4-4C18-B475-57155975CE1F}"/>
    <cellStyle name="Millares 21 7" xfId="1797" xr:uid="{00000000-0005-0000-0000-0000F1040000}"/>
    <cellStyle name="Millares 21 7 2" xfId="4159" xr:uid="{3DDB4A5B-1E15-4BC7-950A-66322965ADD2}"/>
    <cellStyle name="Millares 21 8" xfId="1888" xr:uid="{7975C405-E0CC-49B2-9A74-CF66DA205EF7}"/>
    <cellStyle name="Millares 21 8 2" xfId="4249" xr:uid="{82563F58-0CDA-4E95-87C9-5327E3D178B4}"/>
    <cellStyle name="Millares 21 9" xfId="1979" xr:uid="{34D4D1DC-D029-490C-9F98-84EC6776C5F9}"/>
    <cellStyle name="Millares 21 9 2" xfId="4339" xr:uid="{05F713D2-F4BD-4C2E-8853-D9B2556527F1}"/>
    <cellStyle name="Millares 22" xfId="1268" xr:uid="{00000000-0005-0000-0000-0000F2040000}"/>
    <cellStyle name="Millares 22 10" xfId="2069" xr:uid="{34FD28A0-D29E-4856-A3D8-030AF53D264F}"/>
    <cellStyle name="Millares 22 10 2" xfId="4429" xr:uid="{4BD46990-6076-4701-91D1-87A853D4C173}"/>
    <cellStyle name="Millares 22 11" xfId="2160" xr:uid="{8A0E62B7-4A86-4162-8B4A-5EBCDD2C54B3}"/>
    <cellStyle name="Millares 22 11 2" xfId="4520" xr:uid="{293C6678-2FFF-485F-8324-70B0B3FC33D7}"/>
    <cellStyle name="Millares 22 12" xfId="2249" xr:uid="{B8BBCAD0-C091-4004-A680-C0F9E39BDC9A}"/>
    <cellStyle name="Millares 22 12 2" xfId="4609" xr:uid="{0D66FE8B-763E-4714-B800-5432F07570A9}"/>
    <cellStyle name="Millares 22 13" xfId="2339" xr:uid="{53025C83-24F1-420F-9509-3546BA590B25}"/>
    <cellStyle name="Millares 22 13 2" xfId="4699" xr:uid="{DB967B8D-5117-4C95-8607-FC114EAA4337}"/>
    <cellStyle name="Millares 22 14" xfId="2428" xr:uid="{028E53AC-C580-4722-BE59-E262158CFD04}"/>
    <cellStyle name="Millares 22 14 2" xfId="4788" xr:uid="{C67E1B63-30EF-4AED-9E84-ACBAEDDB2AD1}"/>
    <cellStyle name="Millares 22 15" xfId="2518" xr:uid="{FF09DCCB-C0E8-4B6E-B264-D32C20EA877C}"/>
    <cellStyle name="Millares 22 15 2" xfId="4878" xr:uid="{0F8BB1A5-3DE7-41B6-AFE9-C8027295C74F}"/>
    <cellStyle name="Millares 22 16" xfId="2607" xr:uid="{0B3F09BA-9E71-4685-AEC0-BAF4A9F3C9B6}"/>
    <cellStyle name="Millares 22 16 2" xfId="4967" xr:uid="{3B4A1C7F-6713-4840-9275-2732846ED694}"/>
    <cellStyle name="Millares 22 17" xfId="2697" xr:uid="{41F175D5-D9D3-479F-886C-282CA9E66692}"/>
    <cellStyle name="Millares 22 17 2" xfId="5057" xr:uid="{F92328A5-7037-4E5C-B810-7669340EB7A6}"/>
    <cellStyle name="Millares 22 18" xfId="2787" xr:uid="{5C80D760-F8B7-464E-A1AA-A1B93A2A47FE}"/>
    <cellStyle name="Millares 22 18 2" xfId="5147" xr:uid="{5350FF1A-CC64-4860-8819-19766999B662}"/>
    <cellStyle name="Millares 22 19" xfId="2877" xr:uid="{8E35C5BD-66CC-46C7-89DA-DC815A71C531}"/>
    <cellStyle name="Millares 22 19 2" xfId="5237" xr:uid="{7575D233-FF80-4903-8DE8-A2B970D655F3}"/>
    <cellStyle name="Millares 22 2" xfId="1337" xr:uid="{00000000-0005-0000-0000-0000F3040000}"/>
    <cellStyle name="Millares 22 2 2" xfId="3502" xr:uid="{8A76F15E-0F18-4C6C-8084-F3ED374A9FEE}"/>
    <cellStyle name="Millares 22 2 2 2" xfId="5513" xr:uid="{77772E7E-8634-470F-BA1A-DE40DF22FDFA}"/>
    <cellStyle name="Millares 22 2 3" xfId="3710" xr:uid="{7C5AFB47-D456-4E5D-93D8-D26271A1DB06}"/>
    <cellStyle name="Millares 22 20" xfId="2970" xr:uid="{CB57D14C-366D-4A57-AE03-8389066DCB03}"/>
    <cellStyle name="Millares 22 20 2" xfId="5330" xr:uid="{2A02A1A2-4FC3-43CC-8D7B-CA09875C51B9}"/>
    <cellStyle name="Millares 22 21" xfId="3064" xr:uid="{05D80887-56F0-4C83-B5B6-0F2A71D67916}"/>
    <cellStyle name="Millares 22 21 2" xfId="5423" xr:uid="{C598AAB9-61D5-45DC-88CA-556915BB8F84}"/>
    <cellStyle name="Millares 22 22" xfId="3641" xr:uid="{43A297A1-5983-449E-B9BD-6239A2E837DF}"/>
    <cellStyle name="Millares 22 3" xfId="1434" xr:uid="{00000000-0005-0000-0000-0000F4040000}"/>
    <cellStyle name="Millares 22 3 2" xfId="3800" xr:uid="{90600E0A-0AF0-4E82-BD34-D70D1C5AD719}"/>
    <cellStyle name="Millares 22 4" xfId="1524" xr:uid="{00000000-0005-0000-0000-0000F5040000}"/>
    <cellStyle name="Millares 22 4 2" xfId="3890" xr:uid="{04256053-6DD4-40DA-B3CC-79F2D73DBBBE}"/>
    <cellStyle name="Millares 22 5" xfId="1614" xr:uid="{00000000-0005-0000-0000-0000F6040000}"/>
    <cellStyle name="Millares 22 5 2" xfId="3980" xr:uid="{BF57D7B8-D6DC-458C-B857-E6ADC197E415}"/>
    <cellStyle name="Millares 22 6" xfId="1705" xr:uid="{00000000-0005-0000-0000-0000F7040000}"/>
    <cellStyle name="Millares 22 6 2" xfId="4070" xr:uid="{E253611D-90E6-4A0B-8EC2-6920D404EF53}"/>
    <cellStyle name="Millares 22 7" xfId="1798" xr:uid="{00000000-0005-0000-0000-0000F8040000}"/>
    <cellStyle name="Millares 22 7 2" xfId="4160" xr:uid="{C2A63A80-AD6F-41F6-94CD-666AFE6FE058}"/>
    <cellStyle name="Millares 22 8" xfId="1889" xr:uid="{D89C4CE7-D7F6-498E-98DA-51D8CA847FF1}"/>
    <cellStyle name="Millares 22 8 2" xfId="4250" xr:uid="{F1383A5F-0AAB-40A4-8EBF-5261BCE8D6CE}"/>
    <cellStyle name="Millares 22 9" xfId="1980" xr:uid="{7F88AB5E-84A9-4EFD-AE7B-57A4E1773D69}"/>
    <cellStyle name="Millares 22 9 2" xfId="4340" xr:uid="{17AC8304-00F1-483F-A54D-21EF457DF050}"/>
    <cellStyle name="Millares 23" xfId="1272" xr:uid="{00000000-0005-0000-0000-0000F9040000}"/>
    <cellStyle name="Millares 23 10" xfId="2070" xr:uid="{49CAB9BF-CEBD-4987-A13B-252FD10AE51C}"/>
    <cellStyle name="Millares 23 10 2" xfId="4430" xr:uid="{03287891-54CF-4562-817C-07A92EB530E2}"/>
    <cellStyle name="Millares 23 11" xfId="2161" xr:uid="{BFCACE47-C0CA-42CC-80D6-C018D121693B}"/>
    <cellStyle name="Millares 23 11 2" xfId="4521" xr:uid="{51611C64-9222-4235-817C-9C6CC1B0BC16}"/>
    <cellStyle name="Millares 23 12" xfId="2250" xr:uid="{B4968561-EAC0-489A-A1C1-F819505BB61E}"/>
    <cellStyle name="Millares 23 12 2" xfId="4610" xr:uid="{49200986-6E05-48C4-9D48-8760F97C298D}"/>
    <cellStyle name="Millares 23 13" xfId="2340" xr:uid="{AF4073D2-760E-4CE2-BB45-3E99710CD7DA}"/>
    <cellStyle name="Millares 23 13 2" xfId="4700" xr:uid="{E7D3DD4C-8782-4769-A267-D635268F0256}"/>
    <cellStyle name="Millares 23 14" xfId="2429" xr:uid="{0E5DB70A-670E-4CFE-8B50-0D5483F999C0}"/>
    <cellStyle name="Millares 23 14 2" xfId="4789" xr:uid="{B152BEDE-01C2-48EE-A6A1-669CC7F8E5EF}"/>
    <cellStyle name="Millares 23 15" xfId="2519" xr:uid="{58214A04-95E2-44C4-B45A-459F864DF941}"/>
    <cellStyle name="Millares 23 15 2" xfId="4879" xr:uid="{82470A1B-6D52-4EDC-B555-7F5B969860A6}"/>
    <cellStyle name="Millares 23 16" xfId="2608" xr:uid="{263490C5-9F1B-454B-9D34-212713C76AE6}"/>
    <cellStyle name="Millares 23 16 2" xfId="4968" xr:uid="{26575AE4-1C42-4B76-9389-686632C219DF}"/>
    <cellStyle name="Millares 23 17" xfId="2698" xr:uid="{3E117659-303F-4328-A8D6-75E3E4FDA2A5}"/>
    <cellStyle name="Millares 23 17 2" xfId="5058" xr:uid="{D545B2AC-BD30-449F-A192-5ED29909B54D}"/>
    <cellStyle name="Millares 23 18" xfId="2788" xr:uid="{F5FBB53F-A2D3-49F3-92BB-D70B9DE798AF}"/>
    <cellStyle name="Millares 23 18 2" xfId="5148" xr:uid="{3086D2DE-DB6D-4A81-9810-91D1387128F0}"/>
    <cellStyle name="Millares 23 19" xfId="2878" xr:uid="{B0830957-7067-4301-B692-10224ECEA8D1}"/>
    <cellStyle name="Millares 23 19 2" xfId="5238" xr:uid="{390CE7DA-ACD5-4725-B0EA-2E1FE9B53B61}"/>
    <cellStyle name="Millares 23 2" xfId="1338" xr:uid="{00000000-0005-0000-0000-0000FA040000}"/>
    <cellStyle name="Millares 23 2 2" xfId="3503" xr:uid="{D20087D1-61E8-48F0-BA93-958CCE6ABF91}"/>
    <cellStyle name="Millares 23 2 2 2" xfId="5514" xr:uid="{62CAE98C-9CEF-42A5-86D7-FB58E9AB9F18}"/>
    <cellStyle name="Millares 23 2 3" xfId="3711" xr:uid="{83B45604-486D-4503-9DE2-150270CD3F21}"/>
    <cellStyle name="Millares 23 20" xfId="2971" xr:uid="{D0A81366-7877-4B89-A341-23443CF668D6}"/>
    <cellStyle name="Millares 23 20 2" xfId="5331" xr:uid="{3DD058A7-C16A-4FF9-A5D2-193DF849B7E5}"/>
    <cellStyle name="Millares 23 21" xfId="3065" xr:uid="{EC0150CE-81BC-487C-B738-CBAAE2D6388E}"/>
    <cellStyle name="Millares 23 21 2" xfId="5424" xr:uid="{09DF20AB-AA47-4D54-A71A-189CEA862C33}"/>
    <cellStyle name="Millares 23 22" xfId="3645" xr:uid="{BE83FD54-2EAE-4928-8C41-4BC024C4F157}"/>
    <cellStyle name="Millares 23 3" xfId="1435" xr:uid="{00000000-0005-0000-0000-0000FB040000}"/>
    <cellStyle name="Millares 23 3 2" xfId="3801" xr:uid="{8C1E06A7-4343-4F71-86D3-1312F4C4B660}"/>
    <cellStyle name="Millares 23 4" xfId="1525" xr:uid="{00000000-0005-0000-0000-0000FC040000}"/>
    <cellStyle name="Millares 23 4 2" xfId="3891" xr:uid="{7249A73E-9DF9-4F31-93FC-BAD5673055FE}"/>
    <cellStyle name="Millares 23 5" xfId="1615" xr:uid="{00000000-0005-0000-0000-0000FD040000}"/>
    <cellStyle name="Millares 23 5 2" xfId="3981" xr:uid="{3CF3CCD5-A05D-446E-B5A6-0B6ED6CEA065}"/>
    <cellStyle name="Millares 23 6" xfId="1706" xr:uid="{00000000-0005-0000-0000-0000FE040000}"/>
    <cellStyle name="Millares 23 6 2" xfId="4071" xr:uid="{A0E76FF0-C018-4D90-B227-552A5518FAAB}"/>
    <cellStyle name="Millares 23 7" xfId="1799" xr:uid="{00000000-0005-0000-0000-0000FF040000}"/>
    <cellStyle name="Millares 23 7 2" xfId="4161" xr:uid="{638385CA-35F0-4659-8A74-FFDDA2F3EFEB}"/>
    <cellStyle name="Millares 23 8" xfId="1890" xr:uid="{9E650ABE-9895-4D70-A729-2F336747ADE1}"/>
    <cellStyle name="Millares 23 8 2" xfId="4251" xr:uid="{9D6FDC20-524D-414B-A046-C32B72116ADE}"/>
    <cellStyle name="Millares 23 9" xfId="1981" xr:uid="{E4A63727-066B-4067-8421-B365D3881F59}"/>
    <cellStyle name="Millares 23 9 2" xfId="4341" xr:uid="{AAD8CAD3-F6E2-4939-AAA4-2D98A2118C9E}"/>
    <cellStyle name="Millares 24" xfId="1276" xr:uid="{00000000-0005-0000-0000-000000050000}"/>
    <cellStyle name="Millares 24 10" xfId="2071" xr:uid="{FCF35D7A-5F01-4653-999F-E7B660E6196C}"/>
    <cellStyle name="Millares 24 10 2" xfId="4431" xr:uid="{A0743A15-0539-4FBB-92E9-A203080D7265}"/>
    <cellStyle name="Millares 24 11" xfId="2162" xr:uid="{FC9FCFC5-4B9E-4BE2-B07D-438633DB3E95}"/>
    <cellStyle name="Millares 24 11 2" xfId="4522" xr:uid="{D57D22EE-0BFB-4210-B010-77D4BB6EC5DF}"/>
    <cellStyle name="Millares 24 12" xfId="2251" xr:uid="{03334E9E-36DE-47AC-A511-59E2F79C7C05}"/>
    <cellStyle name="Millares 24 12 2" xfId="4611" xr:uid="{BE1D3348-25A5-4F76-A158-4015BFC58F67}"/>
    <cellStyle name="Millares 24 13" xfId="2341" xr:uid="{6057BAFC-E9C5-4B61-8A63-FD5DEA736950}"/>
    <cellStyle name="Millares 24 13 2" xfId="4701" xr:uid="{51F5F462-95AA-424F-B7E8-54EB040C828A}"/>
    <cellStyle name="Millares 24 14" xfId="2430" xr:uid="{12469396-EACA-4654-B5EC-07A433E4F1BF}"/>
    <cellStyle name="Millares 24 14 2" xfId="4790" xr:uid="{40667B00-EDA8-41B7-A675-53C296F07309}"/>
    <cellStyle name="Millares 24 15" xfId="2520" xr:uid="{E380A4E8-BDBB-4B8A-A7DE-0B20BAB2B5E8}"/>
    <cellStyle name="Millares 24 15 2" xfId="4880" xr:uid="{AB33C9D3-7A40-4F58-8BA6-4FB2FF36C1DB}"/>
    <cellStyle name="Millares 24 16" xfId="2609" xr:uid="{E30F75E4-BF10-4D70-8130-1F774DF94325}"/>
    <cellStyle name="Millares 24 16 2" xfId="4969" xr:uid="{03A37488-6E76-481C-95F2-8DA4F4743B29}"/>
    <cellStyle name="Millares 24 17" xfId="2699" xr:uid="{CBC1BE3B-C837-4FD6-BCFB-64896EC6D5D9}"/>
    <cellStyle name="Millares 24 17 2" xfId="5059" xr:uid="{63BCF8A7-AB45-43D4-8E69-E17219C263D5}"/>
    <cellStyle name="Millares 24 18" xfId="2789" xr:uid="{3C07E754-0CB3-4832-9D76-E500AD639551}"/>
    <cellStyle name="Millares 24 18 2" xfId="5149" xr:uid="{D189C9E8-FFB7-4ED6-8D6A-4F3DF5350362}"/>
    <cellStyle name="Millares 24 19" xfId="2879" xr:uid="{A56B1080-AC6F-4694-8C0D-5DEA72E64EEB}"/>
    <cellStyle name="Millares 24 19 2" xfId="5239" xr:uid="{7469FED0-EB09-4C75-90A2-AA60ACB7D678}"/>
    <cellStyle name="Millares 24 2" xfId="1339" xr:uid="{00000000-0005-0000-0000-000001050000}"/>
    <cellStyle name="Millares 24 2 2" xfId="3504" xr:uid="{46F59133-4344-4471-8B68-A473FCDDC032}"/>
    <cellStyle name="Millares 24 2 2 2" xfId="5515" xr:uid="{26E0686E-BF9C-4615-9126-B372D1C914F0}"/>
    <cellStyle name="Millares 24 2 3" xfId="3712" xr:uid="{0A8FF963-F88F-4F09-B0F1-611B991C5751}"/>
    <cellStyle name="Millares 24 20" xfId="2972" xr:uid="{18F96114-85E5-4F67-A8F7-3AC53DD89150}"/>
    <cellStyle name="Millares 24 20 2" xfId="5332" xr:uid="{C387E03E-D873-4EDA-9F17-DD66A8FB7FE7}"/>
    <cellStyle name="Millares 24 21" xfId="3066" xr:uid="{9878D445-800C-4F5B-8C50-CDB6445B2577}"/>
    <cellStyle name="Millares 24 21 2" xfId="5425" xr:uid="{DC0CEF49-8C8D-4356-A70D-9E679D54A497}"/>
    <cellStyle name="Millares 24 22" xfId="3649" xr:uid="{923F22D6-3D6B-45BF-91CC-744C9C1EB039}"/>
    <cellStyle name="Millares 24 3" xfId="1436" xr:uid="{00000000-0005-0000-0000-000002050000}"/>
    <cellStyle name="Millares 24 3 2" xfId="3802" xr:uid="{993B9705-93C8-443F-8119-C4304A26A193}"/>
    <cellStyle name="Millares 24 4" xfId="1526" xr:uid="{00000000-0005-0000-0000-000003050000}"/>
    <cellStyle name="Millares 24 4 2" xfId="3892" xr:uid="{A148F0E1-71D4-4AD3-80DA-7DCF2AAB5C45}"/>
    <cellStyle name="Millares 24 5" xfId="1616" xr:uid="{00000000-0005-0000-0000-000004050000}"/>
    <cellStyle name="Millares 24 5 2" xfId="3982" xr:uid="{A914BC9F-231B-4F33-9C3A-BE6CF666AB10}"/>
    <cellStyle name="Millares 24 6" xfId="1707" xr:uid="{00000000-0005-0000-0000-000005050000}"/>
    <cellStyle name="Millares 24 6 2" xfId="4072" xr:uid="{2ED2670A-5851-472B-8748-C3849C43F35B}"/>
    <cellStyle name="Millares 24 7" xfId="1800" xr:uid="{00000000-0005-0000-0000-000006050000}"/>
    <cellStyle name="Millares 24 7 2" xfId="4162" xr:uid="{3D1F062D-2E2B-4740-ADFA-312E34838913}"/>
    <cellStyle name="Millares 24 8" xfId="1891" xr:uid="{D47501C3-6CC3-4ACD-AA96-836D5398BAC7}"/>
    <cellStyle name="Millares 24 8 2" xfId="4252" xr:uid="{4C25CCC3-5C12-4475-946D-A9FD67C471B5}"/>
    <cellStyle name="Millares 24 9" xfId="1982" xr:uid="{087C8C3B-6B49-4349-B794-01267AFEB48F}"/>
    <cellStyle name="Millares 24 9 2" xfId="4342" xr:uid="{236E9992-D3D9-45CA-BF46-FFFDD7A612B4}"/>
    <cellStyle name="Millares 25" xfId="1340" xr:uid="{00000000-0005-0000-0000-000007050000}"/>
    <cellStyle name="Millares 25 10" xfId="2163" xr:uid="{4AFEB01F-B199-4193-8BE8-4EFCD26D8EC0}"/>
    <cellStyle name="Millares 25 10 2" xfId="4523" xr:uid="{DBDE04B8-AAA5-414B-9026-76F7900F7056}"/>
    <cellStyle name="Millares 25 11" xfId="2252" xr:uid="{6640AECD-C134-423C-95DC-DBA3B671B1E1}"/>
    <cellStyle name="Millares 25 11 2" xfId="4612" xr:uid="{992C54E5-EDBA-49D6-8C84-A4EF5ADBB3EA}"/>
    <cellStyle name="Millares 25 12" xfId="2342" xr:uid="{9D426735-8E5A-4DAB-917E-302143F4CD05}"/>
    <cellStyle name="Millares 25 12 2" xfId="4702" xr:uid="{B3F41A32-AD9A-45B9-BC1F-B37B7D9296BB}"/>
    <cellStyle name="Millares 25 13" xfId="2431" xr:uid="{04358BCE-3331-45EC-9910-27FEB468406B}"/>
    <cellStyle name="Millares 25 13 2" xfId="4791" xr:uid="{4042392C-4333-4FC1-9B5A-5C7E4BAD4126}"/>
    <cellStyle name="Millares 25 14" xfId="2521" xr:uid="{06DFE92B-93E5-4728-BF66-6EB818F65A6D}"/>
    <cellStyle name="Millares 25 14 2" xfId="4881" xr:uid="{9232595A-4DF2-41C5-902C-F0EF805A318C}"/>
    <cellStyle name="Millares 25 15" xfId="2610" xr:uid="{6C4EEBD3-1C5A-4188-B93A-D73067704DC7}"/>
    <cellStyle name="Millares 25 15 2" xfId="4970" xr:uid="{624889CE-3DA0-4D3F-87C0-F9E73FBD4758}"/>
    <cellStyle name="Millares 25 16" xfId="2700" xr:uid="{56FB66C6-7227-4466-9D64-6FA93AF04D71}"/>
    <cellStyle name="Millares 25 16 2" xfId="5060" xr:uid="{9E5290B5-1979-4790-8E1F-AC265F955610}"/>
    <cellStyle name="Millares 25 17" xfId="2790" xr:uid="{31CB9CC7-EEEC-40B0-927E-CE45CDD2F416}"/>
    <cellStyle name="Millares 25 17 2" xfId="5150" xr:uid="{58BFBC01-56C2-4F7F-9CE5-300B129E9D15}"/>
    <cellStyle name="Millares 25 18" xfId="2880" xr:uid="{7C8805BC-9E3A-47E1-B655-79549F8BAD60}"/>
    <cellStyle name="Millares 25 18 2" xfId="5240" xr:uid="{A9AECB61-2CBD-44A6-B84A-F5925395448C}"/>
    <cellStyle name="Millares 25 19" xfId="2973" xr:uid="{AEA1DDAA-68D9-45B4-AD54-25657DC9D3EF}"/>
    <cellStyle name="Millares 25 19 2" xfId="5333" xr:uid="{D69E06EC-E80B-4336-81F6-7D0DF5EA403F}"/>
    <cellStyle name="Millares 25 2" xfId="1437" xr:uid="{00000000-0005-0000-0000-000008050000}"/>
    <cellStyle name="Millares 25 2 2" xfId="3505" xr:uid="{6C76C73C-5FB8-4041-8C34-ACD47BA59049}"/>
    <cellStyle name="Millares 25 2 2 2" xfId="5516" xr:uid="{39201CBA-725D-4980-BD5A-E7A84F26D9CA}"/>
    <cellStyle name="Millares 25 2 3" xfId="3803" xr:uid="{6B28E781-C272-4855-B5C5-2B28A1120175}"/>
    <cellStyle name="Millares 25 20" xfId="3067" xr:uid="{8083C10E-F105-4477-A750-3979E150AD6F}"/>
    <cellStyle name="Millares 25 20 2" xfId="5426" xr:uid="{BEE2D761-FA84-4EEB-8847-D554E7908848}"/>
    <cellStyle name="Millares 25 21" xfId="3713" xr:uid="{768CCF3B-5331-4CA0-9782-93A2DE9A9541}"/>
    <cellStyle name="Millares 25 3" xfId="1527" xr:uid="{00000000-0005-0000-0000-000009050000}"/>
    <cellStyle name="Millares 25 3 2" xfId="3893" xr:uid="{BC3DE9DD-7011-4E02-913F-2FEE51715104}"/>
    <cellStyle name="Millares 25 4" xfId="1617" xr:uid="{00000000-0005-0000-0000-00000A050000}"/>
    <cellStyle name="Millares 25 4 2" xfId="3983" xr:uid="{CB257789-A342-43C7-A0DA-80CDB32454C1}"/>
    <cellStyle name="Millares 25 5" xfId="1708" xr:uid="{00000000-0005-0000-0000-00000B050000}"/>
    <cellStyle name="Millares 25 5 2" xfId="4073" xr:uid="{FDD85EB2-26AF-4FF6-87CC-C7B43C53BC7C}"/>
    <cellStyle name="Millares 25 6" xfId="1801" xr:uid="{00000000-0005-0000-0000-00000C050000}"/>
    <cellStyle name="Millares 25 6 2" xfId="4163" xr:uid="{A942CDFB-BF08-4A45-BBBA-890AC2D9501B}"/>
    <cellStyle name="Millares 25 7" xfId="1892" xr:uid="{16814079-0294-4480-89CA-55B9A60B0270}"/>
    <cellStyle name="Millares 25 7 2" xfId="4253" xr:uid="{3230F4B8-DBAA-4851-BCAB-F9F7EDC970DF}"/>
    <cellStyle name="Millares 25 8" xfId="1983" xr:uid="{6D65E1E6-7AB8-42CB-98E1-92371095CDCF}"/>
    <cellStyle name="Millares 25 8 2" xfId="4343" xr:uid="{746DB0EE-91B9-49EF-9777-EEBB6B79600D}"/>
    <cellStyle name="Millares 25 9" xfId="2072" xr:uid="{9716A169-17B9-483C-A75B-27019CF1B94F}"/>
    <cellStyle name="Millares 25 9 2" xfId="4432" xr:uid="{BB6F638E-DCDF-40CE-BAEA-C323B5C92D04}"/>
    <cellStyle name="Millares 26" xfId="1280" xr:uid="{00000000-0005-0000-0000-00000D050000}"/>
    <cellStyle name="Millares 26 2" xfId="3653" xr:uid="{8836A5A0-C5BE-4DEC-9DD9-75B952794010}"/>
    <cellStyle name="Millares 27" xfId="1377" xr:uid="{00000000-0005-0000-0000-00000E050000}"/>
    <cellStyle name="Millares 27 2" xfId="3743" xr:uid="{9C5BFC9E-EE4D-4E39-A4CF-FD22A7B6716A}"/>
    <cellStyle name="Millares 28" xfId="1467" xr:uid="{00000000-0005-0000-0000-00000F050000}"/>
    <cellStyle name="Millares 28 2" xfId="3833" xr:uid="{67B08518-8D43-4565-BC77-879B718670E3}"/>
    <cellStyle name="Millares 29" xfId="3567" xr:uid="{8DD6D864-9B15-4B2F-987E-64AA44C103B2}"/>
    <cellStyle name="Millares 3" xfId="880" xr:uid="{00000000-0005-0000-0000-000010050000}"/>
    <cellStyle name="Millares 3 10" xfId="1230" xr:uid="{00000000-0005-0000-0000-000011050000}"/>
    <cellStyle name="Millares 3 10 10" xfId="2074" xr:uid="{EF89A4A1-AFBA-4028-81E2-2DD2A22BF0CC}"/>
    <cellStyle name="Millares 3 10 10 2" xfId="4434" xr:uid="{5320D37C-22E4-4C88-A6A3-0A141F524C3F}"/>
    <cellStyle name="Millares 3 10 11" xfId="2165" xr:uid="{F2C706E9-84A7-4882-8D05-099BFED6C180}"/>
    <cellStyle name="Millares 3 10 11 2" xfId="4525" xr:uid="{49FF879E-7B6D-42F5-8FF3-F9B03F3B7FBA}"/>
    <cellStyle name="Millares 3 10 12" xfId="2254" xr:uid="{DE1D1B28-B81B-4D27-8063-ECA3F9409A64}"/>
    <cellStyle name="Millares 3 10 12 2" xfId="4614" xr:uid="{6A7A717D-2732-4117-BB44-88B15CD72668}"/>
    <cellStyle name="Millares 3 10 13" xfId="2344" xr:uid="{F5D9AFDE-0AB7-4937-8230-BDC8F15FC990}"/>
    <cellStyle name="Millares 3 10 13 2" xfId="4704" xr:uid="{62079E10-89C2-4A5A-BBAF-46A8CDE99A5E}"/>
    <cellStyle name="Millares 3 10 14" xfId="2433" xr:uid="{2C76A01B-F225-4BB8-AF31-F8BB28AF617F}"/>
    <cellStyle name="Millares 3 10 14 2" xfId="4793" xr:uid="{6FF04B05-2148-48C1-9CE7-C059278DA589}"/>
    <cellStyle name="Millares 3 10 15" xfId="2523" xr:uid="{F3D9416B-EA0B-4616-B381-A1AE7F04DD7E}"/>
    <cellStyle name="Millares 3 10 15 2" xfId="4883" xr:uid="{8341C8FA-9F6B-4185-A122-0F981D87F8FD}"/>
    <cellStyle name="Millares 3 10 16" xfId="2612" xr:uid="{26611AD6-6C9F-49C4-9CE4-790E6F4C773B}"/>
    <cellStyle name="Millares 3 10 16 2" xfId="4972" xr:uid="{F0544567-D4BC-435A-9F46-BFFB47B09DFB}"/>
    <cellStyle name="Millares 3 10 17" xfId="2702" xr:uid="{96FD99F6-89A3-4714-B88C-F7D0F6A6AA5D}"/>
    <cellStyle name="Millares 3 10 17 2" xfId="5062" xr:uid="{5EDC921F-7142-41E2-B089-C084F8897905}"/>
    <cellStyle name="Millares 3 10 18" xfId="2792" xr:uid="{D6D3A8AC-1FA9-48CF-8FD7-27F6694CD37C}"/>
    <cellStyle name="Millares 3 10 18 2" xfId="5152" xr:uid="{A0CBDE88-ECCD-49B0-A3C9-B3B2D940859B}"/>
    <cellStyle name="Millares 3 10 19" xfId="2882" xr:uid="{B9EBAD0A-9A1E-45EA-ACCD-E30A07EC64C0}"/>
    <cellStyle name="Millares 3 10 19 2" xfId="5242" xr:uid="{AC874E64-2431-4DB7-9C7B-843F96B384BC}"/>
    <cellStyle name="Millares 3 10 2" xfId="1342" xr:uid="{00000000-0005-0000-0000-000012050000}"/>
    <cellStyle name="Millares 3 10 2 2" xfId="3507" xr:uid="{22232535-9761-454A-9B1C-C6C78A3370C9}"/>
    <cellStyle name="Millares 3 10 2 2 2" xfId="5518" xr:uid="{43A0ADBA-6692-42E9-A7A5-C434669BF127}"/>
    <cellStyle name="Millares 3 10 2 3" xfId="3715" xr:uid="{68FF3F45-5A50-4A14-8941-366831AE5482}"/>
    <cellStyle name="Millares 3 10 20" xfId="2975" xr:uid="{92E19CA5-229D-4568-8A6C-CA10625BF5B1}"/>
    <cellStyle name="Millares 3 10 20 2" xfId="5335" xr:uid="{2A0002D2-10C2-4621-98A1-65F3A5D37769}"/>
    <cellStyle name="Millares 3 10 21" xfId="3069" xr:uid="{66D89B50-3EB7-4E2B-9A76-405031862FE7}"/>
    <cellStyle name="Millares 3 10 21 2" xfId="5428" xr:uid="{32672656-7A0D-4FF5-8D16-070B8D272C26}"/>
    <cellStyle name="Millares 3 10 22" xfId="3608" xr:uid="{837413FE-F7AB-41F8-9483-7315687A8EF9}"/>
    <cellStyle name="Millares 3 10 3" xfId="1439" xr:uid="{00000000-0005-0000-0000-000013050000}"/>
    <cellStyle name="Millares 3 10 3 2" xfId="3805" xr:uid="{06987A12-6424-4F6F-BF4E-D8C373E09CAF}"/>
    <cellStyle name="Millares 3 10 4" xfId="1529" xr:uid="{00000000-0005-0000-0000-000014050000}"/>
    <cellStyle name="Millares 3 10 4 2" xfId="3895" xr:uid="{30BA8488-4997-48F3-8B15-2ABB2EC74DB9}"/>
    <cellStyle name="Millares 3 10 5" xfId="1619" xr:uid="{00000000-0005-0000-0000-000015050000}"/>
    <cellStyle name="Millares 3 10 5 2" xfId="3985" xr:uid="{60CC5F9F-2F8F-49F6-BCBB-6DCBD5914923}"/>
    <cellStyle name="Millares 3 10 6" xfId="1710" xr:uid="{00000000-0005-0000-0000-000016050000}"/>
    <cellStyle name="Millares 3 10 6 2" xfId="4075" xr:uid="{D99F2E85-ABBE-4398-A9B6-425C2C8043D2}"/>
    <cellStyle name="Millares 3 10 7" xfId="1803" xr:uid="{00000000-0005-0000-0000-000017050000}"/>
    <cellStyle name="Millares 3 10 7 2" xfId="4165" xr:uid="{2195E46A-7161-4182-8255-66C35F97D137}"/>
    <cellStyle name="Millares 3 10 8" xfId="1894" xr:uid="{07FE7395-74D8-4B8A-8FD3-EF8C8B513408}"/>
    <cellStyle name="Millares 3 10 8 2" xfId="4255" xr:uid="{ECEF120C-7059-44A4-A284-F48926E703D9}"/>
    <cellStyle name="Millares 3 10 9" xfId="1985" xr:uid="{C656A113-BF88-495D-B814-7735659F5439}"/>
    <cellStyle name="Millares 3 10 9 2" xfId="4345" xr:uid="{F9E09F2F-5F97-4EDF-BA6C-49103E0B53B2}"/>
    <cellStyle name="Millares 3 11" xfId="1234" xr:uid="{00000000-0005-0000-0000-000018050000}"/>
    <cellStyle name="Millares 3 11 10" xfId="2075" xr:uid="{7874EEFD-7A04-4432-818E-6F230FC6D4DE}"/>
    <cellStyle name="Millares 3 11 10 2" xfId="4435" xr:uid="{D6B797E6-4986-45A4-A23A-26B8857EDCBD}"/>
    <cellStyle name="Millares 3 11 11" xfId="2166" xr:uid="{653C134E-1449-44A3-97D5-88B0FBCD075A}"/>
    <cellStyle name="Millares 3 11 11 2" xfId="4526" xr:uid="{ACAAF310-FBE3-47FA-B965-53233DB9AC2D}"/>
    <cellStyle name="Millares 3 11 12" xfId="2255" xr:uid="{B4470A38-8168-43ED-8460-7571AEFFF6C4}"/>
    <cellStyle name="Millares 3 11 12 2" xfId="4615" xr:uid="{EF4564F0-E9A8-4F86-BCE3-2C6CC553CAA0}"/>
    <cellStyle name="Millares 3 11 13" xfId="2345" xr:uid="{2BB509FD-B968-406E-A482-ED5FD06582B4}"/>
    <cellStyle name="Millares 3 11 13 2" xfId="4705" xr:uid="{5D8BB85F-C90F-4CFF-9C01-C2093FC83F27}"/>
    <cellStyle name="Millares 3 11 14" xfId="2434" xr:uid="{89C40F0E-A13F-4119-91A7-B0EFFB4DACCC}"/>
    <cellStyle name="Millares 3 11 14 2" xfId="4794" xr:uid="{07F9C4AA-05D2-4994-B665-2093BB46D608}"/>
    <cellStyle name="Millares 3 11 15" xfId="2524" xr:uid="{2A07644D-11C9-4352-A171-0E9CEB0B322B}"/>
    <cellStyle name="Millares 3 11 15 2" xfId="4884" xr:uid="{E6A0D7D0-39EE-4146-9F2B-5DA19F28250E}"/>
    <cellStyle name="Millares 3 11 16" xfId="2613" xr:uid="{F6520673-BD41-457D-B723-6936298EAF9E}"/>
    <cellStyle name="Millares 3 11 16 2" xfId="4973" xr:uid="{1AE46393-1861-447A-BFFB-0CF728257219}"/>
    <cellStyle name="Millares 3 11 17" xfId="2703" xr:uid="{9A0B980E-C4BE-4358-90D7-966B2042B67C}"/>
    <cellStyle name="Millares 3 11 17 2" xfId="5063" xr:uid="{D9E1CE60-F1A0-4A24-AA19-76F379639E7E}"/>
    <cellStyle name="Millares 3 11 18" xfId="2793" xr:uid="{1A96104F-C85C-447D-9994-19D5CB99DB04}"/>
    <cellStyle name="Millares 3 11 18 2" xfId="5153" xr:uid="{6130B55B-45D2-4DCE-A1C2-193E4881CD16}"/>
    <cellStyle name="Millares 3 11 19" xfId="2883" xr:uid="{E599CD3F-4EEA-4033-BFAC-549A6D923E68}"/>
    <cellStyle name="Millares 3 11 19 2" xfId="5243" xr:uid="{E57EC37A-96CF-4F70-A551-73385716BAEF}"/>
    <cellStyle name="Millares 3 11 2" xfId="1343" xr:uid="{00000000-0005-0000-0000-000019050000}"/>
    <cellStyle name="Millares 3 11 2 2" xfId="3508" xr:uid="{9C169859-1EF7-4B30-B5A1-260EB64E55D4}"/>
    <cellStyle name="Millares 3 11 2 2 2" xfId="5519" xr:uid="{B5C02F99-1602-472A-8CB8-84A1D45033A2}"/>
    <cellStyle name="Millares 3 11 2 3" xfId="3716" xr:uid="{6F723828-4DE1-47E2-AD6F-63968E5C9658}"/>
    <cellStyle name="Millares 3 11 20" xfId="2976" xr:uid="{A0C9AFDA-1CBC-45B1-827A-61D8F9BB468D}"/>
    <cellStyle name="Millares 3 11 20 2" xfId="5336" xr:uid="{D4FAAC9C-4960-4818-A482-29B96B2CD3DA}"/>
    <cellStyle name="Millares 3 11 21" xfId="3070" xr:uid="{8A4E08BA-81FB-4D86-A167-E198FC22D328}"/>
    <cellStyle name="Millares 3 11 21 2" xfId="5429" xr:uid="{5EFD4DA7-D38D-4177-ABCA-076DD23E5C1A}"/>
    <cellStyle name="Millares 3 11 22" xfId="3612" xr:uid="{8CBB4AF0-D93F-4823-9EA4-936C164F1538}"/>
    <cellStyle name="Millares 3 11 3" xfId="1440" xr:uid="{00000000-0005-0000-0000-00001A050000}"/>
    <cellStyle name="Millares 3 11 3 2" xfId="3806" xr:uid="{045CA106-D78C-4BBC-86B7-F90EEC4B0005}"/>
    <cellStyle name="Millares 3 11 4" xfId="1530" xr:uid="{00000000-0005-0000-0000-00001B050000}"/>
    <cellStyle name="Millares 3 11 4 2" xfId="3896" xr:uid="{83AC140A-FA0D-4539-93A4-64713A55A368}"/>
    <cellStyle name="Millares 3 11 5" xfId="1620" xr:uid="{00000000-0005-0000-0000-00001C050000}"/>
    <cellStyle name="Millares 3 11 5 2" xfId="3986" xr:uid="{BC7A2314-0476-4C57-B0F3-8A941CEC2B47}"/>
    <cellStyle name="Millares 3 11 6" xfId="1711" xr:uid="{00000000-0005-0000-0000-00001D050000}"/>
    <cellStyle name="Millares 3 11 6 2" xfId="4076" xr:uid="{EA18C862-5B3B-499F-96EA-4920C76D81ED}"/>
    <cellStyle name="Millares 3 11 7" xfId="1804" xr:uid="{00000000-0005-0000-0000-00001E050000}"/>
    <cellStyle name="Millares 3 11 7 2" xfId="4166" xr:uid="{1CE14F64-6B51-4CFD-827B-8114C625147A}"/>
    <cellStyle name="Millares 3 11 8" xfId="1895" xr:uid="{49699FC8-5A8B-4E9B-9C7B-17370D9986CE}"/>
    <cellStyle name="Millares 3 11 8 2" xfId="4256" xr:uid="{544603E8-52D9-4485-ADD5-EDFB9AAAC78A}"/>
    <cellStyle name="Millares 3 11 9" xfId="1986" xr:uid="{358C9A81-C725-43C6-9964-0F9C9B9D54D2}"/>
    <cellStyle name="Millares 3 11 9 2" xfId="4346" xr:uid="{438C2B05-0894-485E-9E3C-D9D94279FB3F}"/>
    <cellStyle name="Millares 3 12" xfId="1238" xr:uid="{00000000-0005-0000-0000-00001F050000}"/>
    <cellStyle name="Millares 3 12 10" xfId="2076" xr:uid="{557B1FA6-E90E-4553-B036-BF1BEA3B809F}"/>
    <cellStyle name="Millares 3 12 10 2" xfId="4436" xr:uid="{066F7652-8BC0-485E-833A-635E4C009070}"/>
    <cellStyle name="Millares 3 12 11" xfId="2167" xr:uid="{A7222702-0598-4FD4-9EC3-BC9F9C1CBAE3}"/>
    <cellStyle name="Millares 3 12 11 2" xfId="4527" xr:uid="{1A1FA330-5298-4E29-9E4B-857581BD0017}"/>
    <cellStyle name="Millares 3 12 12" xfId="2256" xr:uid="{4DC60E7A-0A65-42B4-B9D6-D6018DBEC017}"/>
    <cellStyle name="Millares 3 12 12 2" xfId="4616" xr:uid="{85F5E903-9BE2-4390-ABB8-F7B9E89DE5B9}"/>
    <cellStyle name="Millares 3 12 13" xfId="2346" xr:uid="{34030344-4EEF-48EC-B170-9C2BEE3FA201}"/>
    <cellStyle name="Millares 3 12 13 2" xfId="4706" xr:uid="{9D5F3AA7-6946-4E44-945C-594F9C185D6C}"/>
    <cellStyle name="Millares 3 12 14" xfId="2435" xr:uid="{180A7306-2865-4843-813E-26EDF9A56855}"/>
    <cellStyle name="Millares 3 12 14 2" xfId="4795" xr:uid="{9E709AB8-FFE5-4782-B3D8-DCFD91148389}"/>
    <cellStyle name="Millares 3 12 15" xfId="2525" xr:uid="{A05AE33E-9ED4-4EDB-88CA-620E5516FCC5}"/>
    <cellStyle name="Millares 3 12 15 2" xfId="4885" xr:uid="{97310B0A-1774-48EA-8A66-000D191FD87A}"/>
    <cellStyle name="Millares 3 12 16" xfId="2614" xr:uid="{1EEC4A2A-5641-46BE-BC7F-138FAA0BC56A}"/>
    <cellStyle name="Millares 3 12 16 2" xfId="4974" xr:uid="{D67AE56E-AFF8-4BE3-8545-90DB7622D9EC}"/>
    <cellStyle name="Millares 3 12 17" xfId="2704" xr:uid="{BC1E52AA-D1F1-492B-AA9B-36D51BE9E97A}"/>
    <cellStyle name="Millares 3 12 17 2" xfId="5064" xr:uid="{D2F604E2-58D8-4415-B665-C8F2CF353BFD}"/>
    <cellStyle name="Millares 3 12 18" xfId="2794" xr:uid="{103E297C-2D46-4234-9C02-29429F4AC82C}"/>
    <cellStyle name="Millares 3 12 18 2" xfId="5154" xr:uid="{39C76E73-3D51-4492-988F-AC69A2DC3497}"/>
    <cellStyle name="Millares 3 12 19" xfId="2884" xr:uid="{0C361457-9D54-4E63-B928-08C8EBB365C4}"/>
    <cellStyle name="Millares 3 12 19 2" xfId="5244" xr:uid="{3E956C61-7E8A-4206-A7CA-6C8E8C1F696F}"/>
    <cellStyle name="Millares 3 12 2" xfId="1344" xr:uid="{00000000-0005-0000-0000-000020050000}"/>
    <cellStyle name="Millares 3 12 2 2" xfId="3509" xr:uid="{F173344D-8A87-40EB-B1BE-6F45C91E12C6}"/>
    <cellStyle name="Millares 3 12 2 2 2" xfId="5520" xr:uid="{AE0A1EA0-B441-4BD3-A961-F3ED44EAE066}"/>
    <cellStyle name="Millares 3 12 2 3" xfId="3717" xr:uid="{85A738AB-0147-499D-AF13-03D9AD38D2CA}"/>
    <cellStyle name="Millares 3 12 20" xfId="2977" xr:uid="{569541A8-C48B-466B-955A-DF596F006332}"/>
    <cellStyle name="Millares 3 12 20 2" xfId="5337" xr:uid="{DAF7429B-544C-43AE-838A-FD536466D863}"/>
    <cellStyle name="Millares 3 12 21" xfId="3071" xr:uid="{B13BD016-3CBB-4E0C-AD03-FCB79261DB64}"/>
    <cellStyle name="Millares 3 12 21 2" xfId="5430" xr:uid="{E9054C12-0D20-4D9A-AB80-48E255789DC6}"/>
    <cellStyle name="Millares 3 12 22" xfId="3616" xr:uid="{C958A37C-CA86-4FAB-9ACA-20EF084D6CF2}"/>
    <cellStyle name="Millares 3 12 3" xfId="1441" xr:uid="{00000000-0005-0000-0000-000021050000}"/>
    <cellStyle name="Millares 3 12 3 2" xfId="3807" xr:uid="{10C6DB0D-D84B-4B9D-A0DE-8E0D3B1884AD}"/>
    <cellStyle name="Millares 3 12 4" xfId="1531" xr:uid="{00000000-0005-0000-0000-000022050000}"/>
    <cellStyle name="Millares 3 12 4 2" xfId="3897" xr:uid="{738ADD36-F332-446B-BA30-6BFCCDAF139D}"/>
    <cellStyle name="Millares 3 12 5" xfId="1621" xr:uid="{00000000-0005-0000-0000-000023050000}"/>
    <cellStyle name="Millares 3 12 5 2" xfId="3987" xr:uid="{FC73700F-FCEE-47FF-A666-96CE7E03B4F9}"/>
    <cellStyle name="Millares 3 12 6" xfId="1712" xr:uid="{00000000-0005-0000-0000-000024050000}"/>
    <cellStyle name="Millares 3 12 6 2" xfId="4077" xr:uid="{1E83782A-3D1A-4E66-81DA-95262068F344}"/>
    <cellStyle name="Millares 3 12 7" xfId="1805" xr:uid="{00000000-0005-0000-0000-000025050000}"/>
    <cellStyle name="Millares 3 12 7 2" xfId="4167" xr:uid="{BCB6F640-61F8-4A1C-83E4-D6225E4C9D88}"/>
    <cellStyle name="Millares 3 12 8" xfId="1896" xr:uid="{BB10E47D-1D96-4B26-A395-CFB0E88DAA90}"/>
    <cellStyle name="Millares 3 12 8 2" xfId="4257" xr:uid="{B1770982-EB01-4032-9C03-4F1E2C0DA540}"/>
    <cellStyle name="Millares 3 12 9" xfId="1987" xr:uid="{E418F3E4-B917-4A9A-889D-A680E95D5D34}"/>
    <cellStyle name="Millares 3 12 9 2" xfId="4347" xr:uid="{4D3F1E6D-EE32-41C3-B4A6-89F262D12CB4}"/>
    <cellStyle name="Millares 3 13" xfId="1243" xr:uid="{00000000-0005-0000-0000-000026050000}"/>
    <cellStyle name="Millares 3 13 10" xfId="2077" xr:uid="{2775471A-A6F3-4BB5-A6F6-660980C69EE4}"/>
    <cellStyle name="Millares 3 13 10 2" xfId="4437" xr:uid="{D0A0F531-FD9B-40E4-825F-E152E8D5427F}"/>
    <cellStyle name="Millares 3 13 11" xfId="2168" xr:uid="{4006BC55-3158-4212-B6C0-0E08E305C04F}"/>
    <cellStyle name="Millares 3 13 11 2" xfId="4528" xr:uid="{32AE78B6-D295-4FB7-AFB4-85B4240F87EF}"/>
    <cellStyle name="Millares 3 13 12" xfId="2257" xr:uid="{7A75C99F-4E58-4F53-9046-04CC99626B60}"/>
    <cellStyle name="Millares 3 13 12 2" xfId="4617" xr:uid="{7EA16773-314E-4BD6-A27A-FA0189B7F5D6}"/>
    <cellStyle name="Millares 3 13 13" xfId="2347" xr:uid="{FAD03DEF-338E-4085-BF5E-03272AD86FD2}"/>
    <cellStyle name="Millares 3 13 13 2" xfId="4707" xr:uid="{B07D3047-21EB-48CE-9A33-BDCE2E109750}"/>
    <cellStyle name="Millares 3 13 14" xfId="2436" xr:uid="{A6A3C166-F4BB-4530-A69F-4A86B9A46564}"/>
    <cellStyle name="Millares 3 13 14 2" xfId="4796" xr:uid="{251EEEF5-FD2C-4DA3-8C9D-4C76048E3AF6}"/>
    <cellStyle name="Millares 3 13 15" xfId="2526" xr:uid="{FFE72087-7C23-4875-BDDE-35D6BC1DA3A5}"/>
    <cellStyle name="Millares 3 13 15 2" xfId="4886" xr:uid="{036466BC-DB05-488F-8A1C-2D48968D3EB7}"/>
    <cellStyle name="Millares 3 13 16" xfId="2615" xr:uid="{549ECE6E-959B-476A-A420-67D25386EE31}"/>
    <cellStyle name="Millares 3 13 16 2" xfId="4975" xr:uid="{DBA7F9BD-2528-46EA-A286-9B7C1B7E9B8C}"/>
    <cellStyle name="Millares 3 13 17" xfId="2705" xr:uid="{96B3E0B5-BD6C-44A6-852F-43F98DC1705E}"/>
    <cellStyle name="Millares 3 13 17 2" xfId="5065" xr:uid="{0DBD1664-D0AA-4CF5-A452-20F33BF3FD53}"/>
    <cellStyle name="Millares 3 13 18" xfId="2795" xr:uid="{1846C68E-F23A-4DE9-B88D-CD1DE3E43F7E}"/>
    <cellStyle name="Millares 3 13 18 2" xfId="5155" xr:uid="{0AF659F5-9067-4BAD-ADE2-B9D5FCF80CAF}"/>
    <cellStyle name="Millares 3 13 19" xfId="2885" xr:uid="{12198EAD-4F7C-4AB8-8775-F9CF8C2756FD}"/>
    <cellStyle name="Millares 3 13 19 2" xfId="5245" xr:uid="{12A8A626-6601-4BDB-899D-4F1CD0480979}"/>
    <cellStyle name="Millares 3 13 2" xfId="1345" xr:uid="{00000000-0005-0000-0000-000027050000}"/>
    <cellStyle name="Millares 3 13 2 2" xfId="3510" xr:uid="{A064E147-5949-4369-B5BB-3594153E7D16}"/>
    <cellStyle name="Millares 3 13 2 2 2" xfId="5521" xr:uid="{44038BEF-B737-4CB7-B2C6-9EB637693638}"/>
    <cellStyle name="Millares 3 13 2 3" xfId="3718" xr:uid="{1C91CB67-5EAB-423A-B7CB-41BF15729DCA}"/>
    <cellStyle name="Millares 3 13 20" xfId="2978" xr:uid="{45855CAE-FF16-4694-8680-DD204AAC55CE}"/>
    <cellStyle name="Millares 3 13 20 2" xfId="5338" xr:uid="{9AF8FC45-AA1D-4B50-B87A-1A224CC04977}"/>
    <cellStyle name="Millares 3 13 21" xfId="3072" xr:uid="{B1E27756-98B3-4E48-BB6F-09915BC595AF}"/>
    <cellStyle name="Millares 3 13 21 2" xfId="5431" xr:uid="{F35116CF-4C5F-4794-9150-8D10B3D27DEF}"/>
    <cellStyle name="Millares 3 13 22" xfId="3620" xr:uid="{DB1470C2-384E-40BF-B4CF-1CCF0FBD118A}"/>
    <cellStyle name="Millares 3 13 3" xfId="1442" xr:uid="{00000000-0005-0000-0000-000028050000}"/>
    <cellStyle name="Millares 3 13 3 2" xfId="3808" xr:uid="{C8EB28D0-8E93-496E-9858-27F35AC04A81}"/>
    <cellStyle name="Millares 3 13 4" xfId="1532" xr:uid="{00000000-0005-0000-0000-000029050000}"/>
    <cellStyle name="Millares 3 13 4 2" xfId="3898" xr:uid="{8A842E0E-9BAC-44F5-9911-90E5E0D91D4D}"/>
    <cellStyle name="Millares 3 13 5" xfId="1622" xr:uid="{00000000-0005-0000-0000-00002A050000}"/>
    <cellStyle name="Millares 3 13 5 2" xfId="3988" xr:uid="{014378AF-7650-44BC-90B0-9E230771A651}"/>
    <cellStyle name="Millares 3 13 6" xfId="1713" xr:uid="{00000000-0005-0000-0000-00002B050000}"/>
    <cellStyle name="Millares 3 13 6 2" xfId="4078" xr:uid="{B9929D47-6DC4-4C8D-A1C4-C92B24489E36}"/>
    <cellStyle name="Millares 3 13 7" xfId="1806" xr:uid="{00000000-0005-0000-0000-00002C050000}"/>
    <cellStyle name="Millares 3 13 7 2" xfId="4168" xr:uid="{0DB0F370-E828-401A-90C9-D283F1340AC0}"/>
    <cellStyle name="Millares 3 13 8" xfId="1897" xr:uid="{6B064132-2151-4107-8735-7D5AAB04756C}"/>
    <cellStyle name="Millares 3 13 8 2" xfId="4258" xr:uid="{3A70A7C3-0444-4A83-A11C-D81FD1E7FB39}"/>
    <cellStyle name="Millares 3 13 9" xfId="1988" xr:uid="{8F0ED0CD-3F5C-443B-A3F7-8CA6548A5C2F}"/>
    <cellStyle name="Millares 3 13 9 2" xfId="4348" xr:uid="{6A696134-A7CF-447C-8A69-9098AF072124}"/>
    <cellStyle name="Millares 3 14" xfId="1248" xr:uid="{00000000-0005-0000-0000-00002D050000}"/>
    <cellStyle name="Millares 3 14 10" xfId="2078" xr:uid="{B7837B38-A3D3-41E3-A9FB-FF10CE65329D}"/>
    <cellStyle name="Millares 3 14 10 2" xfId="4438" xr:uid="{76E2AB0B-37EE-4728-AF23-6CA2962F928B}"/>
    <cellStyle name="Millares 3 14 11" xfId="2169" xr:uid="{4FF4AE18-DE98-4C63-816A-0F1C8C7FEF3D}"/>
    <cellStyle name="Millares 3 14 11 2" xfId="4529" xr:uid="{4D306652-5612-4FC5-A73B-E58DA4CA45DB}"/>
    <cellStyle name="Millares 3 14 12" xfId="2258" xr:uid="{F2ED4B93-CFD3-476F-9279-EAC9429FE7DD}"/>
    <cellStyle name="Millares 3 14 12 2" xfId="4618" xr:uid="{ABB7AAF7-08A0-4B5A-90AF-3444EDAE5291}"/>
    <cellStyle name="Millares 3 14 13" xfId="2348" xr:uid="{6C3F69DD-27BC-4F93-B860-224AA4C9E208}"/>
    <cellStyle name="Millares 3 14 13 2" xfId="4708" xr:uid="{05341EBF-95E4-4397-8F19-48E82FC6F89D}"/>
    <cellStyle name="Millares 3 14 14" xfId="2437" xr:uid="{DC314B86-5C65-4C59-9370-1640CCC26D20}"/>
    <cellStyle name="Millares 3 14 14 2" xfId="4797" xr:uid="{F6F17DA9-0E94-42CC-9D94-C4C70EA1A52E}"/>
    <cellStyle name="Millares 3 14 15" xfId="2527" xr:uid="{FE0A3708-0BB2-44D0-9786-21AC9F1DFFEF}"/>
    <cellStyle name="Millares 3 14 15 2" xfId="4887" xr:uid="{C12AEEF5-F685-42F1-A044-B63790A275FA}"/>
    <cellStyle name="Millares 3 14 16" xfId="2616" xr:uid="{75429B1F-DA91-4600-881A-D6BEDB2E6B3D}"/>
    <cellStyle name="Millares 3 14 16 2" xfId="4976" xr:uid="{022A8256-8B2A-4E1A-B8CB-664350F5A096}"/>
    <cellStyle name="Millares 3 14 17" xfId="2706" xr:uid="{659C5BA0-70DC-4916-BBC7-443DCB4EFFD4}"/>
    <cellStyle name="Millares 3 14 17 2" xfId="5066" xr:uid="{398D78B6-B0D5-49F7-9CCE-315EE9F4C779}"/>
    <cellStyle name="Millares 3 14 18" xfId="2796" xr:uid="{340E8FF9-52FC-4021-BADA-E89C383C5897}"/>
    <cellStyle name="Millares 3 14 18 2" xfId="5156" xr:uid="{FAC41325-9E95-420F-BE68-426E48F6A2A2}"/>
    <cellStyle name="Millares 3 14 19" xfId="2886" xr:uid="{D9B61BB8-2345-4BD4-B9F2-4E152E71B7AD}"/>
    <cellStyle name="Millares 3 14 19 2" xfId="5246" xr:uid="{1F4B6BEA-E962-4CB8-A30D-D380A17B0FF1}"/>
    <cellStyle name="Millares 3 14 2" xfId="1346" xr:uid="{00000000-0005-0000-0000-00002E050000}"/>
    <cellStyle name="Millares 3 14 2 2" xfId="3511" xr:uid="{FAAF14B2-1775-45A3-8526-67598EFBB32F}"/>
    <cellStyle name="Millares 3 14 2 2 2" xfId="5522" xr:uid="{B4D4A4F0-9839-4D72-BC8D-BFC6E24B105A}"/>
    <cellStyle name="Millares 3 14 2 3" xfId="3719" xr:uid="{EF422332-EBEC-4979-AAD7-FA41B4128B79}"/>
    <cellStyle name="Millares 3 14 20" xfId="2979" xr:uid="{27A9735F-E3A0-4C17-BC17-139529CE818F}"/>
    <cellStyle name="Millares 3 14 20 2" xfId="5339" xr:uid="{B790E9D6-EDD2-45B5-A71C-7176D61AD8E2}"/>
    <cellStyle name="Millares 3 14 21" xfId="3073" xr:uid="{15255AE3-BABC-4BB8-94B1-F0876FE023E2}"/>
    <cellStyle name="Millares 3 14 21 2" xfId="5432" xr:uid="{8D4AB16F-87C9-40D8-8354-BBBE657E0EA4}"/>
    <cellStyle name="Millares 3 14 22" xfId="3624" xr:uid="{4311DA80-272A-4149-8BF7-5AAC92519482}"/>
    <cellStyle name="Millares 3 14 3" xfId="1443" xr:uid="{00000000-0005-0000-0000-00002F050000}"/>
    <cellStyle name="Millares 3 14 3 2" xfId="3809" xr:uid="{CB71861E-6C13-4BA3-BE4C-21EB7E989F5E}"/>
    <cellStyle name="Millares 3 14 4" xfId="1533" xr:uid="{00000000-0005-0000-0000-000030050000}"/>
    <cellStyle name="Millares 3 14 4 2" xfId="3899" xr:uid="{9E5108DC-5E05-4307-A73E-F4ACF55A4DB3}"/>
    <cellStyle name="Millares 3 14 5" xfId="1623" xr:uid="{00000000-0005-0000-0000-000031050000}"/>
    <cellStyle name="Millares 3 14 5 2" xfId="3989" xr:uid="{080E9FF8-5ECC-4304-9783-94212D79A24D}"/>
    <cellStyle name="Millares 3 14 6" xfId="1714" xr:uid="{00000000-0005-0000-0000-000032050000}"/>
    <cellStyle name="Millares 3 14 6 2" xfId="4079" xr:uid="{675C83B3-CDC6-438D-8F6F-1A6F739FFEDC}"/>
    <cellStyle name="Millares 3 14 7" xfId="1807" xr:uid="{00000000-0005-0000-0000-000033050000}"/>
    <cellStyle name="Millares 3 14 7 2" xfId="4169" xr:uid="{DC062C69-4E92-41B5-97E3-34EF56EBD44E}"/>
    <cellStyle name="Millares 3 14 8" xfId="1898" xr:uid="{00D44AEF-2E43-4629-A33E-BD9792388089}"/>
    <cellStyle name="Millares 3 14 8 2" xfId="4259" xr:uid="{B3B47DA5-DFCF-45D9-BD52-F1B9094ADE83}"/>
    <cellStyle name="Millares 3 14 9" xfId="1989" xr:uid="{CEC74E9D-2B0E-4012-8069-3A0F3156AE54}"/>
    <cellStyle name="Millares 3 14 9 2" xfId="4349" xr:uid="{FEC2C3DC-B2E4-4037-9249-82D3FF12ED2F}"/>
    <cellStyle name="Millares 3 15" xfId="1253" xr:uid="{00000000-0005-0000-0000-000034050000}"/>
    <cellStyle name="Millares 3 15 10" xfId="2079" xr:uid="{47AB296C-EAE6-4B59-A672-755465BE8D75}"/>
    <cellStyle name="Millares 3 15 10 2" xfId="4439" xr:uid="{E11B6C15-E0C3-4ADF-8C36-5766036543AA}"/>
    <cellStyle name="Millares 3 15 11" xfId="2170" xr:uid="{0FAE85E3-0BC9-4283-8390-A4076DF03C46}"/>
    <cellStyle name="Millares 3 15 11 2" xfId="4530" xr:uid="{0694E150-25FA-4024-8C4C-704DA5A16AA4}"/>
    <cellStyle name="Millares 3 15 12" xfId="2259" xr:uid="{68C788B8-68EC-4518-8407-A414BF32F2BB}"/>
    <cellStyle name="Millares 3 15 12 2" xfId="4619" xr:uid="{545A608E-22F7-4643-8165-82053E30E129}"/>
    <cellStyle name="Millares 3 15 13" xfId="2349" xr:uid="{EB2B0D4D-1E93-4909-BF1E-F8113D0335EB}"/>
    <cellStyle name="Millares 3 15 13 2" xfId="4709" xr:uid="{F88AE64E-08C3-40DE-A807-201C710E9D7D}"/>
    <cellStyle name="Millares 3 15 14" xfId="2438" xr:uid="{1DC88457-8B1B-4814-A6B7-CA2D95338D1B}"/>
    <cellStyle name="Millares 3 15 14 2" xfId="4798" xr:uid="{B10678E2-A733-4902-AF00-563A708F2810}"/>
    <cellStyle name="Millares 3 15 15" xfId="2528" xr:uid="{F4BEBA89-0B27-40F5-888F-4311FCA4D7AF}"/>
    <cellStyle name="Millares 3 15 15 2" xfId="4888" xr:uid="{F0F7C1B1-F891-4611-ABB7-A1F7C885B0C8}"/>
    <cellStyle name="Millares 3 15 16" xfId="2617" xr:uid="{37EAD68C-2A36-4A3A-A54E-4CE1D38C5ECF}"/>
    <cellStyle name="Millares 3 15 16 2" xfId="4977" xr:uid="{9654F0BC-4CC7-4452-85D1-F6C1C9E11128}"/>
    <cellStyle name="Millares 3 15 17" xfId="2707" xr:uid="{B8424F40-C580-4B5C-9CFE-C024B00487D3}"/>
    <cellStyle name="Millares 3 15 17 2" xfId="5067" xr:uid="{45BAB169-2C16-4F8E-BF94-88605DEB9130}"/>
    <cellStyle name="Millares 3 15 18" xfId="2797" xr:uid="{159FD95F-411E-4C39-9D80-6AA4A463DE9B}"/>
    <cellStyle name="Millares 3 15 18 2" xfId="5157" xr:uid="{9AF7E662-C607-4A96-9A9F-4EC19254507D}"/>
    <cellStyle name="Millares 3 15 19" xfId="2887" xr:uid="{F1AA8FF4-2B0C-4E7E-9AFB-81C253997F67}"/>
    <cellStyle name="Millares 3 15 19 2" xfId="5247" xr:uid="{0A482437-CCC6-4FCD-9136-52C12024DDD9}"/>
    <cellStyle name="Millares 3 15 2" xfId="1347" xr:uid="{00000000-0005-0000-0000-000035050000}"/>
    <cellStyle name="Millares 3 15 2 2" xfId="3512" xr:uid="{DE355F8C-D5C6-4BA2-B75D-F806825E49F6}"/>
    <cellStyle name="Millares 3 15 2 2 2" xfId="5523" xr:uid="{EBA003BA-D706-4E7D-A503-1142B60A5B0A}"/>
    <cellStyle name="Millares 3 15 2 3" xfId="3720" xr:uid="{B06D562F-4ACD-4102-8F13-9A0453EF0D26}"/>
    <cellStyle name="Millares 3 15 20" xfId="2980" xr:uid="{FB43AAE6-2ADC-4805-A9DD-192841B30A94}"/>
    <cellStyle name="Millares 3 15 20 2" xfId="5340" xr:uid="{D207D5AD-F001-417A-BF53-F79657B5ABCD}"/>
    <cellStyle name="Millares 3 15 21" xfId="3074" xr:uid="{F5AF6467-335E-4131-934F-D00F081F9F48}"/>
    <cellStyle name="Millares 3 15 21 2" xfId="5433" xr:uid="{6369E51F-1903-4A20-8671-D5B0A818EB70}"/>
    <cellStyle name="Millares 3 15 22" xfId="3628" xr:uid="{DA8C280A-AF77-4D06-8ABF-C66F8A404514}"/>
    <cellStyle name="Millares 3 15 3" xfId="1444" xr:uid="{00000000-0005-0000-0000-000036050000}"/>
    <cellStyle name="Millares 3 15 3 2" xfId="3810" xr:uid="{37CFD7C3-C294-4A7F-ACF1-1FA812B76467}"/>
    <cellStyle name="Millares 3 15 4" xfId="1534" xr:uid="{00000000-0005-0000-0000-000037050000}"/>
    <cellStyle name="Millares 3 15 4 2" xfId="3900" xr:uid="{EBCCF6A8-1C32-432C-B499-4E515D7D5B6D}"/>
    <cellStyle name="Millares 3 15 5" xfId="1624" xr:uid="{00000000-0005-0000-0000-000038050000}"/>
    <cellStyle name="Millares 3 15 5 2" xfId="3990" xr:uid="{76EE6DFF-E929-4396-A0BD-A319BB308BEB}"/>
    <cellStyle name="Millares 3 15 6" xfId="1715" xr:uid="{00000000-0005-0000-0000-000039050000}"/>
    <cellStyle name="Millares 3 15 6 2" xfId="4080" xr:uid="{2575B468-A04D-456F-BE08-5F728618FA1B}"/>
    <cellStyle name="Millares 3 15 7" xfId="1808" xr:uid="{00000000-0005-0000-0000-00003A050000}"/>
    <cellStyle name="Millares 3 15 7 2" xfId="4170" xr:uid="{DDEA90D3-2F11-4D74-AE22-E7AE05C015C1}"/>
    <cellStyle name="Millares 3 15 8" xfId="1899" xr:uid="{5FAC3D2D-BA78-46A1-BE1A-9305CAD00322}"/>
    <cellStyle name="Millares 3 15 8 2" xfId="4260" xr:uid="{C3D3AB08-7D79-47EA-9FEA-978D73C6E4E8}"/>
    <cellStyle name="Millares 3 15 9" xfId="1990" xr:uid="{F6616309-2E6B-4431-A532-55339990C181}"/>
    <cellStyle name="Millares 3 15 9 2" xfId="4350" xr:uid="{D1CCE895-A969-4E7D-AA6F-3EDFC7D6F96F}"/>
    <cellStyle name="Millares 3 16" xfId="1258" xr:uid="{00000000-0005-0000-0000-00003B050000}"/>
    <cellStyle name="Millares 3 16 10" xfId="2080" xr:uid="{288CA801-6E20-41B2-AE26-CE36727651BC}"/>
    <cellStyle name="Millares 3 16 10 2" xfId="4440" xr:uid="{E259FB56-292E-4C66-84B9-658B9622EE5C}"/>
    <cellStyle name="Millares 3 16 11" xfId="2171" xr:uid="{75425737-45C2-4F2B-8D2D-49FE0944FB6D}"/>
    <cellStyle name="Millares 3 16 11 2" xfId="4531" xr:uid="{82B87B66-9C5B-43BF-8F5C-3CE36B71C63E}"/>
    <cellStyle name="Millares 3 16 12" xfId="2260" xr:uid="{333BE876-CDD4-4322-80F5-88F819E4A497}"/>
    <cellStyle name="Millares 3 16 12 2" xfId="4620" xr:uid="{5892C98C-CC15-42DF-8B18-819B326F7AEF}"/>
    <cellStyle name="Millares 3 16 13" xfId="2350" xr:uid="{60100602-091A-48FC-BAED-3786E8B85803}"/>
    <cellStyle name="Millares 3 16 13 2" xfId="4710" xr:uid="{B5E7C2EB-9352-404D-A77C-66ED2465F659}"/>
    <cellStyle name="Millares 3 16 14" xfId="2439" xr:uid="{AE3A173B-83EA-4344-8277-2F53E8DA896E}"/>
    <cellStyle name="Millares 3 16 14 2" xfId="4799" xr:uid="{8704164C-8C9C-454D-BC6E-570F41386FF3}"/>
    <cellStyle name="Millares 3 16 15" xfId="2529" xr:uid="{2E05443C-4D3E-4A84-8443-E26496199742}"/>
    <cellStyle name="Millares 3 16 15 2" xfId="4889" xr:uid="{D48EAD39-D01C-49FE-A271-6C6760429108}"/>
    <cellStyle name="Millares 3 16 16" xfId="2618" xr:uid="{56DC6B3B-8BD3-48AA-9CB3-B8FC202393CC}"/>
    <cellStyle name="Millares 3 16 16 2" xfId="4978" xr:uid="{E14B6620-97A5-4D44-A593-45E48B767CE7}"/>
    <cellStyle name="Millares 3 16 17" xfId="2708" xr:uid="{D1766655-6348-42F7-BFB2-8954A257C4C6}"/>
    <cellStyle name="Millares 3 16 17 2" xfId="5068" xr:uid="{97FFE9C4-3C39-4438-BD1A-6A89665807D6}"/>
    <cellStyle name="Millares 3 16 18" xfId="2798" xr:uid="{03D9AFFC-BEEB-45F9-B4FE-5C1DA88D54D1}"/>
    <cellStyle name="Millares 3 16 18 2" xfId="5158" xr:uid="{31471330-047F-4444-A0D1-D78AB8EF3AB1}"/>
    <cellStyle name="Millares 3 16 19" xfId="2888" xr:uid="{5D855D7B-7916-4C92-835F-9A1A298D6EC7}"/>
    <cellStyle name="Millares 3 16 19 2" xfId="5248" xr:uid="{129C2267-B078-4E5B-A794-72A0AD2DED4B}"/>
    <cellStyle name="Millares 3 16 2" xfId="1348" xr:uid="{00000000-0005-0000-0000-00003C050000}"/>
    <cellStyle name="Millares 3 16 2 2" xfId="3513" xr:uid="{D81900A7-8BCE-4502-9439-5F094C73D389}"/>
    <cellStyle name="Millares 3 16 2 2 2" xfId="5524" xr:uid="{00B45178-D4AC-4135-AF2B-1FD77DFA04E5}"/>
    <cellStyle name="Millares 3 16 2 3" xfId="3721" xr:uid="{760D37B4-A9FE-4BA6-9B56-0FF2BB160E2A}"/>
    <cellStyle name="Millares 3 16 20" xfId="2981" xr:uid="{415F23F6-A453-42FF-B392-9D49A0AB73CA}"/>
    <cellStyle name="Millares 3 16 20 2" xfId="5341" xr:uid="{DC1391B3-9417-457F-A7E8-5B2A192E68C6}"/>
    <cellStyle name="Millares 3 16 21" xfId="3075" xr:uid="{80886D41-9754-4E9C-8F0C-E322BE0BE9B1}"/>
    <cellStyle name="Millares 3 16 21 2" xfId="5434" xr:uid="{40D43027-88D3-42D4-A9D1-71EEEC1508C4}"/>
    <cellStyle name="Millares 3 16 22" xfId="3632" xr:uid="{AA2C5E8A-3DFF-498F-AD0A-D59B107FA102}"/>
    <cellStyle name="Millares 3 16 3" xfId="1445" xr:uid="{00000000-0005-0000-0000-00003D050000}"/>
    <cellStyle name="Millares 3 16 3 2" xfId="3811" xr:uid="{1D4CB5EE-D369-4603-9EAB-CC8DC4B59BD4}"/>
    <cellStyle name="Millares 3 16 4" xfId="1535" xr:uid="{00000000-0005-0000-0000-00003E050000}"/>
    <cellStyle name="Millares 3 16 4 2" xfId="3901" xr:uid="{1FC309F0-998C-4361-AB04-0DC80FA5DA9A}"/>
    <cellStyle name="Millares 3 16 5" xfId="1625" xr:uid="{00000000-0005-0000-0000-00003F050000}"/>
    <cellStyle name="Millares 3 16 5 2" xfId="3991" xr:uid="{1AD9B366-913F-4B87-B526-C627C658CE7B}"/>
    <cellStyle name="Millares 3 16 6" xfId="1716" xr:uid="{00000000-0005-0000-0000-000040050000}"/>
    <cellStyle name="Millares 3 16 6 2" xfId="4081" xr:uid="{0AE41A67-54F9-4475-A7BC-BDFC7FA0FAB0}"/>
    <cellStyle name="Millares 3 16 7" xfId="1809" xr:uid="{00000000-0005-0000-0000-000041050000}"/>
    <cellStyle name="Millares 3 16 7 2" xfId="4171" xr:uid="{17CD9F78-2182-4D9A-A29C-27365F792D38}"/>
    <cellStyle name="Millares 3 16 8" xfId="1900" xr:uid="{30E84C90-2719-4A4F-88E2-C3EF236CAB48}"/>
    <cellStyle name="Millares 3 16 8 2" xfId="4261" xr:uid="{DC6492F4-5FFE-4BB0-9793-8668C1D3F0AE}"/>
    <cellStyle name="Millares 3 16 9" xfId="1991" xr:uid="{03463E37-8D8A-4262-9F8B-C0E396F26DA8}"/>
    <cellStyle name="Millares 3 16 9 2" xfId="4351" xr:uid="{BB2B16A1-6B93-404D-866F-97221F9AF966}"/>
    <cellStyle name="Millares 3 17" xfId="1262" xr:uid="{00000000-0005-0000-0000-000042050000}"/>
    <cellStyle name="Millares 3 17 10" xfId="2081" xr:uid="{7AF38563-2E2B-46F5-ADBC-0ED8ECA92ABE}"/>
    <cellStyle name="Millares 3 17 10 2" xfId="4441" xr:uid="{8B78A9E3-F854-492A-AEC4-041E79E5428F}"/>
    <cellStyle name="Millares 3 17 11" xfId="2172" xr:uid="{3DFDE720-E399-4DF0-B163-D4A6C4053A9C}"/>
    <cellStyle name="Millares 3 17 11 2" xfId="4532" xr:uid="{22D66DB4-B557-44E3-9F02-09AC0F385F95}"/>
    <cellStyle name="Millares 3 17 12" xfId="2261" xr:uid="{7F2B8D5E-D907-4F3E-857D-E7063D749101}"/>
    <cellStyle name="Millares 3 17 12 2" xfId="4621" xr:uid="{610E5B20-CC02-4BDD-B45C-6123F6FF76FD}"/>
    <cellStyle name="Millares 3 17 13" xfId="2351" xr:uid="{01C8B7EC-8271-4723-8656-2F4DC48AC761}"/>
    <cellStyle name="Millares 3 17 13 2" xfId="4711" xr:uid="{6973C48D-D3F2-4716-840B-1DEF243E0B12}"/>
    <cellStyle name="Millares 3 17 14" xfId="2440" xr:uid="{CB4FAB68-0B61-4CB8-8BA2-EFCC4F84E5A8}"/>
    <cellStyle name="Millares 3 17 14 2" xfId="4800" xr:uid="{09C08CC3-F14A-4936-A49D-AD8A33958454}"/>
    <cellStyle name="Millares 3 17 15" xfId="2530" xr:uid="{EC9770B6-00DE-43BA-987C-A3F89AC7A4D0}"/>
    <cellStyle name="Millares 3 17 15 2" xfId="4890" xr:uid="{A84BA820-83CE-46E2-9A15-9FF3F5921198}"/>
    <cellStyle name="Millares 3 17 16" xfId="2619" xr:uid="{F4365116-479B-4A06-B4CF-0C55519AF5D6}"/>
    <cellStyle name="Millares 3 17 16 2" xfId="4979" xr:uid="{E487AAAC-B3D5-49A7-BB65-C20ABA770C3E}"/>
    <cellStyle name="Millares 3 17 17" xfId="2709" xr:uid="{A07A3237-CD2B-45FB-BE6F-49C9DE6F063C}"/>
    <cellStyle name="Millares 3 17 17 2" xfId="5069" xr:uid="{9D1E81F2-D492-4CF3-982F-3D364182E550}"/>
    <cellStyle name="Millares 3 17 18" xfId="2799" xr:uid="{B43A41A8-4EE0-4F9A-929D-D9C21B02644B}"/>
    <cellStyle name="Millares 3 17 18 2" xfId="5159" xr:uid="{CC5579A3-33EC-45A9-8BDA-2C459FE2F7BA}"/>
    <cellStyle name="Millares 3 17 19" xfId="2889" xr:uid="{B47C192D-BCDF-4146-8F52-D6786CE30702}"/>
    <cellStyle name="Millares 3 17 19 2" xfId="5249" xr:uid="{15062050-E34E-4D81-AA3D-83636225F348}"/>
    <cellStyle name="Millares 3 17 2" xfId="1349" xr:uid="{00000000-0005-0000-0000-000043050000}"/>
    <cellStyle name="Millares 3 17 2 2" xfId="3514" xr:uid="{6490123B-E0DB-4263-805F-FCC2535EBEFD}"/>
    <cellStyle name="Millares 3 17 2 2 2" xfId="5525" xr:uid="{72F63F95-CAD6-4D64-B983-567DAD06E847}"/>
    <cellStyle name="Millares 3 17 2 3" xfId="3722" xr:uid="{50317700-7296-436F-81B9-C1FB9EB338D3}"/>
    <cellStyle name="Millares 3 17 20" xfId="2982" xr:uid="{92414C84-74CC-4B48-8801-FC86D0FA31C0}"/>
    <cellStyle name="Millares 3 17 20 2" xfId="5342" xr:uid="{0C61B8D1-CE9A-4D37-AAA0-75E266F5429F}"/>
    <cellStyle name="Millares 3 17 21" xfId="3076" xr:uid="{CD6E70BB-ACE6-4895-BB01-AC805CA58419}"/>
    <cellStyle name="Millares 3 17 21 2" xfId="5435" xr:uid="{7F10682C-DD9C-480E-9718-1BAAD0D6FD25}"/>
    <cellStyle name="Millares 3 17 22" xfId="3636" xr:uid="{90F00229-40D6-4D9E-BD7C-B66A188461E7}"/>
    <cellStyle name="Millares 3 17 3" xfId="1446" xr:uid="{00000000-0005-0000-0000-000044050000}"/>
    <cellStyle name="Millares 3 17 3 2" xfId="3812" xr:uid="{DE314E15-E0ED-4674-9129-82DB21F99914}"/>
    <cellStyle name="Millares 3 17 4" xfId="1536" xr:uid="{00000000-0005-0000-0000-000045050000}"/>
    <cellStyle name="Millares 3 17 4 2" xfId="3902" xr:uid="{9393FF43-2E4B-4567-91C1-67B79AFC19C0}"/>
    <cellStyle name="Millares 3 17 5" xfId="1626" xr:uid="{00000000-0005-0000-0000-000046050000}"/>
    <cellStyle name="Millares 3 17 5 2" xfId="3992" xr:uid="{81C26052-80AE-466A-B160-57A08A1CE053}"/>
    <cellStyle name="Millares 3 17 6" xfId="1717" xr:uid="{00000000-0005-0000-0000-000047050000}"/>
    <cellStyle name="Millares 3 17 6 2" xfId="4082" xr:uid="{45A5531C-38C3-4E12-8080-A4DBF9473425}"/>
    <cellStyle name="Millares 3 17 7" xfId="1810" xr:uid="{00000000-0005-0000-0000-000048050000}"/>
    <cellStyle name="Millares 3 17 7 2" xfId="4172" xr:uid="{0BD967F9-47AA-4012-8910-65A6A8D61D5C}"/>
    <cellStyle name="Millares 3 17 8" xfId="1901" xr:uid="{9F3A57C1-15C8-4AA7-AB20-40C02956E4A6}"/>
    <cellStyle name="Millares 3 17 8 2" xfId="4262" xr:uid="{2FC25CBE-8AC1-4171-BFC9-A68FF1476B48}"/>
    <cellStyle name="Millares 3 17 9" xfId="1992" xr:uid="{1891EAB3-1916-4345-98E2-B6C5BCDD8D0E}"/>
    <cellStyle name="Millares 3 17 9 2" xfId="4352" xr:uid="{1FB9F0A6-50AE-40A8-95AA-6066C721CE13}"/>
    <cellStyle name="Millares 3 18" xfId="1266" xr:uid="{00000000-0005-0000-0000-000049050000}"/>
    <cellStyle name="Millares 3 18 10" xfId="2082" xr:uid="{991EF981-B94A-406E-A847-1D4B3D7CCAA6}"/>
    <cellStyle name="Millares 3 18 10 2" xfId="4442" xr:uid="{01F2AA17-98C4-4C68-AB0F-927EC4328260}"/>
    <cellStyle name="Millares 3 18 11" xfId="2173" xr:uid="{D6B4373A-F6F4-4F10-AE39-5E75D6129BD8}"/>
    <cellStyle name="Millares 3 18 11 2" xfId="4533" xr:uid="{EA6FB13E-5507-4720-8D72-D3FBAE1C339C}"/>
    <cellStyle name="Millares 3 18 12" xfId="2262" xr:uid="{6767A313-DC32-41EC-BCEC-A458C461C50E}"/>
    <cellStyle name="Millares 3 18 12 2" xfId="4622" xr:uid="{2FF94958-7510-4406-9AED-5913EEA835EB}"/>
    <cellStyle name="Millares 3 18 13" xfId="2352" xr:uid="{7A74E11C-374D-4D4D-8628-6F4B647096C3}"/>
    <cellStyle name="Millares 3 18 13 2" xfId="4712" xr:uid="{54B69A4A-42A7-4BC5-8D36-E91616CA1361}"/>
    <cellStyle name="Millares 3 18 14" xfId="2441" xr:uid="{792B98DD-A971-476A-B480-EFD8A5A242E4}"/>
    <cellStyle name="Millares 3 18 14 2" xfId="4801" xr:uid="{4A3327EB-256C-4DDF-AF11-644C379F8CFC}"/>
    <cellStyle name="Millares 3 18 15" xfId="2531" xr:uid="{C72E2517-7746-4090-8C64-8E689CEE7C8C}"/>
    <cellStyle name="Millares 3 18 15 2" xfId="4891" xr:uid="{F4F38DD8-1E77-4AD9-9730-8ECFEE1C6BF9}"/>
    <cellStyle name="Millares 3 18 16" xfId="2620" xr:uid="{7232306C-6856-49F1-B17A-EE87C1C8E1A8}"/>
    <cellStyle name="Millares 3 18 16 2" xfId="4980" xr:uid="{FB2F62AF-E71F-4277-979B-EF60FE891975}"/>
    <cellStyle name="Millares 3 18 17" xfId="2710" xr:uid="{0C1A64FF-24E3-48FE-B0D4-17F9B878D241}"/>
    <cellStyle name="Millares 3 18 17 2" xfId="5070" xr:uid="{613056A5-0A45-4A95-B63D-129C31C769C4}"/>
    <cellStyle name="Millares 3 18 18" xfId="2800" xr:uid="{B5B57AA6-FCD4-499E-A858-EDA240BD75AE}"/>
    <cellStyle name="Millares 3 18 18 2" xfId="5160" xr:uid="{86731217-2B6F-4472-B6E7-50FB4B70FA96}"/>
    <cellStyle name="Millares 3 18 19" xfId="2890" xr:uid="{214FB609-42C3-4DBD-B9F4-1E77F35A27EB}"/>
    <cellStyle name="Millares 3 18 19 2" xfId="5250" xr:uid="{80061596-67BF-4878-929B-B6CFD957601E}"/>
    <cellStyle name="Millares 3 18 2" xfId="1350" xr:uid="{00000000-0005-0000-0000-00004A050000}"/>
    <cellStyle name="Millares 3 18 2 2" xfId="3515" xr:uid="{52D60B27-4DB5-4E59-B363-BAD4A6DD3BF1}"/>
    <cellStyle name="Millares 3 18 2 2 2" xfId="5526" xr:uid="{B9BD5662-B5E5-46FD-B5AA-239A427C28AF}"/>
    <cellStyle name="Millares 3 18 2 3" xfId="3723" xr:uid="{F556528B-196D-4AF9-AD7D-E8FA8297A973}"/>
    <cellStyle name="Millares 3 18 20" xfId="2983" xr:uid="{93B63145-DDD2-46E9-921B-7853B575CAD6}"/>
    <cellStyle name="Millares 3 18 20 2" xfId="5343" xr:uid="{F54D98CA-77BC-4CD8-8A74-64CEB780D0FB}"/>
    <cellStyle name="Millares 3 18 21" xfId="3077" xr:uid="{1BED0CA0-04E2-4640-8888-D94EBBA39877}"/>
    <cellStyle name="Millares 3 18 21 2" xfId="5436" xr:uid="{8772671B-69BF-4F25-9174-A51F071037F4}"/>
    <cellStyle name="Millares 3 18 22" xfId="3640" xr:uid="{AE7AFD51-CE84-460E-9B51-92C81D42F505}"/>
    <cellStyle name="Millares 3 18 3" xfId="1447" xr:uid="{00000000-0005-0000-0000-00004B050000}"/>
    <cellStyle name="Millares 3 18 3 2" xfId="3813" xr:uid="{B5B08A43-677B-48EE-BAF4-AD5081E56477}"/>
    <cellStyle name="Millares 3 18 4" xfId="1537" xr:uid="{00000000-0005-0000-0000-00004C050000}"/>
    <cellStyle name="Millares 3 18 4 2" xfId="3903" xr:uid="{32E218D4-C01A-436D-85EE-158A54587774}"/>
    <cellStyle name="Millares 3 18 5" xfId="1627" xr:uid="{00000000-0005-0000-0000-00004D050000}"/>
    <cellStyle name="Millares 3 18 5 2" xfId="3993" xr:uid="{C63BD505-3DAF-41EE-A09D-92FD05E2C680}"/>
    <cellStyle name="Millares 3 18 6" xfId="1718" xr:uid="{00000000-0005-0000-0000-00004E050000}"/>
    <cellStyle name="Millares 3 18 6 2" xfId="4083" xr:uid="{62B5677B-85C6-48E7-9DCE-37A5CA220538}"/>
    <cellStyle name="Millares 3 18 7" xfId="1811" xr:uid="{00000000-0005-0000-0000-00004F050000}"/>
    <cellStyle name="Millares 3 18 7 2" xfId="4173" xr:uid="{C94855DC-B0B7-43E0-BAB7-DC81F9F9DBC4}"/>
    <cellStyle name="Millares 3 18 8" xfId="1902" xr:uid="{35AEC411-9121-4E46-A0D7-F24DF50F6C09}"/>
    <cellStyle name="Millares 3 18 8 2" xfId="4263" xr:uid="{7E574F36-7389-409C-A184-05B3ED4278F0}"/>
    <cellStyle name="Millares 3 18 9" xfId="1993" xr:uid="{1798F76E-A0C8-4861-9CF1-5D07721FC7E2}"/>
    <cellStyle name="Millares 3 18 9 2" xfId="4353" xr:uid="{BAA56A0A-159E-40B8-81C8-67C1A3B6DD6F}"/>
    <cellStyle name="Millares 3 19" xfId="1271" xr:uid="{00000000-0005-0000-0000-000050050000}"/>
    <cellStyle name="Millares 3 19 10" xfId="2083" xr:uid="{20D7FAD8-07A6-4CF8-8660-BFF47F21D495}"/>
    <cellStyle name="Millares 3 19 10 2" xfId="4443" xr:uid="{0683FBEC-C5B0-4926-B85A-D389F36BBD0E}"/>
    <cellStyle name="Millares 3 19 11" xfId="2174" xr:uid="{2D5F3FD8-C5BD-4FE5-9174-189E73E33C0B}"/>
    <cellStyle name="Millares 3 19 11 2" xfId="4534" xr:uid="{FF21D910-A8F8-453C-A096-C2CBC68BBFC2}"/>
    <cellStyle name="Millares 3 19 12" xfId="2263" xr:uid="{8230536E-0093-4B0A-B6DE-DC744C48A0FE}"/>
    <cellStyle name="Millares 3 19 12 2" xfId="4623" xr:uid="{9E01D68A-6A06-4051-A2BA-7F80EB73C305}"/>
    <cellStyle name="Millares 3 19 13" xfId="2353" xr:uid="{005301A8-F39A-4970-B03E-4EC2145C280A}"/>
    <cellStyle name="Millares 3 19 13 2" xfId="4713" xr:uid="{871A20DC-7C7E-4423-8BE8-2658AF68FA1E}"/>
    <cellStyle name="Millares 3 19 14" xfId="2442" xr:uid="{45831AA3-AC0D-42D2-900A-D4783873217A}"/>
    <cellStyle name="Millares 3 19 14 2" xfId="4802" xr:uid="{E9511A79-AB8D-4DFD-8838-ABAE0DD71E7D}"/>
    <cellStyle name="Millares 3 19 15" xfId="2532" xr:uid="{9F2B9824-A390-4092-A363-351C12B10172}"/>
    <cellStyle name="Millares 3 19 15 2" xfId="4892" xr:uid="{6B95C116-D8A8-46E9-9C6C-B06E564D7F97}"/>
    <cellStyle name="Millares 3 19 16" xfId="2621" xr:uid="{FFAF245E-6DE0-4985-800E-FE3623AA11AF}"/>
    <cellStyle name="Millares 3 19 16 2" xfId="4981" xr:uid="{DFDBF86E-35F7-4A2A-B22C-C7B22AE5D3ED}"/>
    <cellStyle name="Millares 3 19 17" xfId="2711" xr:uid="{88C91C3E-5244-4405-A920-AB73F36D820E}"/>
    <cellStyle name="Millares 3 19 17 2" xfId="5071" xr:uid="{5557EF4F-623D-4BF9-982A-F69BCB061235}"/>
    <cellStyle name="Millares 3 19 18" xfId="2801" xr:uid="{D71FDE61-5D97-4EE9-9BE0-5AC988515613}"/>
    <cellStyle name="Millares 3 19 18 2" xfId="5161" xr:uid="{C5BE2C03-B8B2-4F42-9077-6CAC70326C99}"/>
    <cellStyle name="Millares 3 19 19" xfId="2891" xr:uid="{46499F04-0917-44B0-979B-13C957522BAF}"/>
    <cellStyle name="Millares 3 19 19 2" xfId="5251" xr:uid="{F62B4DF6-1449-47A2-8EC6-93D3A5E19779}"/>
    <cellStyle name="Millares 3 19 2" xfId="1351" xr:uid="{00000000-0005-0000-0000-000051050000}"/>
    <cellStyle name="Millares 3 19 2 2" xfId="3516" xr:uid="{7B718C92-DD74-4001-B64E-5503EB9B19CA}"/>
    <cellStyle name="Millares 3 19 2 2 2" xfId="5527" xr:uid="{53962E97-87AD-4A5A-A9E3-8E6EFDD0B256}"/>
    <cellStyle name="Millares 3 19 2 3" xfId="3724" xr:uid="{B92823D5-87C5-4666-AEA1-16BBF29A6D12}"/>
    <cellStyle name="Millares 3 19 20" xfId="2984" xr:uid="{017E6116-F715-4FE4-94FD-1612F7B5B05E}"/>
    <cellStyle name="Millares 3 19 20 2" xfId="5344" xr:uid="{CBBA5E0E-9ED1-46A0-9E79-4C4909ED43FC}"/>
    <cellStyle name="Millares 3 19 21" xfId="3078" xr:uid="{D27A8664-7FDE-40D6-959C-EA89472D4CBC}"/>
    <cellStyle name="Millares 3 19 21 2" xfId="5437" xr:uid="{8C38D3F3-C47D-4A6B-8E64-B28024E240CA}"/>
    <cellStyle name="Millares 3 19 22" xfId="3644" xr:uid="{757A162E-53E8-48EA-80E7-D2C8E73D7928}"/>
    <cellStyle name="Millares 3 19 3" xfId="1448" xr:uid="{00000000-0005-0000-0000-000052050000}"/>
    <cellStyle name="Millares 3 19 3 2" xfId="3814" xr:uid="{0314BEB7-DE16-496B-B105-8E87D41FCA75}"/>
    <cellStyle name="Millares 3 19 4" xfId="1538" xr:uid="{00000000-0005-0000-0000-000053050000}"/>
    <cellStyle name="Millares 3 19 4 2" xfId="3904" xr:uid="{96C6F81D-C2A2-48EF-BB7C-9B671DD8874C}"/>
    <cellStyle name="Millares 3 19 5" xfId="1628" xr:uid="{00000000-0005-0000-0000-000054050000}"/>
    <cellStyle name="Millares 3 19 5 2" xfId="3994" xr:uid="{EF64D7C6-13E6-47B7-9369-0E11C907928A}"/>
    <cellStyle name="Millares 3 19 6" xfId="1719" xr:uid="{00000000-0005-0000-0000-000055050000}"/>
    <cellStyle name="Millares 3 19 6 2" xfId="4084" xr:uid="{2E9A0490-E40F-4E5B-A829-748AD8DCA3C4}"/>
    <cellStyle name="Millares 3 19 7" xfId="1812" xr:uid="{00000000-0005-0000-0000-000056050000}"/>
    <cellStyle name="Millares 3 19 7 2" xfId="4174" xr:uid="{D9E60F36-F44B-4E17-89C4-B004A89F97E8}"/>
    <cellStyle name="Millares 3 19 8" xfId="1903" xr:uid="{2A8693BA-485A-476C-A6FC-1E147DAC7307}"/>
    <cellStyle name="Millares 3 19 8 2" xfId="4264" xr:uid="{8E1CE43D-E901-4B5C-88D6-8945DB373BEA}"/>
    <cellStyle name="Millares 3 19 9" xfId="1994" xr:uid="{7144C1D8-3B12-4D6B-8B86-AA15490D246B}"/>
    <cellStyle name="Millares 3 19 9 2" xfId="4354" xr:uid="{69769003-E048-4859-A80C-59081632ED77}"/>
    <cellStyle name="Millares 3 2" xfId="1196" xr:uid="{00000000-0005-0000-0000-000057050000}"/>
    <cellStyle name="Millares 3 2 10" xfId="2084" xr:uid="{420F974C-5364-4B2B-B2AE-5D5098F0BB71}"/>
    <cellStyle name="Millares 3 2 10 2" xfId="4444" xr:uid="{883E1510-96D6-435D-9E9C-3E8601568269}"/>
    <cellStyle name="Millares 3 2 11" xfId="2175" xr:uid="{1A96D685-35F0-472C-9F98-EFE43CA1C51E}"/>
    <cellStyle name="Millares 3 2 11 2" xfId="4535" xr:uid="{A27B7AF4-1D6A-458E-9AB0-9C8F8199DBF0}"/>
    <cellStyle name="Millares 3 2 12" xfId="2264" xr:uid="{8B2DE320-527C-450F-8C63-E949663FA1B2}"/>
    <cellStyle name="Millares 3 2 12 2" xfId="4624" xr:uid="{8AEF00E4-0EB0-4C51-8835-F20352DC023F}"/>
    <cellStyle name="Millares 3 2 13" xfId="2354" xr:uid="{5A598599-8738-4B56-9299-10B3CF8A6EA3}"/>
    <cellStyle name="Millares 3 2 13 2" xfId="4714" xr:uid="{7C61B54C-7E85-400C-94BD-B40DCE0B91FD}"/>
    <cellStyle name="Millares 3 2 14" xfId="2443" xr:uid="{E7A5EC13-247A-4757-8DDE-27E5ACF8E3D6}"/>
    <cellStyle name="Millares 3 2 14 2" xfId="4803" xr:uid="{78AF6A75-1650-42A3-B458-D2C55AEDC32D}"/>
    <cellStyle name="Millares 3 2 15" xfId="2533" xr:uid="{86E55A3A-58A5-4C9C-8F0D-5951F35DAA75}"/>
    <cellStyle name="Millares 3 2 15 2" xfId="4893" xr:uid="{999DCFB9-2ED3-40FC-9EB5-A4345500242A}"/>
    <cellStyle name="Millares 3 2 16" xfId="2622" xr:uid="{5E61E079-FDF1-475A-8BB4-2DBDE154758E}"/>
    <cellStyle name="Millares 3 2 16 2" xfId="4982" xr:uid="{BB666857-6A68-42D5-AD8E-2D6EDCF7D76A}"/>
    <cellStyle name="Millares 3 2 17" xfId="2712" xr:uid="{CC41A9EF-100F-4670-8FF9-362FCBBA92F2}"/>
    <cellStyle name="Millares 3 2 17 2" xfId="5072" xr:uid="{11128FA0-4340-4089-AF6E-B66FAC89C642}"/>
    <cellStyle name="Millares 3 2 18" xfId="2802" xr:uid="{32E5FC80-08A2-44B3-9FF5-7E6AC5EA8E1F}"/>
    <cellStyle name="Millares 3 2 18 2" xfId="5162" xr:uid="{EF8E3C88-60E1-4990-81EE-CD4831B342DB}"/>
    <cellStyle name="Millares 3 2 19" xfId="2892" xr:uid="{C67E9AC0-7DCB-41C1-8B3E-FE517AB2F4F1}"/>
    <cellStyle name="Millares 3 2 19 2" xfId="5252" xr:uid="{3061BF34-8974-4E7A-ABF8-8D2EB557F5BD}"/>
    <cellStyle name="Millares 3 2 2" xfId="1352" xr:uid="{00000000-0005-0000-0000-000058050000}"/>
    <cellStyle name="Millares 3 2 2 2" xfId="3517" xr:uid="{5F5ECEC0-0022-498E-AB8F-65C7A5BFBD47}"/>
    <cellStyle name="Millares 3 2 2 2 2" xfId="5528" xr:uid="{D45061B3-A1D4-4058-9676-FCE5499D64C6}"/>
    <cellStyle name="Millares 3 2 2 3" xfId="3725" xr:uid="{96A77D06-6FC9-47D9-9255-9D57262F46E2}"/>
    <cellStyle name="Millares 3 2 20" xfId="2985" xr:uid="{4C5A376A-3234-4B3E-BE52-54361200E9DC}"/>
    <cellStyle name="Millares 3 2 20 2" xfId="5345" xr:uid="{31055D19-4EF4-4238-85EA-1ADCC44D0960}"/>
    <cellStyle name="Millares 3 2 21" xfId="3079" xr:uid="{7E986732-AA46-4E37-9F04-4F93FEA9CCD5}"/>
    <cellStyle name="Millares 3 2 21 2" xfId="5438" xr:uid="{B5A3483D-8EDE-4F49-90C7-7AF1713D4EA0}"/>
    <cellStyle name="Millares 3 2 22" xfId="3576" xr:uid="{E702E7A4-6477-4A4A-8362-C0E418EB6A4C}"/>
    <cellStyle name="Millares 3 2 3" xfId="1449" xr:uid="{00000000-0005-0000-0000-000059050000}"/>
    <cellStyle name="Millares 3 2 3 2" xfId="3815" xr:uid="{2E449D0B-5615-4C52-9554-8738D6583E9B}"/>
    <cellStyle name="Millares 3 2 4" xfId="1539" xr:uid="{00000000-0005-0000-0000-00005A050000}"/>
    <cellStyle name="Millares 3 2 4 2" xfId="3905" xr:uid="{0C72B389-7E17-441D-A0CC-1D78E817AA24}"/>
    <cellStyle name="Millares 3 2 5" xfId="1629" xr:uid="{00000000-0005-0000-0000-00005B050000}"/>
    <cellStyle name="Millares 3 2 5 2" xfId="3995" xr:uid="{6F1849A7-F090-442C-91D2-6CC332874184}"/>
    <cellStyle name="Millares 3 2 6" xfId="1720" xr:uid="{00000000-0005-0000-0000-00005C050000}"/>
    <cellStyle name="Millares 3 2 6 2" xfId="4085" xr:uid="{23850AE1-DB43-41C2-9DA6-7AA8BD11DD6E}"/>
    <cellStyle name="Millares 3 2 7" xfId="1813" xr:uid="{00000000-0005-0000-0000-00005D050000}"/>
    <cellStyle name="Millares 3 2 7 2" xfId="4175" xr:uid="{AB43720A-3808-400D-B84D-66C3251DAF94}"/>
    <cellStyle name="Millares 3 2 8" xfId="1904" xr:uid="{E505335F-157D-4768-9A01-3210521A7621}"/>
    <cellStyle name="Millares 3 2 8 2" xfId="4265" xr:uid="{84F9FC50-0231-4B1E-AE53-0BC59D78CDF0}"/>
    <cellStyle name="Millares 3 2 9" xfId="1995" xr:uid="{63B32AB3-B2EE-4D34-A8F4-B90A1AF08C6F}"/>
    <cellStyle name="Millares 3 2 9 2" xfId="4355" xr:uid="{E8B38257-E826-43EA-B64F-81E902C93B1E}"/>
    <cellStyle name="Millares 3 20" xfId="1275" xr:uid="{00000000-0005-0000-0000-00005E050000}"/>
    <cellStyle name="Millares 3 20 10" xfId="2085" xr:uid="{DE233CCD-66E9-43E3-8FD8-A5D7A71336EF}"/>
    <cellStyle name="Millares 3 20 10 2" xfId="4445" xr:uid="{77FD4285-D6F4-4984-BD31-5F799D3E9010}"/>
    <cellStyle name="Millares 3 20 11" xfId="2176" xr:uid="{CE96D8E9-2771-41B6-BE51-E30C8328BE98}"/>
    <cellStyle name="Millares 3 20 11 2" xfId="4536" xr:uid="{CFC6CAEE-E34E-43F9-A000-C0F2FB5A399F}"/>
    <cellStyle name="Millares 3 20 12" xfId="2265" xr:uid="{011A8581-4342-4C1F-AE17-B2D8E13585A8}"/>
    <cellStyle name="Millares 3 20 12 2" xfId="4625" xr:uid="{F95B0CDE-418F-4B74-952F-A8489803F29D}"/>
    <cellStyle name="Millares 3 20 13" xfId="2355" xr:uid="{FCB5A801-A50E-4B99-9AD7-3C9E03812B7F}"/>
    <cellStyle name="Millares 3 20 13 2" xfId="4715" xr:uid="{2D131470-20BC-417A-A20A-07A1704058A4}"/>
    <cellStyle name="Millares 3 20 14" xfId="2444" xr:uid="{99F37D62-9F03-4813-A721-5D086F77BEEF}"/>
    <cellStyle name="Millares 3 20 14 2" xfId="4804" xr:uid="{E1DD2AA9-F0CB-45FB-9F64-39A6B209F8D1}"/>
    <cellStyle name="Millares 3 20 15" xfId="2534" xr:uid="{C6569F0A-B7D9-4D79-B723-C3BD80EDFA28}"/>
    <cellStyle name="Millares 3 20 15 2" xfId="4894" xr:uid="{80E63CBB-E14E-43EE-A5F7-0D82C6A0EFB2}"/>
    <cellStyle name="Millares 3 20 16" xfId="2623" xr:uid="{84C74B38-AEC7-4450-9EBE-08601CE9E1C8}"/>
    <cellStyle name="Millares 3 20 16 2" xfId="4983" xr:uid="{D0C712E1-F5B5-421A-98BE-7EEA31C24901}"/>
    <cellStyle name="Millares 3 20 17" xfId="2713" xr:uid="{E718B76E-AA11-4AAD-8865-5D99CAEBEB43}"/>
    <cellStyle name="Millares 3 20 17 2" xfId="5073" xr:uid="{3C3BE121-DDAF-42D2-BA94-314911F5A5E6}"/>
    <cellStyle name="Millares 3 20 18" xfId="2803" xr:uid="{DE670356-4C54-4E6B-BCAE-9E1023FD48AF}"/>
    <cellStyle name="Millares 3 20 18 2" xfId="5163" xr:uid="{5E48F367-A5E8-4E1D-817C-115F1816C6DA}"/>
    <cellStyle name="Millares 3 20 19" xfId="2893" xr:uid="{885D8474-9A3D-4F72-8965-7BA1EC050C4C}"/>
    <cellStyle name="Millares 3 20 19 2" xfId="5253" xr:uid="{6B70A10E-41FA-4417-BA4C-F2988C2827CC}"/>
    <cellStyle name="Millares 3 20 2" xfId="1353" xr:uid="{00000000-0005-0000-0000-00005F050000}"/>
    <cellStyle name="Millares 3 20 2 2" xfId="3518" xr:uid="{733E0CA4-4A3D-4445-A1D3-C95140D6D867}"/>
    <cellStyle name="Millares 3 20 2 2 2" xfId="5529" xr:uid="{F57E3A1F-0AD8-4F39-B020-B46139D7D060}"/>
    <cellStyle name="Millares 3 20 2 3" xfId="3726" xr:uid="{E85EDEC7-AFDA-4D2A-A758-459BD841E7BC}"/>
    <cellStyle name="Millares 3 20 20" xfId="2986" xr:uid="{A64169F6-180C-4D03-9C96-FA9A5851F77A}"/>
    <cellStyle name="Millares 3 20 20 2" xfId="5346" xr:uid="{F1FD3A0B-0598-4501-91A5-BB245E6D1AD8}"/>
    <cellStyle name="Millares 3 20 21" xfId="3080" xr:uid="{04D04CA1-0A54-4E74-AFF8-A6838F0BC95F}"/>
    <cellStyle name="Millares 3 20 21 2" xfId="5439" xr:uid="{25471886-2169-474B-A1E8-6D90C2E36DF7}"/>
    <cellStyle name="Millares 3 20 22" xfId="3648" xr:uid="{39015426-24E8-4E5D-BFE7-24B22EB9B999}"/>
    <cellStyle name="Millares 3 20 3" xfId="1450" xr:uid="{00000000-0005-0000-0000-000060050000}"/>
    <cellStyle name="Millares 3 20 3 2" xfId="3816" xr:uid="{DB59FED0-CE07-476E-A9D4-47F947B5074A}"/>
    <cellStyle name="Millares 3 20 4" xfId="1540" xr:uid="{00000000-0005-0000-0000-000061050000}"/>
    <cellStyle name="Millares 3 20 4 2" xfId="3906" xr:uid="{77EF5B05-28B2-4E02-91EF-3D987DAFDFF7}"/>
    <cellStyle name="Millares 3 20 5" xfId="1630" xr:uid="{00000000-0005-0000-0000-000062050000}"/>
    <cellStyle name="Millares 3 20 5 2" xfId="3996" xr:uid="{49DF13CD-AD8B-4429-9A2D-E0614B35A5E9}"/>
    <cellStyle name="Millares 3 20 6" xfId="1721" xr:uid="{00000000-0005-0000-0000-000063050000}"/>
    <cellStyle name="Millares 3 20 6 2" xfId="4086" xr:uid="{D60BE13D-D565-4FF8-9AFF-3050CEF10AA9}"/>
    <cellStyle name="Millares 3 20 7" xfId="1814" xr:uid="{00000000-0005-0000-0000-000064050000}"/>
    <cellStyle name="Millares 3 20 7 2" xfId="4176" xr:uid="{47229416-0BDA-43F7-BA1B-81D616D63390}"/>
    <cellStyle name="Millares 3 20 8" xfId="1905" xr:uid="{BBCD30C6-7869-404C-82F4-BCC42614F8E9}"/>
    <cellStyle name="Millares 3 20 8 2" xfId="4266" xr:uid="{2AD6BC0B-5022-42BC-AB9C-D767C85C7059}"/>
    <cellStyle name="Millares 3 20 9" xfId="1996" xr:uid="{1E05B35D-AA15-4428-873E-AA35E3056578}"/>
    <cellStyle name="Millares 3 20 9 2" xfId="4356" xr:uid="{B2924129-E48D-4366-92E1-A6C571B33B89}"/>
    <cellStyle name="Millares 3 21" xfId="1279" xr:uid="{00000000-0005-0000-0000-000065050000}"/>
    <cellStyle name="Millares 3 21 10" xfId="2086" xr:uid="{9DBB186B-56B4-4D53-908E-7CBABBDE567D}"/>
    <cellStyle name="Millares 3 21 10 2" xfId="4446" xr:uid="{CFBA7298-A118-4919-A012-FC8118337DDA}"/>
    <cellStyle name="Millares 3 21 11" xfId="2177" xr:uid="{84A0C8F3-92F8-4C4B-BA7D-5EF71B93DEEC}"/>
    <cellStyle name="Millares 3 21 11 2" xfId="4537" xr:uid="{F0D6BCFA-D2C9-4C03-8865-AD302B25F777}"/>
    <cellStyle name="Millares 3 21 12" xfId="2266" xr:uid="{5C617DD2-F4BF-46BC-AEC0-ACF805E2D4DC}"/>
    <cellStyle name="Millares 3 21 12 2" xfId="4626" xr:uid="{7F9876DD-AE91-4244-BA25-82AEEE13A9A6}"/>
    <cellStyle name="Millares 3 21 13" xfId="2356" xr:uid="{53752816-B3E8-487D-86DC-7E3120E7EEA4}"/>
    <cellStyle name="Millares 3 21 13 2" xfId="4716" xr:uid="{5C5D74CE-C919-4A2A-A409-6746C01457E3}"/>
    <cellStyle name="Millares 3 21 14" xfId="2445" xr:uid="{46EEE750-7C7B-4A49-AC9D-42FA721DC000}"/>
    <cellStyle name="Millares 3 21 14 2" xfId="4805" xr:uid="{64320D33-6137-4A88-B889-972318017DFE}"/>
    <cellStyle name="Millares 3 21 15" xfId="2535" xr:uid="{822A891D-17D8-4841-ADEE-3ACCDD5B444F}"/>
    <cellStyle name="Millares 3 21 15 2" xfId="4895" xr:uid="{B726C29B-C2F3-463E-9BB0-4AC5DB730934}"/>
    <cellStyle name="Millares 3 21 16" xfId="2624" xr:uid="{C6A6F9A8-3636-4433-80B6-0BC9C961D440}"/>
    <cellStyle name="Millares 3 21 16 2" xfId="4984" xr:uid="{F3E7D2DB-4728-4370-B74F-CECA91D02F9D}"/>
    <cellStyle name="Millares 3 21 17" xfId="2714" xr:uid="{AD84E7E0-800C-4949-B05C-6906F03A1A47}"/>
    <cellStyle name="Millares 3 21 17 2" xfId="5074" xr:uid="{9FE0F953-4334-474D-8A7E-E355AE554423}"/>
    <cellStyle name="Millares 3 21 18" xfId="2804" xr:uid="{B545DF53-9DBE-4B7D-9BFD-79372BBE924A}"/>
    <cellStyle name="Millares 3 21 18 2" xfId="5164" xr:uid="{21661B1B-DC50-42E2-A64E-9A025C96392A}"/>
    <cellStyle name="Millares 3 21 19" xfId="2894" xr:uid="{83CAE4C3-CBE8-4E5B-B0B0-C09A26DEE582}"/>
    <cellStyle name="Millares 3 21 19 2" xfId="5254" xr:uid="{CC7B0019-0A03-4A01-8DAB-0D724BB161A5}"/>
    <cellStyle name="Millares 3 21 2" xfId="1354" xr:uid="{00000000-0005-0000-0000-000066050000}"/>
    <cellStyle name="Millares 3 21 2 2" xfId="3519" xr:uid="{5F8E9B16-FDE8-4FB5-87CE-DBD3E2EAD464}"/>
    <cellStyle name="Millares 3 21 2 2 2" xfId="5530" xr:uid="{F5FF8A52-1912-4B72-A4DA-4205C41915D0}"/>
    <cellStyle name="Millares 3 21 2 3" xfId="3727" xr:uid="{A146EB57-5241-46EA-996A-D2E6CF14B976}"/>
    <cellStyle name="Millares 3 21 20" xfId="2987" xr:uid="{A5813799-DCD6-4A6C-862E-56A901E29957}"/>
    <cellStyle name="Millares 3 21 20 2" xfId="5347" xr:uid="{8334657D-1734-4E91-ADD4-65CFF13090B5}"/>
    <cellStyle name="Millares 3 21 21" xfId="3081" xr:uid="{65FCAF33-5595-46B3-8778-AA817B1748AF}"/>
    <cellStyle name="Millares 3 21 21 2" xfId="5440" xr:uid="{491EE3F5-6F57-45D1-A374-1948ADEB2463}"/>
    <cellStyle name="Millares 3 21 22" xfId="3652" xr:uid="{F3866E8D-A366-4661-AFD4-E47DCF60D5DD}"/>
    <cellStyle name="Millares 3 21 3" xfId="1451" xr:uid="{00000000-0005-0000-0000-000067050000}"/>
    <cellStyle name="Millares 3 21 3 2" xfId="3817" xr:uid="{2E70BD97-EC0D-4B12-8BAD-5430F71F16BD}"/>
    <cellStyle name="Millares 3 21 4" xfId="1541" xr:uid="{00000000-0005-0000-0000-000068050000}"/>
    <cellStyle name="Millares 3 21 4 2" xfId="3907" xr:uid="{E1097792-4888-4AD3-96AC-80B9AF62A0F3}"/>
    <cellStyle name="Millares 3 21 5" xfId="1631" xr:uid="{00000000-0005-0000-0000-000069050000}"/>
    <cellStyle name="Millares 3 21 5 2" xfId="3997" xr:uid="{D79E4076-F5C4-4A15-87DA-4CEFC684539E}"/>
    <cellStyle name="Millares 3 21 6" xfId="1722" xr:uid="{00000000-0005-0000-0000-00006A050000}"/>
    <cellStyle name="Millares 3 21 6 2" xfId="4087" xr:uid="{00E0D788-DACC-48E3-B498-136D5BB58ACC}"/>
    <cellStyle name="Millares 3 21 7" xfId="1815" xr:uid="{00000000-0005-0000-0000-00006B050000}"/>
    <cellStyle name="Millares 3 21 7 2" xfId="4177" xr:uid="{BDDDCF7C-A489-4B8D-A265-73482D58CA69}"/>
    <cellStyle name="Millares 3 21 8" xfId="1906" xr:uid="{B728ACAA-1D1C-456E-A00A-202FE4C74ACE}"/>
    <cellStyle name="Millares 3 21 8 2" xfId="4267" xr:uid="{D9891C8D-AC25-468D-9FCE-EB71E02EBA5C}"/>
    <cellStyle name="Millares 3 21 9" xfId="1997" xr:uid="{D070909A-2C3F-480D-A78F-6283376A1CCC}"/>
    <cellStyle name="Millares 3 21 9 2" xfId="4357" xr:uid="{4DAFD369-B4CD-453C-9446-8938312D2680}"/>
    <cellStyle name="Millares 3 22" xfId="1355" xr:uid="{00000000-0005-0000-0000-00006C050000}"/>
    <cellStyle name="Millares 3 22 10" xfId="2178" xr:uid="{355D7150-DD6F-4762-AF77-3042336853EF}"/>
    <cellStyle name="Millares 3 22 10 2" xfId="4538" xr:uid="{C31DBE17-E8EF-4DC4-9D38-A4A52801DD60}"/>
    <cellStyle name="Millares 3 22 11" xfId="2267" xr:uid="{D1D110F2-6E92-4F3F-B8C6-1C16BB9C0BDD}"/>
    <cellStyle name="Millares 3 22 11 2" xfId="4627" xr:uid="{3E50B823-B1F5-4838-889F-2B4F5EC0E483}"/>
    <cellStyle name="Millares 3 22 12" xfId="2357" xr:uid="{732FD240-6A25-4ACF-9A2D-F27DC54A86CF}"/>
    <cellStyle name="Millares 3 22 12 2" xfId="4717" xr:uid="{8D129986-E671-4761-AFC0-B4FBE420D081}"/>
    <cellStyle name="Millares 3 22 13" xfId="2446" xr:uid="{DC6FB0E4-D20A-4FEB-86FA-09EF23EB7082}"/>
    <cellStyle name="Millares 3 22 13 2" xfId="4806" xr:uid="{9F8EF356-72A2-46D3-9344-B30ACB69D352}"/>
    <cellStyle name="Millares 3 22 14" xfId="2536" xr:uid="{102BD26E-01ED-47F7-B073-02EF1DB131AE}"/>
    <cellStyle name="Millares 3 22 14 2" xfId="4896" xr:uid="{24D8C321-79D2-4012-8E06-77EF036C4F96}"/>
    <cellStyle name="Millares 3 22 15" xfId="2625" xr:uid="{0085F593-D53A-422D-A5F5-BE9B5DF1C83D}"/>
    <cellStyle name="Millares 3 22 15 2" xfId="4985" xr:uid="{A4C1FE6E-2B06-4EFD-9345-9C22525F6D40}"/>
    <cellStyle name="Millares 3 22 16" xfId="2715" xr:uid="{4ED24322-5DD8-4D8D-9B57-9C0F801D11F0}"/>
    <cellStyle name="Millares 3 22 16 2" xfId="5075" xr:uid="{92569565-BA29-4424-AE3E-8CC5AEF19B95}"/>
    <cellStyle name="Millares 3 22 17" xfId="2805" xr:uid="{46726615-95B4-4D3A-BB50-E029B391B491}"/>
    <cellStyle name="Millares 3 22 17 2" xfId="5165" xr:uid="{F0B39F17-8449-4C92-AB8C-965F219475EC}"/>
    <cellStyle name="Millares 3 22 18" xfId="2895" xr:uid="{40103FEE-6728-4C79-9CE7-0800494D281B}"/>
    <cellStyle name="Millares 3 22 18 2" xfId="5255" xr:uid="{2CC51F87-90CE-4F3B-B6D8-5693B4F24022}"/>
    <cellStyle name="Millares 3 22 19" xfId="2988" xr:uid="{DAF50E97-D860-4A4E-9A10-2D73C0566BDB}"/>
    <cellStyle name="Millares 3 22 19 2" xfId="5348" xr:uid="{BE02A6EB-C050-4304-9B1C-8B4FBC7AC272}"/>
    <cellStyle name="Millares 3 22 2" xfId="1452" xr:uid="{00000000-0005-0000-0000-00006D050000}"/>
    <cellStyle name="Millares 3 22 2 2" xfId="3520" xr:uid="{977C2289-70D9-470B-94C0-32B183860DCD}"/>
    <cellStyle name="Millares 3 22 2 2 2" xfId="5531" xr:uid="{4EB7B8D5-4E55-4836-B121-4010C53715CC}"/>
    <cellStyle name="Millares 3 22 2 3" xfId="3818" xr:uid="{6C971F9E-B3D0-4331-86EE-568376EF3C0D}"/>
    <cellStyle name="Millares 3 22 20" xfId="3082" xr:uid="{53E9EC77-40B9-4A16-BA44-BA89815D098C}"/>
    <cellStyle name="Millares 3 22 20 2" xfId="5441" xr:uid="{C8C7F297-14E7-4C01-978E-6D5BA107960A}"/>
    <cellStyle name="Millares 3 22 21" xfId="3728" xr:uid="{E5650B72-F6CB-46A1-A832-C94BFB941E40}"/>
    <cellStyle name="Millares 3 22 3" xfId="1542" xr:uid="{00000000-0005-0000-0000-00006E050000}"/>
    <cellStyle name="Millares 3 22 3 2" xfId="3908" xr:uid="{84DC1007-9638-48F2-89AE-C6D2F63BBE39}"/>
    <cellStyle name="Millares 3 22 4" xfId="1632" xr:uid="{00000000-0005-0000-0000-00006F050000}"/>
    <cellStyle name="Millares 3 22 4 2" xfId="3998" xr:uid="{39E2CF4E-F07E-45B0-961D-28F64D87E283}"/>
    <cellStyle name="Millares 3 22 5" xfId="1723" xr:uid="{00000000-0005-0000-0000-000070050000}"/>
    <cellStyle name="Millares 3 22 5 2" xfId="4088" xr:uid="{0F95524A-A009-442F-B6A3-8941125E8EDC}"/>
    <cellStyle name="Millares 3 22 6" xfId="1816" xr:uid="{00000000-0005-0000-0000-000071050000}"/>
    <cellStyle name="Millares 3 22 6 2" xfId="4178" xr:uid="{678595DE-EFA9-4E95-AB4A-98382C11CD9D}"/>
    <cellStyle name="Millares 3 22 7" xfId="1907" xr:uid="{2F8A67FF-9F85-4B80-A892-BD53417F3B07}"/>
    <cellStyle name="Millares 3 22 7 2" xfId="4268" xr:uid="{3CCA8524-C0FA-4A8F-BEF4-44D504A7169F}"/>
    <cellStyle name="Millares 3 22 8" xfId="1998" xr:uid="{EB09353C-D978-4510-8464-D29A2D22A3DF}"/>
    <cellStyle name="Millares 3 22 8 2" xfId="4358" xr:uid="{AB6B7B33-D942-4C12-92E8-4342B4E1CD22}"/>
    <cellStyle name="Millares 3 22 9" xfId="2087" xr:uid="{E5E49327-F1F0-4EE2-A5A4-B3160E8E2036}"/>
    <cellStyle name="Millares 3 22 9 2" xfId="4447" xr:uid="{D2CAA920-AC39-46F8-BA31-238E4870BE80}"/>
    <cellStyle name="Millares 3 23" xfId="1341" xr:uid="{00000000-0005-0000-0000-000072050000}"/>
    <cellStyle name="Millares 3 23 2" xfId="3506" xr:uid="{F79DEF01-DDCC-4750-A9D8-7AA490B34999}"/>
    <cellStyle name="Millares 3 23 2 2" xfId="5517" xr:uid="{4A60C726-7DC3-4913-B2BD-624AEDCCD192}"/>
    <cellStyle name="Millares 3 23 3" xfId="3714" xr:uid="{9500AB13-C3FF-4CC5-9E1B-E24D8FE33D8C}"/>
    <cellStyle name="Millares 3 24" xfId="1438" xr:uid="{00000000-0005-0000-0000-000073050000}"/>
    <cellStyle name="Millares 3 24 2" xfId="3804" xr:uid="{47213B22-4C95-407F-96D6-352B8F5AF65C}"/>
    <cellStyle name="Millares 3 25" xfId="1528" xr:uid="{00000000-0005-0000-0000-000074050000}"/>
    <cellStyle name="Millares 3 25 2" xfId="3894" xr:uid="{103A5405-566F-4A7D-A590-FE177A470DF1}"/>
    <cellStyle name="Millares 3 26" xfId="1618" xr:uid="{00000000-0005-0000-0000-000075050000}"/>
    <cellStyle name="Millares 3 26 2" xfId="3984" xr:uid="{855F2849-ADA6-4793-9BFE-E67F464A5070}"/>
    <cellStyle name="Millares 3 27" xfId="1709" xr:uid="{00000000-0005-0000-0000-000076050000}"/>
    <cellStyle name="Millares 3 27 2" xfId="4074" xr:uid="{3991CE4B-6199-45DB-B2DB-611E94813262}"/>
    <cellStyle name="Millares 3 28" xfId="1802" xr:uid="{00000000-0005-0000-0000-000077050000}"/>
    <cellStyle name="Millares 3 28 2" xfId="4164" xr:uid="{F3DE6899-BA54-4C26-8436-836ED9D80018}"/>
    <cellStyle name="Millares 3 29" xfId="1893" xr:uid="{4CEA6988-6844-4DB9-B947-4CE1D77B1187}"/>
    <cellStyle name="Millares 3 29 2" xfId="4254" xr:uid="{4B1B451A-7E46-417D-B75C-E2A5786DA8CC}"/>
    <cellStyle name="Millares 3 3" xfId="1201" xr:uid="{00000000-0005-0000-0000-000078050000}"/>
    <cellStyle name="Millares 3 3 10" xfId="2088" xr:uid="{81EA8C15-A9F0-477C-B8BD-7A189F72BADF}"/>
    <cellStyle name="Millares 3 3 10 2" xfId="4448" xr:uid="{77DE7620-03F3-43FB-920C-97FEFDC28F51}"/>
    <cellStyle name="Millares 3 3 11" xfId="2179" xr:uid="{65B19E6C-63F5-4376-8815-227BE6DFF83C}"/>
    <cellStyle name="Millares 3 3 11 2" xfId="4539" xr:uid="{563EB2B8-7387-48A2-9BDC-0B3DB1C46FA1}"/>
    <cellStyle name="Millares 3 3 12" xfId="2268" xr:uid="{F65F3D5F-0B75-4FF0-9616-AEDB08757F14}"/>
    <cellStyle name="Millares 3 3 12 2" xfId="4628" xr:uid="{2F05B2AA-6B43-441B-87C7-78B6B93A25D3}"/>
    <cellStyle name="Millares 3 3 13" xfId="2358" xr:uid="{18CD27A6-5152-415A-B92D-C136C27827E8}"/>
    <cellStyle name="Millares 3 3 13 2" xfId="4718" xr:uid="{1FE44CED-6A6F-46F4-AE41-20BAFC17BC60}"/>
    <cellStyle name="Millares 3 3 14" xfId="2447" xr:uid="{6FB772A1-4072-437B-AE2C-A49298B0DAA2}"/>
    <cellStyle name="Millares 3 3 14 2" xfId="4807" xr:uid="{2FDDB672-02AC-4E4A-BC5B-A34551331369}"/>
    <cellStyle name="Millares 3 3 15" xfId="2537" xr:uid="{EF43F6A7-297D-434B-A738-3A2EA93191A1}"/>
    <cellStyle name="Millares 3 3 15 2" xfId="4897" xr:uid="{1D44228B-595A-47D9-B7EA-4E9BC9693409}"/>
    <cellStyle name="Millares 3 3 16" xfId="2626" xr:uid="{F4A8E57C-C53E-4F0E-84DA-F2341ED2036C}"/>
    <cellStyle name="Millares 3 3 16 2" xfId="4986" xr:uid="{6FEAC4F1-7E52-426C-94EA-50BD632FC254}"/>
    <cellStyle name="Millares 3 3 17" xfId="2716" xr:uid="{06DB3823-92A1-4461-903F-67D64D59D1C9}"/>
    <cellStyle name="Millares 3 3 17 2" xfId="5076" xr:uid="{4C167B5A-5313-442F-8876-C804BA728CFC}"/>
    <cellStyle name="Millares 3 3 18" xfId="2806" xr:uid="{B7E549D8-B5F9-4B14-8A32-326BF1AA9033}"/>
    <cellStyle name="Millares 3 3 18 2" xfId="5166" xr:uid="{249F6370-6F72-456B-A8DC-D281190A7B9B}"/>
    <cellStyle name="Millares 3 3 19" xfId="2896" xr:uid="{CFDF9E08-EA58-4BD2-BC91-AC109EAF451E}"/>
    <cellStyle name="Millares 3 3 19 2" xfId="5256" xr:uid="{CACCB23E-13B9-4594-B6D3-E52A056A51D9}"/>
    <cellStyle name="Millares 3 3 2" xfId="1356" xr:uid="{00000000-0005-0000-0000-000079050000}"/>
    <cellStyle name="Millares 3 3 2 2" xfId="3521" xr:uid="{2D205318-D928-4FBC-BF9B-36C4EF10F482}"/>
    <cellStyle name="Millares 3 3 2 2 2" xfId="5532" xr:uid="{D0EC9478-C8DA-45D6-AFE7-2BB6656AA51A}"/>
    <cellStyle name="Millares 3 3 2 3" xfId="3729" xr:uid="{BE478833-8CF1-487C-AFD8-D0274AC11620}"/>
    <cellStyle name="Millares 3 3 20" xfId="2989" xr:uid="{5041C413-28BF-4E47-BB7D-8AB11404D54B}"/>
    <cellStyle name="Millares 3 3 20 2" xfId="5349" xr:uid="{1E2ABBED-1CFB-4DC8-B9A0-CB04EEF006E0}"/>
    <cellStyle name="Millares 3 3 21" xfId="3083" xr:uid="{9DF50DC0-3CD1-4598-9321-ED140D60BEB3}"/>
    <cellStyle name="Millares 3 3 21 2" xfId="5442" xr:uid="{362D975C-378B-4EC0-9C02-8B55E03F8FF8}"/>
    <cellStyle name="Millares 3 3 22" xfId="3580" xr:uid="{FE693BFB-2225-4B7B-8FBD-5F3C119AAC6F}"/>
    <cellStyle name="Millares 3 3 3" xfId="1453" xr:uid="{00000000-0005-0000-0000-00007A050000}"/>
    <cellStyle name="Millares 3 3 3 2" xfId="3819" xr:uid="{58229C56-FADA-48CC-B380-052C6C1D09E0}"/>
    <cellStyle name="Millares 3 3 4" xfId="1543" xr:uid="{00000000-0005-0000-0000-00007B050000}"/>
    <cellStyle name="Millares 3 3 4 2" xfId="3909" xr:uid="{E36032E5-A48E-428C-96FA-DB62105D7866}"/>
    <cellStyle name="Millares 3 3 5" xfId="1633" xr:uid="{00000000-0005-0000-0000-00007C050000}"/>
    <cellStyle name="Millares 3 3 5 2" xfId="3999" xr:uid="{C1B12C0D-0977-4480-BBA5-91E6271AAB46}"/>
    <cellStyle name="Millares 3 3 6" xfId="1724" xr:uid="{00000000-0005-0000-0000-00007D050000}"/>
    <cellStyle name="Millares 3 3 6 2" xfId="4089" xr:uid="{59332F9A-B228-495F-A1C2-4E30C050B48C}"/>
    <cellStyle name="Millares 3 3 7" xfId="1817" xr:uid="{00000000-0005-0000-0000-00007E050000}"/>
    <cellStyle name="Millares 3 3 7 2" xfId="4179" xr:uid="{523637F0-D655-4055-A841-66788F31E3AE}"/>
    <cellStyle name="Millares 3 3 8" xfId="1908" xr:uid="{547D8CF0-4DF3-4186-A657-E475DEB4750D}"/>
    <cellStyle name="Millares 3 3 8 2" xfId="4269" xr:uid="{6C3D0B22-AF2A-405C-A186-ED42902FFFD0}"/>
    <cellStyle name="Millares 3 3 9" xfId="1999" xr:uid="{1FD77CA2-6B1F-4732-8019-62CCAFC71494}"/>
    <cellStyle name="Millares 3 3 9 2" xfId="4359" xr:uid="{43D938E7-6E5F-47FB-885B-303F8BEB66D1}"/>
    <cellStyle name="Millares 3 30" xfId="1984" xr:uid="{C185E042-1613-4F16-9853-061410D4CE34}"/>
    <cellStyle name="Millares 3 30 2" xfId="4344" xr:uid="{53382323-5FFB-47F9-A282-4AD374EA5141}"/>
    <cellStyle name="Millares 3 31" xfId="2073" xr:uid="{E81C5E15-52A9-47A4-8042-A6B0961E72CD}"/>
    <cellStyle name="Millares 3 31 2" xfId="4433" xr:uid="{1303AB3E-E437-49C0-BC95-5D64E189B1C3}"/>
    <cellStyle name="Millares 3 32" xfId="2164" xr:uid="{D27BEBBF-1F58-47E3-B7DC-EAEAB3885AE8}"/>
    <cellStyle name="Millares 3 32 2" xfId="4524" xr:uid="{0C112AA0-8263-405F-87D1-CA634C4C4FCF}"/>
    <cellStyle name="Millares 3 33" xfId="2253" xr:uid="{7B73BA45-2329-42C7-86A3-56A207CF0437}"/>
    <cellStyle name="Millares 3 33 2" xfId="4613" xr:uid="{CF05A61A-A3F1-4193-8CA7-4BE8B50FB121}"/>
    <cellStyle name="Millares 3 34" xfId="2343" xr:uid="{8FDAD471-50F9-4278-A25D-8D309CE229FF}"/>
    <cellStyle name="Millares 3 34 2" xfId="4703" xr:uid="{6777EC82-E9A0-45B3-9F27-CE57DCC13DD0}"/>
    <cellStyle name="Millares 3 35" xfId="2432" xr:uid="{2AF319C3-FFED-4473-97BC-A2A58124CE29}"/>
    <cellStyle name="Millares 3 35 2" xfId="4792" xr:uid="{DE7142F4-2DF9-4516-9CA7-D0ADE8E63F30}"/>
    <cellStyle name="Millares 3 36" xfId="2522" xr:uid="{D1AD3199-8E1B-418D-8480-5CD0FCAE5EC3}"/>
    <cellStyle name="Millares 3 36 2" xfId="4882" xr:uid="{0219F0EB-37FB-4D14-BCC4-1E6CDEFD6AE1}"/>
    <cellStyle name="Millares 3 37" xfId="2611" xr:uid="{26CA0E42-98AE-4C57-9454-6AA74B0857B0}"/>
    <cellStyle name="Millares 3 37 2" xfId="4971" xr:uid="{52C58741-E588-4D8D-9D3A-B93591D68C4C}"/>
    <cellStyle name="Millares 3 38" xfId="2701" xr:uid="{D1A62CD0-599B-4F10-817C-022CFEBCDC4B}"/>
    <cellStyle name="Millares 3 38 2" xfId="5061" xr:uid="{C950FF84-3EEE-44FE-A2F3-CD81425BB0D8}"/>
    <cellStyle name="Millares 3 39" xfId="2791" xr:uid="{66BC8E77-F728-40F9-85E1-65BB03DF5868}"/>
    <cellStyle name="Millares 3 39 2" xfId="5151" xr:uid="{42245480-2F2C-4A7D-9ADF-C8AB8F061D8C}"/>
    <cellStyle name="Millares 3 4" xfId="1206" xr:uid="{00000000-0005-0000-0000-00007F050000}"/>
    <cellStyle name="Millares 3 4 10" xfId="2089" xr:uid="{0412F955-6100-40A0-90D7-7D8BF6AE197B}"/>
    <cellStyle name="Millares 3 4 10 2" xfId="4449" xr:uid="{CAFFBF29-B444-479E-8F9C-F08834921866}"/>
    <cellStyle name="Millares 3 4 11" xfId="2180" xr:uid="{04C0C258-1DA7-4035-A702-79AE05DD4AE4}"/>
    <cellStyle name="Millares 3 4 11 2" xfId="4540" xr:uid="{EB3D1ED2-FC63-4A14-B0B2-2925E700AC16}"/>
    <cellStyle name="Millares 3 4 12" xfId="2269" xr:uid="{D58B6AFB-F6FC-4B68-82E6-DEA4AAB501CE}"/>
    <cellStyle name="Millares 3 4 12 2" xfId="4629" xr:uid="{2121F092-190D-4A22-847C-10CA3BC77A2A}"/>
    <cellStyle name="Millares 3 4 13" xfId="2359" xr:uid="{9F878852-D505-46A9-AD96-BDA8D529BBDB}"/>
    <cellStyle name="Millares 3 4 13 2" xfId="4719" xr:uid="{782D67A6-6762-4962-98EA-9937B2052EDB}"/>
    <cellStyle name="Millares 3 4 14" xfId="2448" xr:uid="{17DE524E-E0D6-48AF-AD8F-9892A79C8832}"/>
    <cellStyle name="Millares 3 4 14 2" xfId="4808" xr:uid="{E790031B-C318-4ECC-8156-BAC9ABF86B67}"/>
    <cellStyle name="Millares 3 4 15" xfId="2538" xr:uid="{6DDCAC48-A216-4679-A359-56C49BD9EBBB}"/>
    <cellStyle name="Millares 3 4 15 2" xfId="4898" xr:uid="{FD73D256-ABBA-4A66-B0E0-960B153E643A}"/>
    <cellStyle name="Millares 3 4 16" xfId="2627" xr:uid="{C7370308-43A2-47FE-B50B-B74D189F5F35}"/>
    <cellStyle name="Millares 3 4 16 2" xfId="4987" xr:uid="{0F6E29DD-C569-4F47-9641-024C5C1D1C52}"/>
    <cellStyle name="Millares 3 4 17" xfId="2717" xr:uid="{2908C877-23CF-49D3-9EF9-A7B90395F8F5}"/>
    <cellStyle name="Millares 3 4 17 2" xfId="5077" xr:uid="{B4B9D254-72AA-4A6E-8419-3B7047FB5039}"/>
    <cellStyle name="Millares 3 4 18" xfId="2807" xr:uid="{C561E5E1-4BC3-4847-BBAA-5D324535F236}"/>
    <cellStyle name="Millares 3 4 18 2" xfId="5167" xr:uid="{1AE2C04C-49D7-48B3-A75C-8D36E003FB4D}"/>
    <cellStyle name="Millares 3 4 19" xfId="2897" xr:uid="{7F67C996-5E1D-47F0-9E50-43C00C711E53}"/>
    <cellStyle name="Millares 3 4 19 2" xfId="5257" xr:uid="{C6B2EE21-DB93-4553-AD29-76DFFE3E6023}"/>
    <cellStyle name="Millares 3 4 2" xfId="1357" xr:uid="{00000000-0005-0000-0000-000080050000}"/>
    <cellStyle name="Millares 3 4 2 2" xfId="3522" xr:uid="{0ADD1531-520E-46E2-A064-A8F194F26DB2}"/>
    <cellStyle name="Millares 3 4 2 2 2" xfId="5533" xr:uid="{59205E4F-EBF3-4265-968C-294472B92241}"/>
    <cellStyle name="Millares 3 4 2 3" xfId="3730" xr:uid="{7ADE89BF-34DC-4F0E-AD0D-26F9B7ABB726}"/>
    <cellStyle name="Millares 3 4 20" xfId="2990" xr:uid="{C1AE1039-E755-4C2D-83E1-D945AD0DFFE8}"/>
    <cellStyle name="Millares 3 4 20 2" xfId="5350" xr:uid="{2C2A5A43-4C37-46B8-82B5-99874EDCFE9A}"/>
    <cellStyle name="Millares 3 4 21" xfId="3084" xr:uid="{5141CC0B-BA2F-4D3C-BDAF-DC31D471AB50}"/>
    <cellStyle name="Millares 3 4 21 2" xfId="5443" xr:uid="{0815E3E4-D967-4F19-BAEB-374727870DA0}"/>
    <cellStyle name="Millares 3 4 22" xfId="3584" xr:uid="{1B31423B-6A05-4F91-94CA-0FB42629C143}"/>
    <cellStyle name="Millares 3 4 3" xfId="1454" xr:uid="{00000000-0005-0000-0000-000081050000}"/>
    <cellStyle name="Millares 3 4 3 2" xfId="3820" xr:uid="{B9871238-DF01-4509-9864-78459D583D5B}"/>
    <cellStyle name="Millares 3 4 4" xfId="1544" xr:uid="{00000000-0005-0000-0000-000082050000}"/>
    <cellStyle name="Millares 3 4 4 2" xfId="3910" xr:uid="{8E5C39C1-CF3B-454A-9508-63F106F2E891}"/>
    <cellStyle name="Millares 3 4 5" xfId="1634" xr:uid="{00000000-0005-0000-0000-000083050000}"/>
    <cellStyle name="Millares 3 4 5 2" xfId="4000" xr:uid="{927D8C3E-A36F-445C-B1D9-DAC9CF33332D}"/>
    <cellStyle name="Millares 3 4 6" xfId="1725" xr:uid="{00000000-0005-0000-0000-000084050000}"/>
    <cellStyle name="Millares 3 4 6 2" xfId="4090" xr:uid="{12620214-9403-4EF7-ABE6-A3F11F66EDEB}"/>
    <cellStyle name="Millares 3 4 7" xfId="1818" xr:uid="{00000000-0005-0000-0000-000085050000}"/>
    <cellStyle name="Millares 3 4 7 2" xfId="4180" xr:uid="{FA275D00-4C62-4483-8D63-0F123802D094}"/>
    <cellStyle name="Millares 3 4 8" xfId="1909" xr:uid="{30D3A51F-E35E-49F6-8E0B-EDA224D5D554}"/>
    <cellStyle name="Millares 3 4 8 2" xfId="4270" xr:uid="{E98341E4-3371-461F-AB8A-3E8119DC2A6D}"/>
    <cellStyle name="Millares 3 4 9" xfId="2000" xr:uid="{8BB55011-C21E-460B-BDA2-0BA0BA7817ED}"/>
    <cellStyle name="Millares 3 4 9 2" xfId="4360" xr:uid="{8A1D4443-0A26-45D5-A65C-448988DDFABB}"/>
    <cellStyle name="Millares 3 40" xfId="2881" xr:uid="{8C0C6763-ADB1-4166-987E-245DD44048D6}"/>
    <cellStyle name="Millares 3 40 2" xfId="5241" xr:uid="{02E319C9-E533-46DF-A69E-9226BFCECB1F}"/>
    <cellStyle name="Millares 3 41" xfId="2974" xr:uid="{340622D9-F165-4DC2-B7D7-7393D19824F0}"/>
    <cellStyle name="Millares 3 41 2" xfId="5334" xr:uid="{D8A9C822-B7B3-4A6E-8E64-2C6005D53CB6}"/>
    <cellStyle name="Millares 3 42" xfId="3068" xr:uid="{FA4134AF-9F54-44AD-998B-780BACB85E8F}"/>
    <cellStyle name="Millares 3 42 2" xfId="5427" xr:uid="{31AAFC86-8440-4668-A46B-316C45BBB33C}"/>
    <cellStyle name="Millares 3 43" xfId="3572" xr:uid="{332BC667-60E6-4183-B3F7-487AC7331921}"/>
    <cellStyle name="Millares 3 5" xfId="1210" xr:uid="{00000000-0005-0000-0000-000086050000}"/>
    <cellStyle name="Millares 3 5 10" xfId="2090" xr:uid="{84A02537-DF7E-4844-A99F-0639EE4B4B66}"/>
    <cellStyle name="Millares 3 5 10 2" xfId="4450" xr:uid="{BC95D94A-A6E0-4928-8896-34402B6995B9}"/>
    <cellStyle name="Millares 3 5 11" xfId="2181" xr:uid="{4032463C-7B8D-4D33-9A0C-ECD8C137E210}"/>
    <cellStyle name="Millares 3 5 11 2" xfId="4541" xr:uid="{B9F4AACE-F4DF-4FCB-B14B-D892C65E89FA}"/>
    <cellStyle name="Millares 3 5 12" xfId="2270" xr:uid="{4E1C59A9-55FB-4807-8554-2C3E5A601EF1}"/>
    <cellStyle name="Millares 3 5 12 2" xfId="4630" xr:uid="{5B14609F-BD37-4948-99F5-A5F04C1D59DB}"/>
    <cellStyle name="Millares 3 5 13" xfId="2360" xr:uid="{C37C9074-1548-4A00-9F6A-34449C8A317C}"/>
    <cellStyle name="Millares 3 5 13 2" xfId="4720" xr:uid="{0DB16918-1F27-4719-B893-CB58F8418D5E}"/>
    <cellStyle name="Millares 3 5 14" xfId="2449" xr:uid="{FB9405A8-D173-4542-94CF-CDC67C1C3230}"/>
    <cellStyle name="Millares 3 5 14 2" xfId="4809" xr:uid="{1070CF5B-8E55-46D0-8861-53B93AEB681C}"/>
    <cellStyle name="Millares 3 5 15" xfId="2539" xr:uid="{6E7585A6-8450-4A9E-A193-B1C5C3B4A50A}"/>
    <cellStyle name="Millares 3 5 15 2" xfId="4899" xr:uid="{72618332-24D6-48E5-BB76-AB7F696F9111}"/>
    <cellStyle name="Millares 3 5 16" xfId="2628" xr:uid="{A3F75FEF-FF37-4E6D-9DC3-DEC83848DCCC}"/>
    <cellStyle name="Millares 3 5 16 2" xfId="4988" xr:uid="{E5307AE5-FFB3-4CCC-A1D3-8F32415A3596}"/>
    <cellStyle name="Millares 3 5 17" xfId="2718" xr:uid="{788BC59A-8E9A-4722-B799-B6BEC097C84C}"/>
    <cellStyle name="Millares 3 5 17 2" xfId="5078" xr:uid="{5E9B6C4B-7571-4E41-87F0-88C9DE3473B4}"/>
    <cellStyle name="Millares 3 5 18" xfId="2808" xr:uid="{6003EA1A-41DB-45FF-B745-3B6F062DB078}"/>
    <cellStyle name="Millares 3 5 18 2" xfId="5168" xr:uid="{C67FA6E9-E73C-4486-A3DB-BA2D17F6279F}"/>
    <cellStyle name="Millares 3 5 19" xfId="2898" xr:uid="{F6B1D531-6584-4B9B-A481-B920E12108A4}"/>
    <cellStyle name="Millares 3 5 19 2" xfId="5258" xr:uid="{BFECB82E-3A28-40DE-B1B0-57A23D1B4377}"/>
    <cellStyle name="Millares 3 5 2" xfId="1358" xr:uid="{00000000-0005-0000-0000-000087050000}"/>
    <cellStyle name="Millares 3 5 2 2" xfId="3523" xr:uid="{151AC96A-A727-4539-AD5D-A6C26EB91FE4}"/>
    <cellStyle name="Millares 3 5 2 2 2" xfId="5534" xr:uid="{CBF2FAC3-E8EA-4869-AF45-CDEC57A0E160}"/>
    <cellStyle name="Millares 3 5 2 3" xfId="3731" xr:uid="{E9B013BF-7499-40C8-B053-C2934A435F79}"/>
    <cellStyle name="Millares 3 5 20" xfId="2991" xr:uid="{4A24EFB4-E0CE-4C6E-96B6-570398427B0C}"/>
    <cellStyle name="Millares 3 5 20 2" xfId="5351" xr:uid="{29945508-012B-4232-8DE2-476528090A45}"/>
    <cellStyle name="Millares 3 5 21" xfId="3085" xr:uid="{7494F474-E0A3-4DB9-8919-E00E38CB3B5B}"/>
    <cellStyle name="Millares 3 5 21 2" xfId="5444" xr:uid="{B8C730A9-BAFE-4BF7-A493-70B5B48FD407}"/>
    <cellStyle name="Millares 3 5 22" xfId="3588" xr:uid="{DCC49266-CA65-4CF6-A5E0-5BAAB49355B9}"/>
    <cellStyle name="Millares 3 5 3" xfId="1455" xr:uid="{00000000-0005-0000-0000-000088050000}"/>
    <cellStyle name="Millares 3 5 3 2" xfId="3821" xr:uid="{A10AA115-46A2-4777-B70B-0E213611742A}"/>
    <cellStyle name="Millares 3 5 4" xfId="1545" xr:uid="{00000000-0005-0000-0000-000089050000}"/>
    <cellStyle name="Millares 3 5 4 2" xfId="3911" xr:uid="{56DC5E95-3028-45B2-BA01-B20F372E17B4}"/>
    <cellStyle name="Millares 3 5 5" xfId="1635" xr:uid="{00000000-0005-0000-0000-00008A050000}"/>
    <cellStyle name="Millares 3 5 5 2" xfId="4001" xr:uid="{083876FA-38D9-409C-8D1C-2FDDA94639A1}"/>
    <cellStyle name="Millares 3 5 6" xfId="1726" xr:uid="{00000000-0005-0000-0000-00008B050000}"/>
    <cellStyle name="Millares 3 5 6 2" xfId="4091" xr:uid="{D59A540C-4BFF-4D4A-824C-B50A8DCF255D}"/>
    <cellStyle name="Millares 3 5 7" xfId="1819" xr:uid="{00000000-0005-0000-0000-00008C050000}"/>
    <cellStyle name="Millares 3 5 7 2" xfId="4181" xr:uid="{2E75CEA2-B1CC-4FB4-9045-35F49B7D1465}"/>
    <cellStyle name="Millares 3 5 8" xfId="1910" xr:uid="{6C527B31-35FD-4FC3-96F5-76164855CB5B}"/>
    <cellStyle name="Millares 3 5 8 2" xfId="4271" xr:uid="{316B88C3-EAE3-4E9D-B151-3D87074CC87F}"/>
    <cellStyle name="Millares 3 5 9" xfId="2001" xr:uid="{E2B3119B-2A74-4277-9890-E36F284AC323}"/>
    <cellStyle name="Millares 3 5 9 2" xfId="4361" xr:uid="{E5BDF2D4-3E40-4883-925C-0B4443C0CE3B}"/>
    <cellStyle name="Millares 3 6" xfId="1214" xr:uid="{00000000-0005-0000-0000-00008D050000}"/>
    <cellStyle name="Millares 3 6 10" xfId="2091" xr:uid="{8494F522-1BCB-4D2C-A44A-F6913CC52608}"/>
    <cellStyle name="Millares 3 6 10 2" xfId="4451" xr:uid="{BFC1D002-3EB7-41C2-B949-3B803D1ED3FE}"/>
    <cellStyle name="Millares 3 6 11" xfId="2182" xr:uid="{E8D22BA2-0146-40DD-BC60-96E2DF3414C7}"/>
    <cellStyle name="Millares 3 6 11 2" xfId="4542" xr:uid="{F6511C19-D4F3-496E-810C-9F1DC5CB24E6}"/>
    <cellStyle name="Millares 3 6 12" xfId="2271" xr:uid="{7F2636DB-DA84-4C4F-8C9E-753675720562}"/>
    <cellStyle name="Millares 3 6 12 2" xfId="4631" xr:uid="{06C0BCDF-D5DC-4290-8499-69CD241E1F9B}"/>
    <cellStyle name="Millares 3 6 13" xfId="2361" xr:uid="{7B8323E2-D48D-48DE-ABDE-EBED639E948D}"/>
    <cellStyle name="Millares 3 6 13 2" xfId="4721" xr:uid="{EF1F7A51-94A8-4177-8AF9-BDDA2505840C}"/>
    <cellStyle name="Millares 3 6 14" xfId="2450" xr:uid="{A3982968-AE90-4B21-9ECB-7319EA62A54F}"/>
    <cellStyle name="Millares 3 6 14 2" xfId="4810" xr:uid="{400D3237-BB71-471E-8CCE-3363BE10D1E2}"/>
    <cellStyle name="Millares 3 6 15" xfId="2540" xr:uid="{24B662E8-A100-4196-9CF4-6D5ACF8BEE75}"/>
    <cellStyle name="Millares 3 6 15 2" xfId="4900" xr:uid="{7CE992B9-492E-407F-A325-7551B69CE4A0}"/>
    <cellStyle name="Millares 3 6 16" xfId="2629" xr:uid="{33CFD0F3-8A5E-4BBD-93C3-CCEE644C847A}"/>
    <cellStyle name="Millares 3 6 16 2" xfId="4989" xr:uid="{5F51E7B9-B2DE-4807-B11B-9ADAAA7527EE}"/>
    <cellStyle name="Millares 3 6 17" xfId="2719" xr:uid="{864A17F2-A506-406B-8B26-C2E249115EA7}"/>
    <cellStyle name="Millares 3 6 17 2" xfId="5079" xr:uid="{0E9586BC-B666-4A2F-A482-778D305BD544}"/>
    <cellStyle name="Millares 3 6 18" xfId="2809" xr:uid="{EB932016-2F78-4F94-91C2-AB2A2C57C351}"/>
    <cellStyle name="Millares 3 6 18 2" xfId="5169" xr:uid="{CCFDA1A6-0246-470D-BA29-E1A1996FE435}"/>
    <cellStyle name="Millares 3 6 19" xfId="2899" xr:uid="{07DF1442-2CA3-4FB0-8F98-CBEC420C99A5}"/>
    <cellStyle name="Millares 3 6 19 2" xfId="5259" xr:uid="{941EA6DD-E902-4EDC-A819-71813D7FD235}"/>
    <cellStyle name="Millares 3 6 2" xfId="1359" xr:uid="{00000000-0005-0000-0000-00008E050000}"/>
    <cellStyle name="Millares 3 6 2 2" xfId="3524" xr:uid="{513CDC09-9363-4E61-912D-8ED0D4064144}"/>
    <cellStyle name="Millares 3 6 2 2 2" xfId="5535" xr:uid="{EDDAACB7-FEAB-40AA-8AD5-4AC56C769EF9}"/>
    <cellStyle name="Millares 3 6 2 3" xfId="3732" xr:uid="{C0015DE6-1794-4503-A737-6EF33E26FB17}"/>
    <cellStyle name="Millares 3 6 20" xfId="2992" xr:uid="{860D7CBD-5E64-444D-868F-F79E626B8F28}"/>
    <cellStyle name="Millares 3 6 20 2" xfId="5352" xr:uid="{C34DC65C-8215-4BC8-AF94-1D06D8E11B21}"/>
    <cellStyle name="Millares 3 6 21" xfId="3086" xr:uid="{C1E70E4A-1A4F-465B-BADD-F0FFC2022C47}"/>
    <cellStyle name="Millares 3 6 21 2" xfId="5445" xr:uid="{12DE4DAF-25DE-40F1-85CD-F68D7B909887}"/>
    <cellStyle name="Millares 3 6 22" xfId="3592" xr:uid="{80E28853-CAB8-481D-B6A3-E88B50DD689E}"/>
    <cellStyle name="Millares 3 6 3" xfId="1456" xr:uid="{00000000-0005-0000-0000-00008F050000}"/>
    <cellStyle name="Millares 3 6 3 2" xfId="3822" xr:uid="{75DC6A9B-C0DB-4F0D-B9FB-BB20C5957DF5}"/>
    <cellStyle name="Millares 3 6 4" xfId="1546" xr:uid="{00000000-0005-0000-0000-000090050000}"/>
    <cellStyle name="Millares 3 6 4 2" xfId="3912" xr:uid="{9FF1C8EA-F8E2-4FF3-BB37-6E1CB55342CA}"/>
    <cellStyle name="Millares 3 6 5" xfId="1636" xr:uid="{00000000-0005-0000-0000-000091050000}"/>
    <cellStyle name="Millares 3 6 5 2" xfId="4002" xr:uid="{FF82B852-645E-4692-98C8-3FF2C4B02983}"/>
    <cellStyle name="Millares 3 6 6" xfId="1727" xr:uid="{00000000-0005-0000-0000-000092050000}"/>
    <cellStyle name="Millares 3 6 6 2" xfId="4092" xr:uid="{776A9480-1FAE-4646-A615-99A68FBCB96F}"/>
    <cellStyle name="Millares 3 6 7" xfId="1820" xr:uid="{00000000-0005-0000-0000-000093050000}"/>
    <cellStyle name="Millares 3 6 7 2" xfId="4182" xr:uid="{CFB42793-8996-4CD6-A161-6E6EE7D16045}"/>
    <cellStyle name="Millares 3 6 8" xfId="1911" xr:uid="{C41848CB-9837-4107-AF73-A9FC0D6B70DB}"/>
    <cellStyle name="Millares 3 6 8 2" xfId="4272" xr:uid="{49D50098-98B4-47A4-BD02-4F07AAF8CFC0}"/>
    <cellStyle name="Millares 3 6 9" xfId="2002" xr:uid="{31EE3513-9279-4DDD-B54A-3E9527F87536}"/>
    <cellStyle name="Millares 3 6 9 2" xfId="4362" xr:uid="{D11342DB-8668-457D-AEDF-045BD6C44D52}"/>
    <cellStyle name="Millares 3 7" xfId="1218" xr:uid="{00000000-0005-0000-0000-000094050000}"/>
    <cellStyle name="Millares 3 7 10" xfId="2092" xr:uid="{7F53B373-D73E-4CC4-9F43-B8C806EB39AD}"/>
    <cellStyle name="Millares 3 7 10 2" xfId="4452" xr:uid="{B0760EE4-9DEE-46D8-BE34-CD02A1F3D1A3}"/>
    <cellStyle name="Millares 3 7 11" xfId="2183" xr:uid="{8ADCFE2A-D20B-4ACB-8F95-E6233581D61A}"/>
    <cellStyle name="Millares 3 7 11 2" xfId="4543" xr:uid="{7CC4B7DB-27AE-4BB7-8EAC-70252A01CC0C}"/>
    <cellStyle name="Millares 3 7 12" xfId="2272" xr:uid="{992ADD42-DABE-4794-9263-552EED761F98}"/>
    <cellStyle name="Millares 3 7 12 2" xfId="4632" xr:uid="{38CB35F5-2E56-4311-9C82-8AA404B057C3}"/>
    <cellStyle name="Millares 3 7 13" xfId="2362" xr:uid="{24633DB2-4B92-44C3-9EC2-213F0C5C0A25}"/>
    <cellStyle name="Millares 3 7 13 2" xfId="4722" xr:uid="{8A7E530C-193C-4221-BDDF-A7B93E66DDC8}"/>
    <cellStyle name="Millares 3 7 14" xfId="2451" xr:uid="{265A75E6-5805-4402-A326-58ACAFCA2A58}"/>
    <cellStyle name="Millares 3 7 14 2" xfId="4811" xr:uid="{EE6FDDAD-92E2-48F4-AF19-9A26C9F92C07}"/>
    <cellStyle name="Millares 3 7 15" xfId="2541" xr:uid="{E3A7713E-3930-4683-98BE-53219FF920F4}"/>
    <cellStyle name="Millares 3 7 15 2" xfId="4901" xr:uid="{E71937B9-7A4D-4127-A7C5-71675944301F}"/>
    <cellStyle name="Millares 3 7 16" xfId="2630" xr:uid="{4040D8CC-EAA6-4F51-AC4E-ADB125843E6C}"/>
    <cellStyle name="Millares 3 7 16 2" xfId="4990" xr:uid="{27508042-200F-4E0A-BC83-087A2E1D4F30}"/>
    <cellStyle name="Millares 3 7 17" xfId="2720" xr:uid="{BC0E7AB9-2764-4453-9582-D0353F4180DA}"/>
    <cellStyle name="Millares 3 7 17 2" xfId="5080" xr:uid="{034216CF-1404-42D1-926D-B5DF48F9957D}"/>
    <cellStyle name="Millares 3 7 18" xfId="2810" xr:uid="{9C14FF83-3CAB-4048-B90E-48805E6BC33E}"/>
    <cellStyle name="Millares 3 7 18 2" xfId="5170" xr:uid="{052C47FB-DAAD-4C8A-B05F-5BC2EE7C0DEA}"/>
    <cellStyle name="Millares 3 7 19" xfId="2900" xr:uid="{0FF1C2A5-ABC4-4621-80DB-5ECE658B38DF}"/>
    <cellStyle name="Millares 3 7 19 2" xfId="5260" xr:uid="{FE7CB44F-F4B6-4E65-8869-C8DB0961FD8C}"/>
    <cellStyle name="Millares 3 7 2" xfId="1360" xr:uid="{00000000-0005-0000-0000-000095050000}"/>
    <cellStyle name="Millares 3 7 2 2" xfId="3525" xr:uid="{7851D65D-00D8-4222-9C6D-63F7EC76567D}"/>
    <cellStyle name="Millares 3 7 2 2 2" xfId="5536" xr:uid="{BDFCB816-15B8-4F4D-B2D7-A0529FE440ED}"/>
    <cellStyle name="Millares 3 7 2 3" xfId="3733" xr:uid="{6E635C63-D649-449E-90B6-B04D43CFB299}"/>
    <cellStyle name="Millares 3 7 20" xfId="2993" xr:uid="{AF2C094B-EC88-43E8-9B8F-13307D0727CC}"/>
    <cellStyle name="Millares 3 7 20 2" xfId="5353" xr:uid="{67ED0E94-FA36-4412-9DEF-73CE6730AC7C}"/>
    <cellStyle name="Millares 3 7 21" xfId="3087" xr:uid="{540EB0D0-A76A-4215-975E-E6CBD10C109E}"/>
    <cellStyle name="Millares 3 7 21 2" xfId="5446" xr:uid="{26FA4586-56BE-44A6-805F-915C85EFFC5D}"/>
    <cellStyle name="Millares 3 7 22" xfId="3596" xr:uid="{0148BAE9-967B-4452-A01C-BC23CBDE8D72}"/>
    <cellStyle name="Millares 3 7 3" xfId="1457" xr:uid="{00000000-0005-0000-0000-000096050000}"/>
    <cellStyle name="Millares 3 7 3 2" xfId="3823" xr:uid="{E0E47DE4-E582-44B2-9BC6-5D5EEFBB76F1}"/>
    <cellStyle name="Millares 3 7 4" xfId="1547" xr:uid="{00000000-0005-0000-0000-000097050000}"/>
    <cellStyle name="Millares 3 7 4 2" xfId="3913" xr:uid="{4894D1CD-F2B0-4DBC-82E6-04DA629FCC80}"/>
    <cellStyle name="Millares 3 7 5" xfId="1637" xr:uid="{00000000-0005-0000-0000-000098050000}"/>
    <cellStyle name="Millares 3 7 5 2" xfId="4003" xr:uid="{824F46B7-F59F-4F88-B130-78E140CE7C8C}"/>
    <cellStyle name="Millares 3 7 6" xfId="1728" xr:uid="{00000000-0005-0000-0000-000099050000}"/>
    <cellStyle name="Millares 3 7 6 2" xfId="4093" xr:uid="{71BA439D-CE0E-4E5B-B309-199B071309FF}"/>
    <cellStyle name="Millares 3 7 7" xfId="1821" xr:uid="{00000000-0005-0000-0000-00009A050000}"/>
    <cellStyle name="Millares 3 7 7 2" xfId="4183" xr:uid="{EEEFE385-F6D7-443F-94B0-4071F231A774}"/>
    <cellStyle name="Millares 3 7 8" xfId="1912" xr:uid="{7023A7FD-5EA3-4CA1-ABC7-1FA55AA44A11}"/>
    <cellStyle name="Millares 3 7 8 2" xfId="4273" xr:uid="{66493920-6E79-421C-ADB3-3B8C120640E9}"/>
    <cellStyle name="Millares 3 7 9" xfId="2003" xr:uid="{CEFA593D-A406-4101-B14D-C4591228F7C8}"/>
    <cellStyle name="Millares 3 7 9 2" xfId="4363" xr:uid="{7230018F-740B-4FC5-906E-FECB2109C75D}"/>
    <cellStyle name="Millares 3 8" xfId="1222" xr:uid="{00000000-0005-0000-0000-00009B050000}"/>
    <cellStyle name="Millares 3 8 10" xfId="2093" xr:uid="{1E710747-1DF8-4EBD-93A7-1EAEE58C7F26}"/>
    <cellStyle name="Millares 3 8 10 2" xfId="4453" xr:uid="{D37AA366-7E14-4E9F-ACCE-CB712993CA1E}"/>
    <cellStyle name="Millares 3 8 11" xfId="2184" xr:uid="{F937A8A1-19DC-472A-B5EB-7FF1EE8C1FB6}"/>
    <cellStyle name="Millares 3 8 11 2" xfId="4544" xr:uid="{C36B8F1E-CEA3-4F0F-84F4-BDAE91A52537}"/>
    <cellStyle name="Millares 3 8 12" xfId="2273" xr:uid="{0332FD30-179F-40E8-9AC6-E7ED517EF505}"/>
    <cellStyle name="Millares 3 8 12 2" xfId="4633" xr:uid="{EC43C2BA-672D-42D0-A2F9-443D3DE16D13}"/>
    <cellStyle name="Millares 3 8 13" xfId="2363" xr:uid="{559F1581-8B81-4CE9-81E0-AC236B05616E}"/>
    <cellStyle name="Millares 3 8 13 2" xfId="4723" xr:uid="{58801984-778F-4F13-B792-017E3D6872FD}"/>
    <cellStyle name="Millares 3 8 14" xfId="2452" xr:uid="{28D28630-E443-4324-8F46-78F315D500EF}"/>
    <cellStyle name="Millares 3 8 14 2" xfId="4812" xr:uid="{063E1666-1E88-4CE8-ADD8-3D3EFF07E6DF}"/>
    <cellStyle name="Millares 3 8 15" xfId="2542" xr:uid="{124E2BBF-59FB-48F7-BA52-CE1DD41DF945}"/>
    <cellStyle name="Millares 3 8 15 2" xfId="4902" xr:uid="{3513D664-ED21-4460-90CE-2F699896540D}"/>
    <cellStyle name="Millares 3 8 16" xfId="2631" xr:uid="{6325C03D-AB21-4E6A-8777-9A6C62D558C9}"/>
    <cellStyle name="Millares 3 8 16 2" xfId="4991" xr:uid="{DE63778D-91C8-4EB8-8975-5EF2EFB47D4D}"/>
    <cellStyle name="Millares 3 8 17" xfId="2721" xr:uid="{2128E77B-FC0B-4999-92A6-846883EBF744}"/>
    <cellStyle name="Millares 3 8 17 2" xfId="5081" xr:uid="{625925E7-277A-4959-A631-2E3516018527}"/>
    <cellStyle name="Millares 3 8 18" xfId="2811" xr:uid="{60A5D751-F84A-40F1-9E92-E9B44F55F9A3}"/>
    <cellStyle name="Millares 3 8 18 2" xfId="5171" xr:uid="{1EFC0CFF-40AB-40B0-95EA-CFA0BE904240}"/>
    <cellStyle name="Millares 3 8 19" xfId="2901" xr:uid="{D648EFC4-2DED-4248-8A6E-787EFFB9DD0F}"/>
    <cellStyle name="Millares 3 8 19 2" xfId="5261" xr:uid="{D9184DCA-A3B1-4025-9A81-7C7856689208}"/>
    <cellStyle name="Millares 3 8 2" xfId="1361" xr:uid="{00000000-0005-0000-0000-00009C050000}"/>
    <cellStyle name="Millares 3 8 2 2" xfId="3526" xr:uid="{7EC92FD5-D543-4682-9FFD-5844E0F30FB7}"/>
    <cellStyle name="Millares 3 8 2 2 2" xfId="5537" xr:uid="{2C873E4E-8554-478F-B992-C8F27CB2D436}"/>
    <cellStyle name="Millares 3 8 2 3" xfId="3734" xr:uid="{B70E33C6-CD76-430E-A0A5-346060BCE84B}"/>
    <cellStyle name="Millares 3 8 20" xfId="2994" xr:uid="{64D130F4-C361-4B54-868A-FF3270292BAC}"/>
    <cellStyle name="Millares 3 8 20 2" xfId="5354" xr:uid="{32A4E753-839E-47E5-BA64-780AB6A7BDB3}"/>
    <cellStyle name="Millares 3 8 21" xfId="3088" xr:uid="{9C309C41-4E08-4C47-AEBF-555A4E089255}"/>
    <cellStyle name="Millares 3 8 21 2" xfId="5447" xr:uid="{5F0B3389-1BC4-47E6-BD86-9A312A93C877}"/>
    <cellStyle name="Millares 3 8 22" xfId="3600" xr:uid="{25820A50-B85E-42FE-A930-1024452366BA}"/>
    <cellStyle name="Millares 3 8 3" xfId="1458" xr:uid="{00000000-0005-0000-0000-00009D050000}"/>
    <cellStyle name="Millares 3 8 3 2" xfId="3824" xr:uid="{169AAF24-870F-42A9-B2C0-E3378C114C70}"/>
    <cellStyle name="Millares 3 8 4" xfId="1548" xr:uid="{00000000-0005-0000-0000-00009E050000}"/>
    <cellStyle name="Millares 3 8 4 2" xfId="3914" xr:uid="{0CBF1036-8BDF-451E-AFF9-E5C065AEF266}"/>
    <cellStyle name="Millares 3 8 5" xfId="1638" xr:uid="{00000000-0005-0000-0000-00009F050000}"/>
    <cellStyle name="Millares 3 8 5 2" xfId="4004" xr:uid="{B9109AC1-42D1-45B3-919A-3CECC946CB98}"/>
    <cellStyle name="Millares 3 8 6" xfId="1729" xr:uid="{00000000-0005-0000-0000-0000A0050000}"/>
    <cellStyle name="Millares 3 8 6 2" xfId="4094" xr:uid="{79713BD8-506D-446F-9601-BAB923738182}"/>
    <cellStyle name="Millares 3 8 7" xfId="1822" xr:uid="{00000000-0005-0000-0000-0000A1050000}"/>
    <cellStyle name="Millares 3 8 7 2" xfId="4184" xr:uid="{F07AB885-8020-4345-9C46-8B72C1840BF6}"/>
    <cellStyle name="Millares 3 8 8" xfId="1913" xr:uid="{70BBE836-E9DF-48FB-89FD-0CDB2DB1A29B}"/>
    <cellStyle name="Millares 3 8 8 2" xfId="4274" xr:uid="{CE19EFE1-366C-4BB2-B574-02FF62F6EF67}"/>
    <cellStyle name="Millares 3 8 9" xfId="2004" xr:uid="{B578AB80-7F4A-484A-BD2C-395DDE963AFE}"/>
    <cellStyle name="Millares 3 8 9 2" xfId="4364" xr:uid="{680FE08C-DF0C-4BAB-B5AD-7E03D2734DA2}"/>
    <cellStyle name="Millares 3 9" xfId="1226" xr:uid="{00000000-0005-0000-0000-0000A2050000}"/>
    <cellStyle name="Millares 3 9 10" xfId="2094" xr:uid="{C07834B0-9712-4249-8A88-FD161D3C6048}"/>
    <cellStyle name="Millares 3 9 10 2" xfId="4454" xr:uid="{F2D6B417-928B-44DC-B7A5-CEC58F3D09D7}"/>
    <cellStyle name="Millares 3 9 11" xfId="2185" xr:uid="{68849543-6E09-4C14-9691-1FBC9DE0341F}"/>
    <cellStyle name="Millares 3 9 11 2" xfId="4545" xr:uid="{B6532D7E-4A3B-4F92-8B7F-8177DCC04F05}"/>
    <cellStyle name="Millares 3 9 12" xfId="2274" xr:uid="{45393149-8A05-450F-A0F8-F54E36FD362B}"/>
    <cellStyle name="Millares 3 9 12 2" xfId="4634" xr:uid="{5A65C783-4863-415F-92F6-D6EB5F74329A}"/>
    <cellStyle name="Millares 3 9 13" xfId="2364" xr:uid="{58770AA8-CEE5-4D7B-B679-4553D1DCD7C3}"/>
    <cellStyle name="Millares 3 9 13 2" xfId="4724" xr:uid="{58A58DE2-D642-4C6E-8EFA-BB651DE26E33}"/>
    <cellStyle name="Millares 3 9 14" xfId="2453" xr:uid="{CA632E44-DC27-450D-A664-D16E2FE1E125}"/>
    <cellStyle name="Millares 3 9 14 2" xfId="4813" xr:uid="{57464812-EB88-4FE2-A1D3-54855A1B2254}"/>
    <cellStyle name="Millares 3 9 15" xfId="2543" xr:uid="{C8153829-F7F3-461E-B5D4-17B8ADEA3B0E}"/>
    <cellStyle name="Millares 3 9 15 2" xfId="4903" xr:uid="{C0988F9C-4B1D-413D-8D5A-71FDA1408172}"/>
    <cellStyle name="Millares 3 9 16" xfId="2632" xr:uid="{2BBF47DF-1F49-45A0-9F60-326688D3CB9B}"/>
    <cellStyle name="Millares 3 9 16 2" xfId="4992" xr:uid="{3C7D4D8F-F977-4763-9880-9A3D4AC67AD5}"/>
    <cellStyle name="Millares 3 9 17" xfId="2722" xr:uid="{0ED03457-54E9-4E72-BF79-7193E8ECAB96}"/>
    <cellStyle name="Millares 3 9 17 2" xfId="5082" xr:uid="{02CAC8CB-C5C3-4467-B42C-F42B6F09998D}"/>
    <cellStyle name="Millares 3 9 18" xfId="2812" xr:uid="{0C479598-1732-45B2-ACC2-9CCCE464B094}"/>
    <cellStyle name="Millares 3 9 18 2" xfId="5172" xr:uid="{0489AD61-3DB5-474B-97D7-7000F80769DE}"/>
    <cellStyle name="Millares 3 9 19" xfId="2902" xr:uid="{EA111454-9DB0-436E-B953-7AE50A9B369D}"/>
    <cellStyle name="Millares 3 9 19 2" xfId="5262" xr:uid="{AD30792C-E734-4861-926A-ACC3DA835F02}"/>
    <cellStyle name="Millares 3 9 2" xfId="1362" xr:uid="{00000000-0005-0000-0000-0000A3050000}"/>
    <cellStyle name="Millares 3 9 2 2" xfId="3527" xr:uid="{6A22E414-64BF-4FCB-9454-0E5D606C1F64}"/>
    <cellStyle name="Millares 3 9 2 2 2" xfId="5538" xr:uid="{366139F3-3087-4E71-BD90-D0F7B5C58249}"/>
    <cellStyle name="Millares 3 9 2 3" xfId="3735" xr:uid="{AEF6693D-EEEC-4BAC-8AB5-0C902F1692B2}"/>
    <cellStyle name="Millares 3 9 20" xfId="2995" xr:uid="{CC57D707-4C10-4568-9790-DD0A8BD57351}"/>
    <cellStyle name="Millares 3 9 20 2" xfId="5355" xr:uid="{F0BB8CDC-1CD3-4C9E-A5EE-B38C006EF69E}"/>
    <cellStyle name="Millares 3 9 21" xfId="3089" xr:uid="{8248BD12-E133-4F4E-BDAD-9AB71C299E4F}"/>
    <cellStyle name="Millares 3 9 21 2" xfId="5448" xr:uid="{639C0C25-C60A-4CA4-BB0B-E0D566F768EA}"/>
    <cellStyle name="Millares 3 9 22" xfId="3604" xr:uid="{697DBE76-3B33-40BD-90B2-D728B94EEA7C}"/>
    <cellStyle name="Millares 3 9 3" xfId="1459" xr:uid="{00000000-0005-0000-0000-0000A4050000}"/>
    <cellStyle name="Millares 3 9 3 2" xfId="3825" xr:uid="{101CCAE8-8059-46E4-B6B3-BA9F6482599F}"/>
    <cellStyle name="Millares 3 9 4" xfId="1549" xr:uid="{00000000-0005-0000-0000-0000A5050000}"/>
    <cellStyle name="Millares 3 9 4 2" xfId="3915" xr:uid="{3842B66B-051B-449F-92BC-CD2D16A293F3}"/>
    <cellStyle name="Millares 3 9 5" xfId="1639" xr:uid="{00000000-0005-0000-0000-0000A6050000}"/>
    <cellStyle name="Millares 3 9 5 2" xfId="4005" xr:uid="{13EB6160-CB24-4E9F-A680-ED411C0E1CAC}"/>
    <cellStyle name="Millares 3 9 6" xfId="1730" xr:uid="{00000000-0005-0000-0000-0000A7050000}"/>
    <cellStyle name="Millares 3 9 6 2" xfId="4095" xr:uid="{694BC1D2-527E-4D9E-B74B-09E5A353ED35}"/>
    <cellStyle name="Millares 3 9 7" xfId="1823" xr:uid="{00000000-0005-0000-0000-0000A8050000}"/>
    <cellStyle name="Millares 3 9 7 2" xfId="4185" xr:uid="{780DDDDD-A1CB-4B76-8F5D-8E1FA33BA6C0}"/>
    <cellStyle name="Millares 3 9 8" xfId="1914" xr:uid="{5FFF1373-0F1B-45EC-93F8-419FC9437E01}"/>
    <cellStyle name="Millares 3 9 8 2" xfId="4275" xr:uid="{EAADE4E9-72B1-4D1F-A438-34CC3CBA11C9}"/>
    <cellStyle name="Millares 3 9 9" xfId="2005" xr:uid="{A2372DC1-12FF-4133-A812-A420E9C10E9A}"/>
    <cellStyle name="Millares 3 9 9 2" xfId="4365" xr:uid="{BF939343-5C81-444A-8F10-A174190D24AA}"/>
    <cellStyle name="Millares 4" xfId="877" xr:uid="{00000000-0005-0000-0000-0000A9050000}"/>
    <cellStyle name="Millares 4 10" xfId="2095" xr:uid="{19F55990-4342-4883-8D14-D75B4F091810}"/>
    <cellStyle name="Millares 4 10 2" xfId="4455" xr:uid="{32B42BE9-FD7F-4073-A29A-760E0E670B63}"/>
    <cellStyle name="Millares 4 11" xfId="2186" xr:uid="{232BFF55-63C2-44EA-B898-A2EBB2CED8DD}"/>
    <cellStyle name="Millares 4 11 2" xfId="4546" xr:uid="{4537073B-E2B9-46D3-AEFD-C39D477D5B65}"/>
    <cellStyle name="Millares 4 12" xfId="2275" xr:uid="{7092A943-4758-42EA-A09B-1C4744D6483B}"/>
    <cellStyle name="Millares 4 12 2" xfId="4635" xr:uid="{844C48A0-CB92-4FBF-AAD3-26C141F3CBC6}"/>
    <cellStyle name="Millares 4 13" xfId="2365" xr:uid="{4BE1D9B3-FFD5-405A-81FE-5925C0BDD0AD}"/>
    <cellStyle name="Millares 4 13 2" xfId="4725" xr:uid="{01E637C1-C215-4A09-AB69-654B881940C8}"/>
    <cellStyle name="Millares 4 14" xfId="2454" xr:uid="{C3CA4399-7E1A-468F-8CEF-9D21EB5E0990}"/>
    <cellStyle name="Millares 4 14 2" xfId="4814" xr:uid="{C3AE063E-F10F-4008-B733-D6D493FE0180}"/>
    <cellStyle name="Millares 4 15" xfId="2544" xr:uid="{4B53D56B-2C76-4223-885B-316145D954FF}"/>
    <cellStyle name="Millares 4 15 2" xfId="4904" xr:uid="{FDA30BAA-193A-4B62-9B72-C97F74CF5831}"/>
    <cellStyle name="Millares 4 16" xfId="2633" xr:uid="{92EDC5B1-825B-438C-9C60-8932954353C1}"/>
    <cellStyle name="Millares 4 16 2" xfId="4993" xr:uid="{D66A7FE0-F404-4A86-B5D2-5869D7CF313E}"/>
    <cellStyle name="Millares 4 17" xfId="2723" xr:uid="{38D012C0-9997-47B8-ADFB-D4FF152D61E9}"/>
    <cellStyle name="Millares 4 17 2" xfId="5083" xr:uid="{D26E4074-B615-40E5-B478-0F3A7F7B34F6}"/>
    <cellStyle name="Millares 4 18" xfId="2813" xr:uid="{1634636D-2A0B-4FDA-A65A-BD38C3474264}"/>
    <cellStyle name="Millares 4 18 2" xfId="5173" xr:uid="{FD0CAD26-8474-4656-8C51-E47A3B52BD7E}"/>
    <cellStyle name="Millares 4 19" xfId="2903" xr:uid="{5893A9E0-CCA7-4E73-840B-8EF801C70687}"/>
    <cellStyle name="Millares 4 19 2" xfId="5263" xr:uid="{D64DFF10-1515-42BE-A4A0-B236C9DBFA81}"/>
    <cellStyle name="Millares 4 2" xfId="1363" xr:uid="{00000000-0005-0000-0000-0000AA050000}"/>
    <cellStyle name="Millares 4 2 2" xfId="3528" xr:uid="{639BBC00-CCB3-4F97-B3F5-E3F3F5B40B24}"/>
    <cellStyle name="Millares 4 2 2 2" xfId="5539" xr:uid="{6C2243EC-09CE-41BE-AB8A-C67285939C41}"/>
    <cellStyle name="Millares 4 2 3" xfId="3736" xr:uid="{DAB43A6B-F459-4300-93B4-A4AF5A63EFA2}"/>
    <cellStyle name="Millares 4 20" xfId="2996" xr:uid="{390C1A6C-67B8-442B-85E5-80234E2CD45C}"/>
    <cellStyle name="Millares 4 20 2" xfId="5356" xr:uid="{6B140B9F-B1B8-40F8-9CF8-4A14D8F9B079}"/>
    <cellStyle name="Millares 4 21" xfId="3090" xr:uid="{36A783B1-6EB9-4CA1-8F7D-9A185BC45656}"/>
    <cellStyle name="Millares 4 21 2" xfId="5449" xr:uid="{ABDFB77F-DA0E-4CF8-BC0E-3892A74E4B17}"/>
    <cellStyle name="Millares 4 22" xfId="3569" xr:uid="{A646B00B-54D4-4964-BF71-D2AC295ABF48}"/>
    <cellStyle name="Millares 4 3" xfId="1460" xr:uid="{00000000-0005-0000-0000-0000AB050000}"/>
    <cellStyle name="Millares 4 3 2" xfId="3826" xr:uid="{D70D07BC-33C6-4866-86C1-6384AB5C2CAF}"/>
    <cellStyle name="Millares 4 4" xfId="1550" xr:uid="{00000000-0005-0000-0000-0000AC050000}"/>
    <cellStyle name="Millares 4 4 2" xfId="3916" xr:uid="{A3581078-9E97-4A9F-A204-05BCBCCA1AE6}"/>
    <cellStyle name="Millares 4 5" xfId="1640" xr:uid="{00000000-0005-0000-0000-0000AD050000}"/>
    <cellStyle name="Millares 4 5 2" xfId="4006" xr:uid="{A18BC098-C35C-47F5-9CE2-5FB022D5CF6F}"/>
    <cellStyle name="Millares 4 6" xfId="1731" xr:uid="{00000000-0005-0000-0000-0000AE050000}"/>
    <cellStyle name="Millares 4 6 2" xfId="4096" xr:uid="{A146DE37-DD71-4DDB-B022-7997FAEF1408}"/>
    <cellStyle name="Millares 4 7" xfId="1824" xr:uid="{00000000-0005-0000-0000-0000AF050000}"/>
    <cellStyle name="Millares 4 7 2" xfId="4186" xr:uid="{CCD7501A-7643-4312-BA8A-D884CEBB1186}"/>
    <cellStyle name="Millares 4 8" xfId="1915" xr:uid="{13174BF1-E437-453D-8DA1-9C145DC06CE8}"/>
    <cellStyle name="Millares 4 8 2" xfId="4276" xr:uid="{1757CBFB-71DB-44BC-A1EE-48E96DB2FE1C}"/>
    <cellStyle name="Millares 4 9" xfId="2006" xr:uid="{A43608CD-0416-4575-BCA1-3D2108BDFA5E}"/>
    <cellStyle name="Millares 4 9 2" xfId="4366" xr:uid="{DBFC5193-E6B5-4A51-9633-757A75BD53A5}"/>
    <cellStyle name="Millares 5" xfId="1193" xr:uid="{00000000-0005-0000-0000-0000B0050000}"/>
    <cellStyle name="Millares 5 10" xfId="2096" xr:uid="{14C33394-26CA-4BF7-B0D9-F2DE6CD70C9C}"/>
    <cellStyle name="Millares 5 10 2" xfId="4456" xr:uid="{B0A14725-E3FB-4B76-97AD-1D03CAD06654}"/>
    <cellStyle name="Millares 5 11" xfId="2187" xr:uid="{3565CA42-A99A-44DA-B919-DFD184555350}"/>
    <cellStyle name="Millares 5 11 2" xfId="4547" xr:uid="{B3F6B877-C84D-4EF9-A017-F45C6873806D}"/>
    <cellStyle name="Millares 5 12" xfId="2276" xr:uid="{764B829B-521E-423A-8E97-051D3AAA6A13}"/>
    <cellStyle name="Millares 5 12 2" xfId="4636" xr:uid="{57F4852B-41FF-4FB8-9E3B-6BAF0FDCD3B6}"/>
    <cellStyle name="Millares 5 13" xfId="2366" xr:uid="{4F8E1A77-96B3-46DD-8CA5-DE616AB8FAD8}"/>
    <cellStyle name="Millares 5 13 2" xfId="4726" xr:uid="{70A7D68D-45ED-4276-9FEE-C8A321CBECD1}"/>
    <cellStyle name="Millares 5 14" xfId="2455" xr:uid="{410B3C94-E125-48EC-932D-CD319F056211}"/>
    <cellStyle name="Millares 5 14 2" xfId="4815" xr:uid="{CA41FD5C-77CA-4109-AEEF-246B9181E61F}"/>
    <cellStyle name="Millares 5 15" xfId="2545" xr:uid="{58B301C1-0BDE-45CB-8E70-9017BEE55851}"/>
    <cellStyle name="Millares 5 15 2" xfId="4905" xr:uid="{21C68CE1-7708-482F-A855-CBF12B1A8BE2}"/>
    <cellStyle name="Millares 5 16" xfId="2634" xr:uid="{AB551BA1-AE63-4A2D-B0B9-0D174B0CF711}"/>
    <cellStyle name="Millares 5 16 2" xfId="4994" xr:uid="{D11517ED-0347-4EB5-9F8E-A29D90055FC0}"/>
    <cellStyle name="Millares 5 17" xfId="2724" xr:uid="{5110FFB2-611B-4504-B82F-78B838E18954}"/>
    <cellStyle name="Millares 5 17 2" xfId="5084" xr:uid="{4B63A6B0-15B5-4BBA-8B05-93CED4F75784}"/>
    <cellStyle name="Millares 5 18" xfId="2814" xr:uid="{3ED84C92-EC2C-4573-BB9F-45C515EDAF5B}"/>
    <cellStyle name="Millares 5 18 2" xfId="5174" xr:uid="{BF385B85-46AE-4239-AC72-C207B22F2C27}"/>
    <cellStyle name="Millares 5 19" xfId="2904" xr:uid="{287248B7-0C93-4499-A7C2-812E25B4C29C}"/>
    <cellStyle name="Millares 5 19 2" xfId="5264" xr:uid="{EFE70D6C-964E-4812-93B6-58291CC47FD6}"/>
    <cellStyle name="Millares 5 2" xfId="1364" xr:uid="{00000000-0005-0000-0000-0000B1050000}"/>
    <cellStyle name="Millares 5 2 2" xfId="3529" xr:uid="{2485C3F4-B3EE-4797-96CD-AF37C85CDD0F}"/>
    <cellStyle name="Millares 5 2 2 2" xfId="5540" xr:uid="{8317203B-B15E-4BC6-AB38-C86DB129D293}"/>
    <cellStyle name="Millares 5 2 3" xfId="3737" xr:uid="{3A0566DE-6929-4B1B-8ED6-0C638ABC25FF}"/>
    <cellStyle name="Millares 5 20" xfId="2997" xr:uid="{3BF33856-C68E-40F5-90A0-45CC8C50F40C}"/>
    <cellStyle name="Millares 5 20 2" xfId="5357" xr:uid="{D8B036DF-59B8-43D6-AEBC-FF5B844B1E3E}"/>
    <cellStyle name="Millares 5 21" xfId="3091" xr:uid="{43DE5FBF-2005-4216-81E4-E9D44E054E0F}"/>
    <cellStyle name="Millares 5 21 2" xfId="5450" xr:uid="{04A4695B-A586-476C-9F3C-E90B8BF5A2FA}"/>
    <cellStyle name="Millares 5 22" xfId="3573" xr:uid="{58D8E14A-4933-4ACD-8066-EB9D3B1CBA73}"/>
    <cellStyle name="Millares 5 3" xfId="1461" xr:uid="{00000000-0005-0000-0000-0000B2050000}"/>
    <cellStyle name="Millares 5 3 2" xfId="3827" xr:uid="{A16E2D0A-9474-4E29-ACDD-DE75F3EC97C1}"/>
    <cellStyle name="Millares 5 4" xfId="1551" xr:uid="{00000000-0005-0000-0000-0000B3050000}"/>
    <cellStyle name="Millares 5 4 2" xfId="3917" xr:uid="{DC8E26F4-3662-4661-93D6-5E9B71017995}"/>
    <cellStyle name="Millares 5 5" xfId="1641" xr:uid="{00000000-0005-0000-0000-0000B4050000}"/>
    <cellStyle name="Millares 5 5 2" xfId="4007" xr:uid="{655281AC-141F-4656-9A53-3EAEF0920228}"/>
    <cellStyle name="Millares 5 6" xfId="1732" xr:uid="{00000000-0005-0000-0000-0000B5050000}"/>
    <cellStyle name="Millares 5 6 2" xfId="4097" xr:uid="{C43C3863-3068-40C1-AD70-A22A73B23017}"/>
    <cellStyle name="Millares 5 7" xfId="1825" xr:uid="{00000000-0005-0000-0000-0000B6050000}"/>
    <cellStyle name="Millares 5 7 2" xfId="4187" xr:uid="{7E291579-53FD-4BC0-8B3F-6D6750C4C6DB}"/>
    <cellStyle name="Millares 5 8" xfId="1916" xr:uid="{62F63A66-E2D7-496B-BEC6-795C851DE290}"/>
    <cellStyle name="Millares 5 8 2" xfId="4277" xr:uid="{485D3FCF-45D6-48F5-AE63-7165ECA857D1}"/>
    <cellStyle name="Millares 5 9" xfId="2007" xr:uid="{E02CA77A-6EDF-47DE-A73D-D79902D1D519}"/>
    <cellStyle name="Millares 5 9 2" xfId="4367" xr:uid="{CC235DA8-9AE2-4805-A899-AE4AD953A95A}"/>
    <cellStyle name="Millares 6" xfId="1198" xr:uid="{00000000-0005-0000-0000-0000B7050000}"/>
    <cellStyle name="Millares 6 10" xfId="2097" xr:uid="{9FCDFEB1-A208-4F37-82D9-2C27E4D57F24}"/>
    <cellStyle name="Millares 6 10 2" xfId="4457" xr:uid="{763BDA34-B8A3-481C-885E-90BB987F5388}"/>
    <cellStyle name="Millares 6 11" xfId="2188" xr:uid="{E56E6826-9684-4E97-9E67-3F58158330F2}"/>
    <cellStyle name="Millares 6 11 2" xfId="4548" xr:uid="{5F08C444-CA21-4C63-901C-B255749629E4}"/>
    <cellStyle name="Millares 6 12" xfId="2277" xr:uid="{286242F8-361F-4A2A-B7DE-30210EEBCD35}"/>
    <cellStyle name="Millares 6 12 2" xfId="4637" xr:uid="{20C641BC-4748-436D-8B4A-EA1399376CA0}"/>
    <cellStyle name="Millares 6 13" xfId="2367" xr:uid="{5B9DB665-B504-4DEA-9834-1CBB65E58340}"/>
    <cellStyle name="Millares 6 13 2" xfId="4727" xr:uid="{CEE01F5C-2DCC-43C7-AE89-074ABAF8B3F4}"/>
    <cellStyle name="Millares 6 14" xfId="2456" xr:uid="{3E91BD90-E710-48EB-AF9C-69F23816C9A8}"/>
    <cellStyle name="Millares 6 14 2" xfId="4816" xr:uid="{36A8B09D-2CCF-49ED-8181-2EA5C1A417F2}"/>
    <cellStyle name="Millares 6 15" xfId="2546" xr:uid="{5DA032D9-C3D8-4735-8E53-EB668AC71782}"/>
    <cellStyle name="Millares 6 15 2" xfId="4906" xr:uid="{FAC9AB65-127A-4500-AA22-7EC5EC114C85}"/>
    <cellStyle name="Millares 6 16" xfId="2635" xr:uid="{CFBDE139-4EF5-4A4E-875B-10957CD32108}"/>
    <cellStyle name="Millares 6 16 2" xfId="4995" xr:uid="{90D57DAC-F5E8-4A43-B0BF-4768669C50B4}"/>
    <cellStyle name="Millares 6 17" xfId="2725" xr:uid="{4870E0CD-AECA-4B90-B803-380B172D29AE}"/>
    <cellStyle name="Millares 6 17 2" xfId="5085" xr:uid="{194B863C-A504-431E-AC3E-5C66AA3CAB32}"/>
    <cellStyle name="Millares 6 18" xfId="2815" xr:uid="{2C38C46F-C7AD-4A32-BC99-5239495451F6}"/>
    <cellStyle name="Millares 6 18 2" xfId="5175" xr:uid="{54696933-1271-439E-A8FB-11FF6A7A05AE}"/>
    <cellStyle name="Millares 6 19" xfId="2905" xr:uid="{DF5A0290-6321-463D-AD81-4A99579F82AE}"/>
    <cellStyle name="Millares 6 19 2" xfId="5265" xr:uid="{A9EFB116-73C3-44E5-BC6B-1EC02AB434DB}"/>
    <cellStyle name="Millares 6 2" xfId="1365" xr:uid="{00000000-0005-0000-0000-0000B8050000}"/>
    <cellStyle name="Millares 6 2 2" xfId="3530" xr:uid="{148EFC33-6FAB-4F60-9A4D-426C4E248366}"/>
    <cellStyle name="Millares 6 2 2 2" xfId="5541" xr:uid="{B05AED6C-7217-43AA-86C3-69040FCCB6F9}"/>
    <cellStyle name="Millares 6 2 3" xfId="3738" xr:uid="{A4153663-7717-4EAB-920D-D0580603C9C3}"/>
    <cellStyle name="Millares 6 20" xfId="2998" xr:uid="{9793C4E9-2985-40E8-80B2-366D81F51CFC}"/>
    <cellStyle name="Millares 6 20 2" xfId="5358" xr:uid="{83EA7604-CB06-4F12-80C7-7E9198B93CB8}"/>
    <cellStyle name="Millares 6 21" xfId="3092" xr:uid="{0C172576-124A-4C82-82F7-2277C4168000}"/>
    <cellStyle name="Millares 6 21 2" xfId="5451" xr:uid="{5824E450-8437-43F6-BC61-CB41E1624B43}"/>
    <cellStyle name="Millares 6 22" xfId="3577" xr:uid="{C7B969B5-44C5-4A6D-818A-4F45B1371118}"/>
    <cellStyle name="Millares 6 3" xfId="1462" xr:uid="{00000000-0005-0000-0000-0000B9050000}"/>
    <cellStyle name="Millares 6 3 2" xfId="3828" xr:uid="{A0B37548-A3BC-4834-8420-379AB4DCC79A}"/>
    <cellStyle name="Millares 6 4" xfId="1552" xr:uid="{00000000-0005-0000-0000-0000BA050000}"/>
    <cellStyle name="Millares 6 4 2" xfId="3918" xr:uid="{D7F2A895-434A-4884-AC4A-7B49C512A1E3}"/>
    <cellStyle name="Millares 6 5" xfId="1642" xr:uid="{00000000-0005-0000-0000-0000BB050000}"/>
    <cellStyle name="Millares 6 5 2" xfId="4008" xr:uid="{C5C7DA5A-1C59-4972-8850-63101A766BCA}"/>
    <cellStyle name="Millares 6 6" xfId="1733" xr:uid="{00000000-0005-0000-0000-0000BC050000}"/>
    <cellStyle name="Millares 6 6 2" xfId="4098" xr:uid="{CB8602C7-2500-4200-A88F-9F7DDD06DED3}"/>
    <cellStyle name="Millares 6 7" xfId="1826" xr:uid="{00000000-0005-0000-0000-0000BD050000}"/>
    <cellStyle name="Millares 6 7 2" xfId="4188" xr:uid="{C7F2EDCC-7B67-4E67-962C-020FA3AE5D70}"/>
    <cellStyle name="Millares 6 8" xfId="1917" xr:uid="{367A28CF-214D-4120-893B-C84B894ABA5F}"/>
    <cellStyle name="Millares 6 8 2" xfId="4278" xr:uid="{8692178F-0D06-4946-AAD3-FF34B2561AE9}"/>
    <cellStyle name="Millares 6 9" xfId="2008" xr:uid="{D7ADD1A8-C48C-4BA1-8C49-053732DC9198}"/>
    <cellStyle name="Millares 6 9 2" xfId="4368" xr:uid="{BE227896-05C8-4717-899B-1CDE73A95A12}"/>
    <cellStyle name="Millares 7" xfId="1203" xr:uid="{00000000-0005-0000-0000-0000BE050000}"/>
    <cellStyle name="Millares 7 10" xfId="2098" xr:uid="{D788760C-98BE-4E3B-8D8E-FBB8A069DCB0}"/>
    <cellStyle name="Millares 7 10 2" xfId="4458" xr:uid="{88DFFE5E-6C1C-451C-A50D-50820C154914}"/>
    <cellStyle name="Millares 7 11" xfId="2189" xr:uid="{C200E2BD-B131-4B49-85C3-B6C7BB8DE811}"/>
    <cellStyle name="Millares 7 11 2" xfId="4549" xr:uid="{8B68C2A6-AE50-4BA4-851F-28436FDF43F4}"/>
    <cellStyle name="Millares 7 12" xfId="2278" xr:uid="{19367BB9-9C4E-4387-86A5-CF40FA1CD45C}"/>
    <cellStyle name="Millares 7 12 2" xfId="4638" xr:uid="{DFBC4A38-B735-4884-AE07-854BBF8376AB}"/>
    <cellStyle name="Millares 7 13" xfId="2368" xr:uid="{0F99C34D-DDA1-47C3-BE17-923C45EDE725}"/>
    <cellStyle name="Millares 7 13 2" xfId="4728" xr:uid="{325CA80D-DE32-4417-921F-2E128F67CF24}"/>
    <cellStyle name="Millares 7 14" xfId="2457" xr:uid="{1814FD1C-E88C-4B6F-8D0A-2FF49AF34D5C}"/>
    <cellStyle name="Millares 7 14 2" xfId="4817" xr:uid="{5C824036-B816-4769-B0F8-58C88EB45D5A}"/>
    <cellStyle name="Millares 7 15" xfId="2547" xr:uid="{24566063-F104-4205-9D0B-5538FD274E67}"/>
    <cellStyle name="Millares 7 15 2" xfId="4907" xr:uid="{63610280-7A1F-4D3C-87E0-4E617D51A069}"/>
    <cellStyle name="Millares 7 16" xfId="2636" xr:uid="{A4C30F2C-D106-4282-ADD5-41C2698D8A60}"/>
    <cellStyle name="Millares 7 16 2" xfId="4996" xr:uid="{CD936345-03D5-49FA-9C71-EDD02CA2AB2E}"/>
    <cellStyle name="Millares 7 17" xfId="2726" xr:uid="{4D46433B-EACA-4157-97F9-B01EC2DB9ED5}"/>
    <cellStyle name="Millares 7 17 2" xfId="5086" xr:uid="{7271DDDC-51D3-4F7B-95B2-5D0F879CF10C}"/>
    <cellStyle name="Millares 7 18" xfId="2816" xr:uid="{374B3645-FF7B-4775-B9A3-C5B81C6EED1E}"/>
    <cellStyle name="Millares 7 18 2" xfId="5176" xr:uid="{8C0713A2-4EDA-4C7E-9712-D986931AF359}"/>
    <cellStyle name="Millares 7 19" xfId="2906" xr:uid="{703334C1-DF04-4D53-8D10-7CD3E20C95C0}"/>
    <cellStyle name="Millares 7 19 2" xfId="5266" xr:uid="{AD02DB1D-0A57-4D38-B95F-8E0A5B7F9AC9}"/>
    <cellStyle name="Millares 7 2" xfId="1366" xr:uid="{00000000-0005-0000-0000-0000BF050000}"/>
    <cellStyle name="Millares 7 2 2" xfId="3531" xr:uid="{DDFC64EA-B02F-4A70-8300-1A3D6E93A09A}"/>
    <cellStyle name="Millares 7 2 2 2" xfId="5542" xr:uid="{9397775F-07EC-4CF8-A548-BB1D6AD122CB}"/>
    <cellStyle name="Millares 7 2 3" xfId="3739" xr:uid="{1398BD24-34CC-4504-934B-16EB53CC4777}"/>
    <cellStyle name="Millares 7 20" xfId="2999" xr:uid="{21EF15AB-E387-4BDB-8811-C338130E290C}"/>
    <cellStyle name="Millares 7 20 2" xfId="5359" xr:uid="{B52C5358-E7D8-4CFF-93E6-D14310019423}"/>
    <cellStyle name="Millares 7 21" xfId="3093" xr:uid="{209B019B-530C-4EE2-93F2-AF44CE4E24D7}"/>
    <cellStyle name="Millares 7 21 2" xfId="5452" xr:uid="{02DFC34A-06EE-46F5-889F-8F6F3F932594}"/>
    <cellStyle name="Millares 7 22" xfId="3581" xr:uid="{7DB780AB-5419-4378-8C12-8AEBCE84D491}"/>
    <cellStyle name="Millares 7 3" xfId="1463" xr:uid="{00000000-0005-0000-0000-0000C0050000}"/>
    <cellStyle name="Millares 7 3 2" xfId="3829" xr:uid="{9ED756E3-0C93-4EEC-8CE7-8C7421D68FCF}"/>
    <cellStyle name="Millares 7 4" xfId="1553" xr:uid="{00000000-0005-0000-0000-0000C1050000}"/>
    <cellStyle name="Millares 7 4 2" xfId="3919" xr:uid="{563E3D8C-08C7-4B98-AE68-94A4DDC5F759}"/>
    <cellStyle name="Millares 7 5" xfId="1643" xr:uid="{00000000-0005-0000-0000-0000C2050000}"/>
    <cellStyle name="Millares 7 5 2" xfId="4009" xr:uid="{FF476209-7F37-44C7-AA2C-E73E1573E090}"/>
    <cellStyle name="Millares 7 6" xfId="1734" xr:uid="{00000000-0005-0000-0000-0000C3050000}"/>
    <cellStyle name="Millares 7 6 2" xfId="4099" xr:uid="{4D3370AE-8A02-4A70-93E4-351DED67CEDF}"/>
    <cellStyle name="Millares 7 7" xfId="1827" xr:uid="{00000000-0005-0000-0000-0000C4050000}"/>
    <cellStyle name="Millares 7 7 2" xfId="4189" xr:uid="{5477624B-DB68-4D3E-8205-35B4C50AD358}"/>
    <cellStyle name="Millares 7 8" xfId="1918" xr:uid="{F06BFA9F-D9A1-47EB-A1D0-BA03F0052A7D}"/>
    <cellStyle name="Millares 7 8 2" xfId="4279" xr:uid="{96B6F039-513A-4E7B-A36E-5D12D13C3EDE}"/>
    <cellStyle name="Millares 7 9" xfId="2009" xr:uid="{877BF8D2-608C-4182-8763-256B8ED541D2}"/>
    <cellStyle name="Millares 7 9 2" xfId="4369" xr:uid="{2D5B65B0-3735-411C-AD29-D740DF921780}"/>
    <cellStyle name="Millares 8" xfId="1207" xr:uid="{00000000-0005-0000-0000-0000C5050000}"/>
    <cellStyle name="Millares 8 10" xfId="2099" xr:uid="{A3787717-D020-423A-860C-278CD568CEA4}"/>
    <cellStyle name="Millares 8 10 2" xfId="4459" xr:uid="{CFD6FA9C-4F64-4645-A348-820625AF5770}"/>
    <cellStyle name="Millares 8 11" xfId="2190" xr:uid="{3DD0500C-6167-4317-9F31-E93859A1FD8C}"/>
    <cellStyle name="Millares 8 11 2" xfId="4550" xr:uid="{2B9F86DF-AE4A-4D12-A057-3E002B502A11}"/>
    <cellStyle name="Millares 8 12" xfId="2279" xr:uid="{2FC69495-5A39-4DF4-BF42-24DA0DCD547E}"/>
    <cellStyle name="Millares 8 12 2" xfId="4639" xr:uid="{05CCB843-E685-4F50-B45E-297786CE4B83}"/>
    <cellStyle name="Millares 8 13" xfId="2369" xr:uid="{CB63B768-BEB4-4A9D-AA9C-D6BA9900F189}"/>
    <cellStyle name="Millares 8 13 2" xfId="4729" xr:uid="{45AF8729-EAD5-44D9-A988-43F0F0E138A9}"/>
    <cellStyle name="Millares 8 14" xfId="2458" xr:uid="{79940447-B6CA-4D2C-B9F6-9D90421B8944}"/>
    <cellStyle name="Millares 8 14 2" xfId="4818" xr:uid="{1EAEA19B-7195-4F73-996C-C665B67E080D}"/>
    <cellStyle name="Millares 8 15" xfId="2548" xr:uid="{E2E1D5B7-25A5-4E90-A712-ACAAA2DDF7C2}"/>
    <cellStyle name="Millares 8 15 2" xfId="4908" xr:uid="{65FE1020-76D5-4B98-A1CD-75312B5B6D99}"/>
    <cellStyle name="Millares 8 16" xfId="2637" xr:uid="{7EB3BBD8-207D-42C7-9093-CCC0B550A486}"/>
    <cellStyle name="Millares 8 16 2" xfId="4997" xr:uid="{FAD2847A-2DE8-467C-BB27-D8C9864A70A6}"/>
    <cellStyle name="Millares 8 17" xfId="2727" xr:uid="{B8FED7B9-FAB2-4C3B-A580-CACD15DDA565}"/>
    <cellStyle name="Millares 8 17 2" xfId="5087" xr:uid="{0C2F5555-E563-4ACF-A0AD-62B1E93A1E37}"/>
    <cellStyle name="Millares 8 18" xfId="2817" xr:uid="{0F55F30A-AF1B-4857-BEA8-2F05D57484BD}"/>
    <cellStyle name="Millares 8 18 2" xfId="5177" xr:uid="{C488DF00-DDCB-44B7-89B5-22DE01AD01C9}"/>
    <cellStyle name="Millares 8 19" xfId="2907" xr:uid="{EA0D4C88-85FD-4932-A49E-B0BA869A1DC6}"/>
    <cellStyle name="Millares 8 19 2" xfId="5267" xr:uid="{C5F1ADDD-EE73-4210-93A7-D8C373CCAB95}"/>
    <cellStyle name="Millares 8 2" xfId="1367" xr:uid="{00000000-0005-0000-0000-0000C6050000}"/>
    <cellStyle name="Millares 8 2 2" xfId="3532" xr:uid="{DB90F395-1D09-4663-B32F-BF68ECE28BB7}"/>
    <cellStyle name="Millares 8 2 2 2" xfId="5543" xr:uid="{33609B33-78D4-4294-9F9C-F7E5DAB5F61A}"/>
    <cellStyle name="Millares 8 2 3" xfId="3740" xr:uid="{74DD1C9E-C3D3-4391-B08E-31FE3F8B004A}"/>
    <cellStyle name="Millares 8 20" xfId="3000" xr:uid="{0BADF3FD-CFC8-4641-89A6-14959D759F9E}"/>
    <cellStyle name="Millares 8 20 2" xfId="5360" xr:uid="{0967C34D-D41C-4096-A804-32341C23C72E}"/>
    <cellStyle name="Millares 8 21" xfId="3094" xr:uid="{EAA58C33-54B7-4BD4-88F7-C46B6789B38E}"/>
    <cellStyle name="Millares 8 21 2" xfId="5453" xr:uid="{4177DFCA-59F0-4459-9441-8A02177445BC}"/>
    <cellStyle name="Millares 8 22" xfId="3585" xr:uid="{80A94255-4AA7-42A8-8844-55E9642B1E05}"/>
    <cellStyle name="Millares 8 3" xfId="1464" xr:uid="{00000000-0005-0000-0000-0000C7050000}"/>
    <cellStyle name="Millares 8 3 2" xfId="3830" xr:uid="{4E1C6056-DF6F-41A1-A1B2-06A3B155B2B6}"/>
    <cellStyle name="Millares 8 4" xfId="1554" xr:uid="{00000000-0005-0000-0000-0000C8050000}"/>
    <cellStyle name="Millares 8 4 2" xfId="3920" xr:uid="{0EEE039C-9B81-413F-9366-87C98511F138}"/>
    <cellStyle name="Millares 8 5" xfId="1644" xr:uid="{00000000-0005-0000-0000-0000C9050000}"/>
    <cellStyle name="Millares 8 5 2" xfId="4010" xr:uid="{0137D025-281C-463A-A1E5-2D454097EEDB}"/>
    <cellStyle name="Millares 8 6" xfId="1735" xr:uid="{00000000-0005-0000-0000-0000CA050000}"/>
    <cellStyle name="Millares 8 6 2" xfId="4100" xr:uid="{764262B9-AF04-4718-9201-A3CA493DB743}"/>
    <cellStyle name="Millares 8 7" xfId="1828" xr:uid="{00000000-0005-0000-0000-0000CB050000}"/>
    <cellStyle name="Millares 8 7 2" xfId="4190" xr:uid="{2733C4C9-6228-4B60-91CB-4471952410DB}"/>
    <cellStyle name="Millares 8 8" xfId="1919" xr:uid="{85F889B2-E677-47C1-A9FE-C8E516EFFABA}"/>
    <cellStyle name="Millares 8 8 2" xfId="4280" xr:uid="{22F036A1-E479-443A-81D0-FC0CD3F9894C}"/>
    <cellStyle name="Millares 8 9" xfId="2010" xr:uid="{6754D345-2083-434B-8D8B-F93A96031BDE}"/>
    <cellStyle name="Millares 8 9 2" xfId="4370" xr:uid="{13A6699E-0D6F-4F45-A752-86AA5B228D18}"/>
    <cellStyle name="Millares 9" xfId="1211" xr:uid="{00000000-0005-0000-0000-0000CC050000}"/>
    <cellStyle name="Millares 9 10" xfId="2100" xr:uid="{84B369B9-74C3-4EE0-8BE2-418EB297D3B5}"/>
    <cellStyle name="Millares 9 10 2" xfId="4460" xr:uid="{4DE9C5DA-CC08-4FFA-B3EC-D6FD24B0BEEF}"/>
    <cellStyle name="Millares 9 11" xfId="2191" xr:uid="{6F2D4DF2-0AA6-4AE7-879A-F39B65AE2A41}"/>
    <cellStyle name="Millares 9 11 2" xfId="4551" xr:uid="{7114501F-2655-4288-96B2-63D3BFDB69A2}"/>
    <cellStyle name="Millares 9 12" xfId="2280" xr:uid="{255262F3-E562-425F-BFCF-231186F19AAC}"/>
    <cellStyle name="Millares 9 12 2" xfId="4640" xr:uid="{9033EC2A-53F4-48B7-AD33-CF0C3180DF39}"/>
    <cellStyle name="Millares 9 13" xfId="2370" xr:uid="{8FFCE44B-278B-47F1-9413-8B7742839890}"/>
    <cellStyle name="Millares 9 13 2" xfId="4730" xr:uid="{353D0FBF-915E-444D-A2CC-0E1CCC109530}"/>
    <cellStyle name="Millares 9 14" xfId="2459" xr:uid="{4C4CFC4F-622D-424C-8F22-9D89FDFCEAA2}"/>
    <cellStyle name="Millares 9 14 2" xfId="4819" xr:uid="{129C680B-0C08-433A-8057-42B3CF9C1E8B}"/>
    <cellStyle name="Millares 9 15" xfId="2549" xr:uid="{EEE3A29D-E6A2-4837-93B7-773B5EAC8B0E}"/>
    <cellStyle name="Millares 9 15 2" xfId="4909" xr:uid="{45C55523-4120-4C5C-99B9-3752E7F9D8DE}"/>
    <cellStyle name="Millares 9 16" xfId="2638" xr:uid="{8B08A7ED-2B2E-4520-8762-548D482C7FA7}"/>
    <cellStyle name="Millares 9 16 2" xfId="4998" xr:uid="{DD648F06-CFE0-4C07-9304-DEA404F1ABED}"/>
    <cellStyle name="Millares 9 17" xfId="2728" xr:uid="{C930FE36-4B71-4759-842F-31E4D8918414}"/>
    <cellStyle name="Millares 9 17 2" xfId="5088" xr:uid="{E742E227-5326-4AA1-821D-19C69F45A07B}"/>
    <cellStyle name="Millares 9 18" xfId="2818" xr:uid="{E3649B8E-087F-4736-93EF-3BFE4F1FF6D3}"/>
    <cellStyle name="Millares 9 18 2" xfId="5178" xr:uid="{0A81D374-C36D-4564-9921-CD6CF47C9402}"/>
    <cellStyle name="Millares 9 19" xfId="2908" xr:uid="{F3234ED8-857A-47DF-82EF-08DFBB99B672}"/>
    <cellStyle name="Millares 9 19 2" xfId="5268" xr:uid="{B91F4749-8F0A-4C11-9057-1C3913898F23}"/>
    <cellStyle name="Millares 9 2" xfId="1368" xr:uid="{00000000-0005-0000-0000-0000CD050000}"/>
    <cellStyle name="Millares 9 2 2" xfId="3533" xr:uid="{1E6B5788-B18B-4377-A9D6-D1E608678C48}"/>
    <cellStyle name="Millares 9 2 2 2" xfId="5544" xr:uid="{CFC39377-82D2-42F3-A493-54C3D6FA0BFE}"/>
    <cellStyle name="Millares 9 2 3" xfId="3741" xr:uid="{4E779C44-62F7-449D-9194-5E8EA567CA1E}"/>
    <cellStyle name="Millares 9 20" xfId="3001" xr:uid="{C9D01823-ADA0-4B9A-9B24-DAEB2CC2AB3F}"/>
    <cellStyle name="Millares 9 20 2" xfId="5361" xr:uid="{B7BD5BF7-CB80-4843-8F8D-304CF2BE3DCB}"/>
    <cellStyle name="Millares 9 21" xfId="3095" xr:uid="{EF6F6E0F-ABC8-425E-9573-AF255249A644}"/>
    <cellStyle name="Millares 9 21 2" xfId="5454" xr:uid="{C1CBF8CC-C18E-4AEC-B95A-B7439AA2AF14}"/>
    <cellStyle name="Millares 9 22" xfId="3589" xr:uid="{1ABA3F5B-CE19-4BE1-AE96-6ACD35A72077}"/>
    <cellStyle name="Millares 9 3" xfId="1465" xr:uid="{00000000-0005-0000-0000-0000CE050000}"/>
    <cellStyle name="Millares 9 3 2" xfId="3831" xr:uid="{FCB2A814-686F-43A5-996F-E07EF78BA7BF}"/>
    <cellStyle name="Millares 9 4" xfId="1555" xr:uid="{00000000-0005-0000-0000-0000CF050000}"/>
    <cellStyle name="Millares 9 4 2" xfId="3921" xr:uid="{277388BF-F233-475E-8445-D196984B0571}"/>
    <cellStyle name="Millares 9 5" xfId="1645" xr:uid="{00000000-0005-0000-0000-0000D0050000}"/>
    <cellStyle name="Millares 9 5 2" xfId="4011" xr:uid="{BD28CE61-AFB8-4A72-B6B6-B751298963DF}"/>
    <cellStyle name="Millares 9 6" xfId="1736" xr:uid="{00000000-0005-0000-0000-0000D1050000}"/>
    <cellStyle name="Millares 9 6 2" xfId="4101" xr:uid="{A9837A9C-368E-494A-8308-751BBD8F8E1F}"/>
    <cellStyle name="Millares 9 7" xfId="1829" xr:uid="{00000000-0005-0000-0000-0000D2050000}"/>
    <cellStyle name="Millares 9 7 2" xfId="4191" xr:uid="{577C91C6-DFDC-4417-B1BC-7A1B32A3999B}"/>
    <cellStyle name="Millares 9 8" xfId="1920" xr:uid="{0BE696EC-4291-4DE3-9E11-C56D2EC4F2E8}"/>
    <cellStyle name="Millares 9 8 2" xfId="4281" xr:uid="{E6E5EAD0-DE83-45FB-B893-B76F20DDA580}"/>
    <cellStyle name="Millares 9 9" xfId="2011" xr:uid="{006511CA-9697-4BF6-B3F0-26B18EEF40E7}"/>
    <cellStyle name="Millares 9 9 2" xfId="4371" xr:uid="{A0BCEC19-F04B-4D91-9A1D-CA77613F751C}"/>
    <cellStyle name="Moneda 2" xfId="1369" xr:uid="{00000000-0005-0000-0000-0000D4050000}"/>
    <cellStyle name="Moneda 2 10" xfId="2192" xr:uid="{837C81F7-498A-4A3E-B43D-06DD2AC15505}"/>
    <cellStyle name="Moneda 2 10 2" xfId="4552" xr:uid="{D98DAC4D-0704-4136-8465-E05B903C5497}"/>
    <cellStyle name="Moneda 2 11" xfId="2281" xr:uid="{AC4B352C-FE3B-4EA4-97A1-008ECAC107B8}"/>
    <cellStyle name="Moneda 2 11 2" xfId="4641" xr:uid="{CB7A2579-79CE-4025-942B-EC3655FD539F}"/>
    <cellStyle name="Moneda 2 12" xfId="2371" xr:uid="{0D590D3D-96BD-4BCB-AF9B-A13259645A8D}"/>
    <cellStyle name="Moneda 2 12 2" xfId="4731" xr:uid="{84C580AE-5785-447B-B8E8-0D6DDD74936C}"/>
    <cellStyle name="Moneda 2 13" xfId="2460" xr:uid="{EA31FB07-B07E-4B76-991A-39E0E146DD34}"/>
    <cellStyle name="Moneda 2 13 2" xfId="4820" xr:uid="{57CA077C-15A2-4909-8B79-69D41017B505}"/>
    <cellStyle name="Moneda 2 14" xfId="2550" xr:uid="{6E3A87B8-BF9F-4619-BA85-9999F96D4FB0}"/>
    <cellStyle name="Moneda 2 14 2" xfId="4910" xr:uid="{3A17FDDA-3CE0-4D9D-8184-85F4BD8A617F}"/>
    <cellStyle name="Moneda 2 15" xfId="2639" xr:uid="{D6C3D35D-EDC2-4886-A663-1DB5343D17D7}"/>
    <cellStyle name="Moneda 2 15 2" xfId="4999" xr:uid="{7D5ED626-A4E2-450B-B30B-B2BBE4E01977}"/>
    <cellStyle name="Moneda 2 16" xfId="2729" xr:uid="{8EDFE6E7-7D1B-4F10-9B59-84638F52D483}"/>
    <cellStyle name="Moneda 2 16 2" xfId="5089" xr:uid="{D9998CB0-3CCA-4AD1-8704-1A1BF719672C}"/>
    <cellStyle name="Moneda 2 17" xfId="2819" xr:uid="{1886282E-6B2C-405A-B248-443C19D559DD}"/>
    <cellStyle name="Moneda 2 17 2" xfId="5179" xr:uid="{08B92D79-794A-4EA0-88FD-4D7965539F2C}"/>
    <cellStyle name="Moneda 2 18" xfId="2909" xr:uid="{4A64CF10-FDC4-4AFC-8676-AB8B6070F34B}"/>
    <cellStyle name="Moneda 2 18 2" xfId="5269" xr:uid="{C9ADB1A9-3985-4B64-98AC-B4F2E001ABD6}"/>
    <cellStyle name="Moneda 2 19" xfId="3002" xr:uid="{E53E5A11-B9C0-4FD9-BA81-A1149C65A79C}"/>
    <cellStyle name="Moneda 2 19 2" xfId="5362" xr:uid="{89EE395B-076F-47B1-BF93-885935CD9DDF}"/>
    <cellStyle name="Moneda 2 2" xfId="1466" xr:uid="{00000000-0005-0000-0000-0000D5050000}"/>
    <cellStyle name="Moneda 2 2 2" xfId="3534" xr:uid="{F26EFCAE-73AE-4E56-8889-585983FA3060}"/>
    <cellStyle name="Moneda 2 2 2 2" xfId="5545" xr:uid="{F11ED417-4635-4996-A629-3F0EFADBB17D}"/>
    <cellStyle name="Moneda 2 2 3" xfId="3832" xr:uid="{7E73548A-34E5-45F7-A98A-FB38C293A9AE}"/>
    <cellStyle name="Moneda 2 20" xfId="3096" xr:uid="{B0F54F6E-48FB-402F-9067-C1BA56A03D7A}"/>
    <cellStyle name="Moneda 2 20 2" xfId="5455" xr:uid="{5F8CEEE9-ADD8-4E46-926B-DD40A6C31866}"/>
    <cellStyle name="Moneda 2 21" xfId="3742" xr:uid="{713A0FEB-4AE2-4D34-A6D2-D247D1D882A7}"/>
    <cellStyle name="Moneda 2 3" xfId="1556" xr:uid="{00000000-0005-0000-0000-0000D6050000}"/>
    <cellStyle name="Moneda 2 3 2" xfId="3922" xr:uid="{8B8D87E2-02D8-449A-9272-E92C4F9F893F}"/>
    <cellStyle name="Moneda 2 4" xfId="1646" xr:uid="{00000000-0005-0000-0000-0000D7050000}"/>
    <cellStyle name="Moneda 2 4 2" xfId="4012" xr:uid="{FF2A091E-2CCD-4C67-A1A8-B19DC9E04D74}"/>
    <cellStyle name="Moneda 2 5" xfId="1737" xr:uid="{00000000-0005-0000-0000-0000D8050000}"/>
    <cellStyle name="Moneda 2 5 2" xfId="4102" xr:uid="{36FE37A9-A3A3-4ED3-9368-567D5C98FA8B}"/>
    <cellStyle name="Moneda 2 6" xfId="1830" xr:uid="{00000000-0005-0000-0000-0000D9050000}"/>
    <cellStyle name="Moneda 2 6 2" xfId="4192" xr:uid="{EFAADDBB-46FA-4C83-BA6C-ACD4DAEF8804}"/>
    <cellStyle name="Moneda 2 7" xfId="1921" xr:uid="{A54E562D-E9DE-4922-8228-4826F91A8612}"/>
    <cellStyle name="Moneda 2 7 2" xfId="4282" xr:uid="{B178D480-EE10-4D69-94CD-8D3C76A5EFB6}"/>
    <cellStyle name="Moneda 2 8" xfId="2012" xr:uid="{7EC712B2-1D32-467D-858A-D98D8074DC70}"/>
    <cellStyle name="Moneda 2 8 2" xfId="4372" xr:uid="{6203BE5D-FC7D-4F05-A37A-58201132E3A1}"/>
    <cellStyle name="Moneda 2 9" xfId="2101" xr:uid="{BD5DF590-5272-474D-979A-F493650B26F5}"/>
    <cellStyle name="Moneda 2 9 2" xfId="4461" xr:uid="{92F75429-9EBB-45A5-B042-3E5313958177}"/>
    <cellStyle name="Moneda 3" xfId="3539" xr:uid="{2BE454F5-4C13-46B8-B3C4-8A37526C344F}"/>
    <cellStyle name="Moneda 3 2" xfId="5546" xr:uid="{F0BB0030-E445-4684-9AA6-055090F30433}"/>
    <cellStyle name="Moneda 4" xfId="3098" xr:uid="{B2C2F02F-2672-4592-8BF1-3CA1B894E5EC}"/>
    <cellStyle name="Moneda 4 2" xfId="5456" xr:uid="{2B81B843-38B1-4C72-8E2F-6D5DA449D7A7}"/>
    <cellStyle name="Moneda 5" xfId="3568" xr:uid="{7761D144-6D08-49CC-B3C6-FDF65A1CC770}"/>
    <cellStyle name="Neutral 10" xfId="882" xr:uid="{00000000-0005-0000-0000-0000DA050000}"/>
    <cellStyle name="Neutral 10 2" xfId="883" xr:uid="{00000000-0005-0000-0000-0000DB050000}"/>
    <cellStyle name="Neutral 11" xfId="884" xr:uid="{00000000-0005-0000-0000-0000DC050000}"/>
    <cellStyle name="Neutral 11 2" xfId="885" xr:uid="{00000000-0005-0000-0000-0000DD050000}"/>
    <cellStyle name="Neutral 12" xfId="886" xr:uid="{00000000-0005-0000-0000-0000DE050000}"/>
    <cellStyle name="Neutral 12 2" xfId="887" xr:uid="{00000000-0005-0000-0000-0000DF050000}"/>
    <cellStyle name="Neutral 13" xfId="888" xr:uid="{00000000-0005-0000-0000-0000E0050000}"/>
    <cellStyle name="Neutral 13 2" xfId="889" xr:uid="{00000000-0005-0000-0000-0000E1050000}"/>
    <cellStyle name="Neutral 14" xfId="890" xr:uid="{00000000-0005-0000-0000-0000E2050000}"/>
    <cellStyle name="Neutral 14 2" xfId="891" xr:uid="{00000000-0005-0000-0000-0000E3050000}"/>
    <cellStyle name="Neutral 15" xfId="881" xr:uid="{00000000-0005-0000-0000-0000E4050000}"/>
    <cellStyle name="Neutral 16" xfId="3102" xr:uid="{489B8846-DFD7-4082-BAE7-1670DF7620A0}"/>
    <cellStyle name="Neutral 2" xfId="892" xr:uid="{00000000-0005-0000-0000-0000E5050000}"/>
    <cellStyle name="Neutral 2 2" xfId="893" xr:uid="{00000000-0005-0000-0000-0000E6050000}"/>
    <cellStyle name="Neutral 3" xfId="894" xr:uid="{00000000-0005-0000-0000-0000E7050000}"/>
    <cellStyle name="Neutral 3 2" xfId="895" xr:uid="{00000000-0005-0000-0000-0000E8050000}"/>
    <cellStyle name="Neutral 4" xfId="896" xr:uid="{00000000-0005-0000-0000-0000E9050000}"/>
    <cellStyle name="Neutral 4 2" xfId="897" xr:uid="{00000000-0005-0000-0000-0000EA050000}"/>
    <cellStyle name="Neutral 5" xfId="898" xr:uid="{00000000-0005-0000-0000-0000EB050000}"/>
    <cellStyle name="Neutral 5 2" xfId="899" xr:uid="{00000000-0005-0000-0000-0000EC050000}"/>
    <cellStyle name="Neutral 6" xfId="900" xr:uid="{00000000-0005-0000-0000-0000ED050000}"/>
    <cellStyle name="Neutral 6 2" xfId="901" xr:uid="{00000000-0005-0000-0000-0000EE050000}"/>
    <cellStyle name="Neutral 7" xfId="902" xr:uid="{00000000-0005-0000-0000-0000EF050000}"/>
    <cellStyle name="Neutral 7 2" xfId="903" xr:uid="{00000000-0005-0000-0000-0000F0050000}"/>
    <cellStyle name="Neutral 8" xfId="904" xr:uid="{00000000-0005-0000-0000-0000F1050000}"/>
    <cellStyle name="Neutral 8 2" xfId="905" xr:uid="{00000000-0005-0000-0000-0000F2050000}"/>
    <cellStyle name="Neutral 9" xfId="906" xr:uid="{00000000-0005-0000-0000-0000F3050000}"/>
    <cellStyle name="Neutral 9 2" xfId="907" xr:uid="{00000000-0005-0000-0000-0000F4050000}"/>
    <cellStyle name="Normal" xfId="0" builtinId="0"/>
    <cellStyle name="Normal 10" xfId="1557" xr:uid="{00000000-0005-0000-0000-0000F6050000}"/>
    <cellStyle name="Normal 10 2" xfId="3923" xr:uid="{5F3CC103-A74C-4284-AF75-D478547F180E}"/>
    <cellStyle name="Normal 11" xfId="1648" xr:uid="{00000000-0005-0000-0000-0000F7050000}"/>
    <cellStyle name="Normal 11 2" xfId="4013" xr:uid="{C7284813-99A6-443B-AB50-591EF6FD7E5D}"/>
    <cellStyle name="Normal 12" xfId="1739" xr:uid="{00000000-0005-0000-0000-0000F8050000}"/>
    <cellStyle name="Normal 12 2" xfId="4103" xr:uid="{AB97449F-5E89-4EAA-9E39-14B511716051}"/>
    <cellStyle name="Normal 13" xfId="1832" xr:uid="{708560ED-6E65-47B4-B7D6-9B14CE272DD9}"/>
    <cellStyle name="Normal 13 2" xfId="4193" xr:uid="{AAD32CD0-44AB-432E-BE49-E23ED7032096}"/>
    <cellStyle name="Normal 14" xfId="1923" xr:uid="{DF64BFA6-EFDD-48CE-B7AF-A48608B7E6A2}"/>
    <cellStyle name="Normal 14 2" xfId="4283" xr:uid="{5139FA07-B3A4-492F-B973-529DDDD3ACD1}"/>
    <cellStyle name="Normal 15" xfId="2102" xr:uid="{8D8569EE-0EE5-4A38-AE44-C24FDA015ED9}"/>
    <cellStyle name="Normal 15 2" xfId="4462" xr:uid="{58718398-10A3-4948-B277-9188953ADBDD}"/>
    <cellStyle name="Normal 16" xfId="2103" xr:uid="{E8F7BBBA-D34E-45F2-A714-3161460A0421}"/>
    <cellStyle name="Normal 16 2" xfId="4463" xr:uid="{5EE9BA20-DF45-48B0-965B-D2D26C0C6615}"/>
    <cellStyle name="Normal 17" xfId="2282" xr:uid="{50E68B97-DC8E-4FEF-B9BA-7C10560BA14A}"/>
    <cellStyle name="Normal 17 2" xfId="4642" xr:uid="{7D4227B1-3D39-4A7D-A4F4-AC87058745EB}"/>
    <cellStyle name="Normal 18" xfId="2461" xr:uid="{8F532373-4999-444D-9DDD-74569E1B83B4}"/>
    <cellStyle name="Normal 18 2" xfId="4821" xr:uid="{4FD74C78-A408-4D6C-9C89-A524421D7041}"/>
    <cellStyle name="Normal 19" xfId="2640" xr:uid="{256B0D4E-A858-4B36-B94C-061E152C6642}"/>
    <cellStyle name="Normal 19 2" xfId="5000" xr:uid="{D50B5FFB-A01C-4CCB-86A0-2F274459219B}"/>
    <cellStyle name="Normal 2" xfId="2" xr:uid="{00000000-0005-0000-0000-0000F9050000}"/>
    <cellStyle name="Normal 2 10" xfId="908" xr:uid="{00000000-0005-0000-0000-0000FA050000}"/>
    <cellStyle name="Normal 2 10 2" xfId="909" xr:uid="{00000000-0005-0000-0000-0000FB050000}"/>
    <cellStyle name="Normal 2 11" xfId="910" xr:uid="{00000000-0005-0000-0000-0000FC050000}"/>
    <cellStyle name="Normal 2 11 2" xfId="911" xr:uid="{00000000-0005-0000-0000-0000FD050000}"/>
    <cellStyle name="Normal 2 12" xfId="912" xr:uid="{00000000-0005-0000-0000-0000FE050000}"/>
    <cellStyle name="Normal 2 12 2" xfId="913" xr:uid="{00000000-0005-0000-0000-0000FF050000}"/>
    <cellStyle name="Normal 2 13" xfId="914" xr:uid="{00000000-0005-0000-0000-000000060000}"/>
    <cellStyle name="Normal 2 13 2" xfId="915" xr:uid="{00000000-0005-0000-0000-000001060000}"/>
    <cellStyle name="Normal 2 14" xfId="916" xr:uid="{00000000-0005-0000-0000-000002060000}"/>
    <cellStyle name="Normal 2 14 2" xfId="917" xr:uid="{00000000-0005-0000-0000-000003060000}"/>
    <cellStyle name="Normal 2 15" xfId="918" xr:uid="{00000000-0005-0000-0000-000004060000}"/>
    <cellStyle name="Normal 2 15 2" xfId="919" xr:uid="{00000000-0005-0000-0000-000005060000}"/>
    <cellStyle name="Normal 2 16" xfId="920" xr:uid="{00000000-0005-0000-0000-000006060000}"/>
    <cellStyle name="Normal 2 16 2" xfId="921" xr:uid="{00000000-0005-0000-0000-000007060000}"/>
    <cellStyle name="Normal 2 17" xfId="922" xr:uid="{00000000-0005-0000-0000-000008060000}"/>
    <cellStyle name="Normal 2 17 2" xfId="923" xr:uid="{00000000-0005-0000-0000-000009060000}"/>
    <cellStyle name="Normal 2 18" xfId="924" xr:uid="{00000000-0005-0000-0000-00000A060000}"/>
    <cellStyle name="Normal 2 18 2" xfId="925" xr:uid="{00000000-0005-0000-0000-00000B060000}"/>
    <cellStyle name="Normal 2 19" xfId="926" xr:uid="{00000000-0005-0000-0000-00000C060000}"/>
    <cellStyle name="Normal 2 19 2" xfId="927" xr:uid="{00000000-0005-0000-0000-00000D060000}"/>
    <cellStyle name="Normal 2 2" xfId="928" xr:uid="{00000000-0005-0000-0000-00000E060000}"/>
    <cellStyle name="Normal 2 2 2" xfId="929" xr:uid="{00000000-0005-0000-0000-00000F060000}"/>
    <cellStyle name="Normal 2 20" xfId="930" xr:uid="{00000000-0005-0000-0000-000010060000}"/>
    <cellStyle name="Normal 2 20 2" xfId="931" xr:uid="{00000000-0005-0000-0000-000011060000}"/>
    <cellStyle name="Normal 2 21" xfId="932" xr:uid="{00000000-0005-0000-0000-000012060000}"/>
    <cellStyle name="Normal 2 21 2" xfId="933" xr:uid="{00000000-0005-0000-0000-000013060000}"/>
    <cellStyle name="Normal 2 22" xfId="934" xr:uid="{00000000-0005-0000-0000-000014060000}"/>
    <cellStyle name="Normal 2 22 2" xfId="935" xr:uid="{00000000-0005-0000-0000-000015060000}"/>
    <cellStyle name="Normal 2 23" xfId="936" xr:uid="{00000000-0005-0000-0000-000016060000}"/>
    <cellStyle name="Normal 2 23 2" xfId="937" xr:uid="{00000000-0005-0000-0000-000017060000}"/>
    <cellStyle name="Normal 2 24" xfId="1831" xr:uid="{00000000-0005-0000-0000-000018060000}"/>
    <cellStyle name="Normal 2 3" xfId="938" xr:uid="{00000000-0005-0000-0000-000019060000}"/>
    <cellStyle name="Normal 2 3 2" xfId="939" xr:uid="{00000000-0005-0000-0000-00001A060000}"/>
    <cellStyle name="Normal 2 4" xfId="940" xr:uid="{00000000-0005-0000-0000-00001B060000}"/>
    <cellStyle name="Normal 2 4 2" xfId="941" xr:uid="{00000000-0005-0000-0000-00001C060000}"/>
    <cellStyle name="Normal 2 5" xfId="942" xr:uid="{00000000-0005-0000-0000-00001D060000}"/>
    <cellStyle name="Normal 2 5 2" xfId="943" xr:uid="{00000000-0005-0000-0000-00001E060000}"/>
    <cellStyle name="Normal 2 6" xfId="944" xr:uid="{00000000-0005-0000-0000-00001F060000}"/>
    <cellStyle name="Normal 2 6 2" xfId="945" xr:uid="{00000000-0005-0000-0000-000020060000}"/>
    <cellStyle name="Normal 2 7" xfId="946" xr:uid="{00000000-0005-0000-0000-000021060000}"/>
    <cellStyle name="Normal 2 8" xfId="947" xr:uid="{00000000-0005-0000-0000-000022060000}"/>
    <cellStyle name="Normal 2 8 2" xfId="948" xr:uid="{00000000-0005-0000-0000-000023060000}"/>
    <cellStyle name="Normal 2 9" xfId="949" xr:uid="{00000000-0005-0000-0000-000024060000}"/>
    <cellStyle name="Normal 2 9 2" xfId="950" xr:uid="{00000000-0005-0000-0000-000025060000}"/>
    <cellStyle name="Normal 20" xfId="2730" xr:uid="{041D80D6-E7A1-43D0-9275-FE5F5B1FC9C9}"/>
    <cellStyle name="Normal 20 2" xfId="5090" xr:uid="{26AC2B03-1CDA-4D40-A527-153C5FCA3F46}"/>
    <cellStyle name="Normal 21" xfId="2820" xr:uid="{0D03F717-ABE8-4B69-86B8-A54BC41E9DBC}"/>
    <cellStyle name="Normal 21 2" xfId="5180" xr:uid="{F4B6B0C2-5293-412A-8784-F3B1E69F0EED}"/>
    <cellStyle name="Normal 216" xfId="951" xr:uid="{00000000-0005-0000-0000-000026060000}"/>
    <cellStyle name="Normal 22" xfId="2910" xr:uid="{2CDF3A26-2CA2-4A9A-A946-DEA41E06D953}"/>
    <cellStyle name="Normal 22 2" xfId="5270" xr:uid="{03FE9E6A-768D-4EEA-8B83-C85B5E851F1E}"/>
    <cellStyle name="Normal 23" xfId="2911" xr:uid="{9B335817-7DB3-4395-B928-5D2D150949A3}"/>
    <cellStyle name="Normal 23 2" xfId="5271" xr:uid="{4F654864-5EC2-4579-9CC8-3ED045A167FB}"/>
    <cellStyle name="Normal 234" xfId="952" xr:uid="{00000000-0005-0000-0000-000027060000}"/>
    <cellStyle name="Normal 235" xfId="953" xr:uid="{00000000-0005-0000-0000-000028060000}"/>
    <cellStyle name="Normal 235 2" xfId="3535" xr:uid="{66CFF6D9-1B4D-455D-B49D-6B41D9A4036F}"/>
    <cellStyle name="Normal 236" xfId="954" xr:uid="{00000000-0005-0000-0000-000029060000}"/>
    <cellStyle name="Normal 236 2" xfId="955" xr:uid="{00000000-0005-0000-0000-00002A060000}"/>
    <cellStyle name="Normal 237" xfId="956" xr:uid="{00000000-0005-0000-0000-00002B060000}"/>
    <cellStyle name="Normal 237 2" xfId="957" xr:uid="{00000000-0005-0000-0000-00002C060000}"/>
    <cellStyle name="Normal 238" xfId="958" xr:uid="{00000000-0005-0000-0000-00002D060000}"/>
    <cellStyle name="Normal 238 2" xfId="959" xr:uid="{00000000-0005-0000-0000-00002E060000}"/>
    <cellStyle name="Normal 239" xfId="1249" xr:uid="{00000000-0005-0000-0000-00002F060000}"/>
    <cellStyle name="Normal 239 2" xfId="1370" xr:uid="{00000000-0005-0000-0000-000030060000}"/>
    <cellStyle name="Normal 24" xfId="2912" xr:uid="{B9848671-9793-4C1B-A731-1E98DE41756E}"/>
    <cellStyle name="Normal 24 2" xfId="5272" xr:uid="{05DAC51D-8AC5-44B1-BC4A-458712DEDB04}"/>
    <cellStyle name="Normal 240" xfId="1254" xr:uid="{00000000-0005-0000-0000-000031060000}"/>
    <cellStyle name="Normal 240 2" xfId="1371" xr:uid="{00000000-0005-0000-0000-000032060000}"/>
    <cellStyle name="Normal 241" xfId="1647" xr:uid="{00000000-0005-0000-0000-000033060000}"/>
    <cellStyle name="Normal 241 2" xfId="3536" xr:uid="{BAD68423-8A10-401E-B787-590472699503}"/>
    <cellStyle name="Normal 25" xfId="2913" xr:uid="{505BD84F-AFBE-4043-AF9C-CD29D693DFA1}"/>
    <cellStyle name="Normal 25 2" xfId="5273" xr:uid="{2E5AE0A4-983B-42BE-99C1-5D8EF8E01CA7}"/>
    <cellStyle name="Normal 26" xfId="3003" xr:uid="{F627B976-AF45-4CBF-A546-6632760EAB3C}"/>
    <cellStyle name="Normal 26 2" xfId="5363" xr:uid="{1284031D-B2B2-4D5B-82A6-B7013AA5E88E}"/>
    <cellStyle name="Normal 27" xfId="3004" xr:uid="{98D25402-C71A-453E-A773-69A0BD752C73}"/>
    <cellStyle name="Normal 27 2" xfId="5364" xr:uid="{BCFD425B-91C8-461E-9419-60BAAD26AF45}"/>
    <cellStyle name="Normal 28" xfId="3005" xr:uid="{58B97980-ED20-4464-BD9D-444FE070FBE3}"/>
    <cellStyle name="Normal 28 2" xfId="5365" xr:uid="{08E31D18-6CE4-4FC1-AA5B-00B24D54849E}"/>
    <cellStyle name="Normal 29" xfId="3006" xr:uid="{892ED031-081D-4CEE-BD4B-0655830DD0BC}"/>
    <cellStyle name="Normal 29 2" xfId="5366" xr:uid="{B9D26341-C0B8-4366-9265-A3178245DCBA}"/>
    <cellStyle name="Normal 3" xfId="3" xr:uid="{00000000-0005-0000-0000-000034060000}"/>
    <cellStyle name="Normal 3 2" xfId="960" xr:uid="{00000000-0005-0000-0000-000035060000}"/>
    <cellStyle name="Normal 3 3" xfId="1922" xr:uid="{BC1290A3-9367-47C1-B8A1-BB94DEC2990D}"/>
    <cellStyle name="Normal 30" xfId="3560" xr:uid="{9AFFDD43-9655-40F7-A867-48BB58821C56}"/>
    <cellStyle name="Normal 30 2" xfId="5547" xr:uid="{1B3AE4D8-1B63-4A49-BA27-71689BA51F81}"/>
    <cellStyle name="Normal 31" xfId="3561" xr:uid="{8BAFAE03-C9B9-47AA-BB7A-5A9810A06C52}"/>
    <cellStyle name="Normal 31 2" xfId="5548" xr:uid="{E7667C28-66CE-4627-A54F-12C96E4E6E17}"/>
    <cellStyle name="Normal 32" xfId="3562" xr:uid="{EDDA4FD1-81CC-412B-9A1D-CA6B7B3162E7}"/>
    <cellStyle name="Normal 32 2" xfId="5549" xr:uid="{69EF25B1-BD22-42E7-922A-786F1C9AC1A1}"/>
    <cellStyle name="Normal 33" xfId="3563" xr:uid="{DEBC1828-D21C-49DB-A082-3A407BCABE58}"/>
    <cellStyle name="Normal 33 2" xfId="5550" xr:uid="{6FEB8645-933D-43A9-939C-8293554515F0}"/>
    <cellStyle name="Normal 34" xfId="3564" xr:uid="{A26B0BBE-99BA-4567-819F-3AC63D2D8559}"/>
    <cellStyle name="Normal 34 2" xfId="5551" xr:uid="{5651CA8D-06F8-4D00-A1DA-7B8C5AA0A000}"/>
    <cellStyle name="Normal 35" xfId="3565" xr:uid="{FA7EFB04-BBCE-46E1-AAE8-A783F8F49E14}"/>
    <cellStyle name="Normal 35 2" xfId="5552" xr:uid="{D7F15EEB-529B-4919-B99E-D86AF96D886B}"/>
    <cellStyle name="Normal 36" xfId="3566" xr:uid="{52ACB948-D605-44AC-A756-CAD69778D5D7}"/>
    <cellStyle name="Normal 36 2" xfId="5553" xr:uid="{A5B48E95-AD59-423A-A163-3A4A1ADED47B}"/>
    <cellStyle name="Normal 4" xfId="4" xr:uid="{00000000-0005-0000-0000-000036060000}"/>
    <cellStyle name="Normal 4 2" xfId="961" xr:uid="{00000000-0005-0000-0000-000037060000}"/>
    <cellStyle name="Normal 4 3" xfId="962" xr:uid="{00000000-0005-0000-0000-000038060000}"/>
    <cellStyle name="Normal 4 3 2" xfId="963" xr:uid="{00000000-0005-0000-0000-000039060000}"/>
    <cellStyle name="Normal 4 4" xfId="3538" xr:uid="{878D934D-4AB0-4E03-A405-C6000925977C}"/>
    <cellStyle name="Normal 4 5" xfId="3097" xr:uid="{47FB15FB-1F79-417C-94BB-F5A5F233B86F}"/>
    <cellStyle name="Normal 5" xfId="1197" xr:uid="{00000000-0005-0000-0000-00003A060000}"/>
    <cellStyle name="Normal 5 2" xfId="1372" xr:uid="{00000000-0005-0000-0000-00003B060000}"/>
    <cellStyle name="Normal 5 3" xfId="3540" xr:uid="{A9C13EC2-1D90-420A-B8D2-091E347B0C0A}"/>
    <cellStyle name="Normal 5 4" xfId="3099" xr:uid="{D3EEE393-7FBC-42BA-854A-59D5011F6357}"/>
    <cellStyle name="Normal 6" xfId="1202" xr:uid="{00000000-0005-0000-0000-00003C060000}"/>
    <cellStyle name="Normal 6 2" xfId="1373" xr:uid="{00000000-0005-0000-0000-00003D060000}"/>
    <cellStyle name="Normal 7" xfId="1239" xr:uid="{00000000-0005-0000-0000-00003E060000}"/>
    <cellStyle name="Normal 7 2" xfId="1374" xr:uid="{00000000-0005-0000-0000-00003F060000}"/>
    <cellStyle name="Normal 8" xfId="1244" xr:uid="{00000000-0005-0000-0000-000040060000}"/>
    <cellStyle name="Normal 8 2" xfId="1375" xr:uid="{00000000-0005-0000-0000-000041060000}"/>
    <cellStyle name="Normal 9" xfId="1267" xr:uid="{00000000-0005-0000-0000-000042060000}"/>
    <cellStyle name="Normal 9 2" xfId="1376" xr:uid="{00000000-0005-0000-0000-000043060000}"/>
    <cellStyle name="Normal 9 2 2" xfId="3537" xr:uid="{FD2318BE-4D24-4B8C-91C1-22A3C4E4F81F}"/>
    <cellStyle name="Notas 10" xfId="964" xr:uid="{00000000-0005-0000-0000-000044060000}"/>
    <cellStyle name="Notas 10 2" xfId="965" xr:uid="{00000000-0005-0000-0000-000045060000}"/>
    <cellStyle name="Notas 11" xfId="966" xr:uid="{00000000-0005-0000-0000-000046060000}"/>
    <cellStyle name="Notas 11 2" xfId="967" xr:uid="{00000000-0005-0000-0000-000047060000}"/>
    <cellStyle name="Notas 12" xfId="968" xr:uid="{00000000-0005-0000-0000-000048060000}"/>
    <cellStyle name="Notas 12 2" xfId="969" xr:uid="{00000000-0005-0000-0000-000049060000}"/>
    <cellStyle name="Notas 13" xfId="970" xr:uid="{00000000-0005-0000-0000-00004A060000}"/>
    <cellStyle name="Notas 13 2" xfId="971" xr:uid="{00000000-0005-0000-0000-00004B060000}"/>
    <cellStyle name="Notas 14" xfId="972" xr:uid="{00000000-0005-0000-0000-00004C060000}"/>
    <cellStyle name="Notas 14 2" xfId="973" xr:uid="{00000000-0005-0000-0000-00004D060000}"/>
    <cellStyle name="Notas 15" xfId="974" xr:uid="{00000000-0005-0000-0000-00004E060000}"/>
    <cellStyle name="Notas 15 2" xfId="975" xr:uid="{00000000-0005-0000-0000-00004F060000}"/>
    <cellStyle name="Notas 16" xfId="976" xr:uid="{00000000-0005-0000-0000-000050060000}"/>
    <cellStyle name="Notas 16 2" xfId="977" xr:uid="{00000000-0005-0000-0000-000051060000}"/>
    <cellStyle name="Notas 17" xfId="978" xr:uid="{00000000-0005-0000-0000-000052060000}"/>
    <cellStyle name="Notas 17 2" xfId="979" xr:uid="{00000000-0005-0000-0000-000053060000}"/>
    <cellStyle name="Notas 18" xfId="980" xr:uid="{00000000-0005-0000-0000-000054060000}"/>
    <cellStyle name="Notas 18 2" xfId="981" xr:uid="{00000000-0005-0000-0000-000055060000}"/>
    <cellStyle name="Notas 19" xfId="982" xr:uid="{00000000-0005-0000-0000-000056060000}"/>
    <cellStyle name="Notas 19 2" xfId="983" xr:uid="{00000000-0005-0000-0000-000057060000}"/>
    <cellStyle name="Notas 2" xfId="984" xr:uid="{00000000-0005-0000-0000-000058060000}"/>
    <cellStyle name="Notas 2 2" xfId="985" xr:uid="{00000000-0005-0000-0000-000059060000}"/>
    <cellStyle name="Notas 20" xfId="3103" xr:uid="{FFCA1CB1-3418-4FC6-89BB-C428038E0DA6}"/>
    <cellStyle name="Notas 20 2" xfId="3541" xr:uid="{D4CFFCE2-7EFB-4C30-80A0-1D0DB76582D3}"/>
    <cellStyle name="Notas 3" xfId="986" xr:uid="{00000000-0005-0000-0000-00005A060000}"/>
    <cellStyle name="Notas 3 2" xfId="987" xr:uid="{00000000-0005-0000-0000-00005B060000}"/>
    <cellStyle name="Notas 4" xfId="988" xr:uid="{00000000-0005-0000-0000-00005C060000}"/>
    <cellStyle name="Notas 4 2" xfId="989" xr:uid="{00000000-0005-0000-0000-00005D060000}"/>
    <cellStyle name="Notas 5" xfId="990" xr:uid="{00000000-0005-0000-0000-00005E060000}"/>
    <cellStyle name="Notas 5 2" xfId="991" xr:uid="{00000000-0005-0000-0000-00005F060000}"/>
    <cellStyle name="Notas 6" xfId="992" xr:uid="{00000000-0005-0000-0000-000060060000}"/>
    <cellStyle name="Notas 6 2" xfId="993" xr:uid="{00000000-0005-0000-0000-000061060000}"/>
    <cellStyle name="Notas 7" xfId="994" xr:uid="{00000000-0005-0000-0000-000062060000}"/>
    <cellStyle name="Notas 7 2" xfId="995" xr:uid="{00000000-0005-0000-0000-000063060000}"/>
    <cellStyle name="Notas 8" xfId="996" xr:uid="{00000000-0005-0000-0000-000064060000}"/>
    <cellStyle name="Notas 8 2" xfId="997" xr:uid="{00000000-0005-0000-0000-000065060000}"/>
    <cellStyle name="Notas 9" xfId="998" xr:uid="{00000000-0005-0000-0000-000066060000}"/>
    <cellStyle name="Notas 9 2" xfId="999" xr:uid="{00000000-0005-0000-0000-000067060000}"/>
    <cellStyle name="Note" xfId="1000" xr:uid="{00000000-0005-0000-0000-000068060000}"/>
    <cellStyle name="Output" xfId="1001" xr:uid="{00000000-0005-0000-0000-000069060000}"/>
    <cellStyle name="Salida 10" xfId="1003" xr:uid="{00000000-0005-0000-0000-00006A060000}"/>
    <cellStyle name="Salida 10 2" xfId="1004" xr:uid="{00000000-0005-0000-0000-00006B060000}"/>
    <cellStyle name="Salida 11" xfId="1005" xr:uid="{00000000-0005-0000-0000-00006C060000}"/>
    <cellStyle name="Salida 11 2" xfId="1006" xr:uid="{00000000-0005-0000-0000-00006D060000}"/>
    <cellStyle name="Salida 12" xfId="1007" xr:uid="{00000000-0005-0000-0000-00006E060000}"/>
    <cellStyle name="Salida 12 2" xfId="1008" xr:uid="{00000000-0005-0000-0000-00006F060000}"/>
    <cellStyle name="Salida 13" xfId="1009" xr:uid="{00000000-0005-0000-0000-000070060000}"/>
    <cellStyle name="Salida 13 2" xfId="1010" xr:uid="{00000000-0005-0000-0000-000071060000}"/>
    <cellStyle name="Salida 14" xfId="1011" xr:uid="{00000000-0005-0000-0000-000072060000}"/>
    <cellStyle name="Salida 14 2" xfId="1012" xr:uid="{00000000-0005-0000-0000-000073060000}"/>
    <cellStyle name="Salida 15" xfId="1002" xr:uid="{00000000-0005-0000-0000-000074060000}"/>
    <cellStyle name="Salida 2" xfId="1013" xr:uid="{00000000-0005-0000-0000-000075060000}"/>
    <cellStyle name="Salida 2 2" xfId="1014" xr:uid="{00000000-0005-0000-0000-000076060000}"/>
    <cellStyle name="Salida 3" xfId="1015" xr:uid="{00000000-0005-0000-0000-000077060000}"/>
    <cellStyle name="Salida 3 2" xfId="1016" xr:uid="{00000000-0005-0000-0000-000078060000}"/>
    <cellStyle name="Salida 4" xfId="1017" xr:uid="{00000000-0005-0000-0000-000079060000}"/>
    <cellStyle name="Salida 4 2" xfId="1018" xr:uid="{00000000-0005-0000-0000-00007A060000}"/>
    <cellStyle name="Salida 5" xfId="1019" xr:uid="{00000000-0005-0000-0000-00007B060000}"/>
    <cellStyle name="Salida 5 2" xfId="1020" xr:uid="{00000000-0005-0000-0000-00007C060000}"/>
    <cellStyle name="Salida 6" xfId="1021" xr:uid="{00000000-0005-0000-0000-00007D060000}"/>
    <cellStyle name="Salida 6 2" xfId="1022" xr:uid="{00000000-0005-0000-0000-00007E060000}"/>
    <cellStyle name="Salida 7" xfId="1023" xr:uid="{00000000-0005-0000-0000-00007F060000}"/>
    <cellStyle name="Salida 7 2" xfId="1024" xr:uid="{00000000-0005-0000-0000-000080060000}"/>
    <cellStyle name="Salida 8" xfId="1025" xr:uid="{00000000-0005-0000-0000-000081060000}"/>
    <cellStyle name="Salida 8 2" xfId="1026" xr:uid="{00000000-0005-0000-0000-000082060000}"/>
    <cellStyle name="Salida 9" xfId="1027" xr:uid="{00000000-0005-0000-0000-000083060000}"/>
    <cellStyle name="Salida 9 2" xfId="1028" xr:uid="{00000000-0005-0000-0000-000084060000}"/>
    <cellStyle name="Texto de advertencia 10" xfId="1030" xr:uid="{00000000-0005-0000-0000-000085060000}"/>
    <cellStyle name="Texto de advertencia 10 2" xfId="1031" xr:uid="{00000000-0005-0000-0000-000086060000}"/>
    <cellStyle name="Texto de advertencia 11" xfId="1032" xr:uid="{00000000-0005-0000-0000-000087060000}"/>
    <cellStyle name="Texto de advertencia 11 2" xfId="1033" xr:uid="{00000000-0005-0000-0000-000088060000}"/>
    <cellStyle name="Texto de advertencia 12" xfId="1034" xr:uid="{00000000-0005-0000-0000-000089060000}"/>
    <cellStyle name="Texto de advertencia 12 2" xfId="1035" xr:uid="{00000000-0005-0000-0000-00008A060000}"/>
    <cellStyle name="Texto de advertencia 13" xfId="1036" xr:uid="{00000000-0005-0000-0000-00008B060000}"/>
    <cellStyle name="Texto de advertencia 13 2" xfId="1037" xr:uid="{00000000-0005-0000-0000-00008C060000}"/>
    <cellStyle name="Texto de advertencia 14" xfId="1038" xr:uid="{00000000-0005-0000-0000-00008D060000}"/>
    <cellStyle name="Texto de advertencia 14 2" xfId="1039" xr:uid="{00000000-0005-0000-0000-00008E060000}"/>
    <cellStyle name="Texto de advertencia 15" xfId="1029" xr:uid="{00000000-0005-0000-0000-00008F060000}"/>
    <cellStyle name="Texto de advertencia 2" xfId="1040" xr:uid="{00000000-0005-0000-0000-000090060000}"/>
    <cellStyle name="Texto de advertencia 2 2" xfId="1041" xr:uid="{00000000-0005-0000-0000-000091060000}"/>
    <cellStyle name="Texto de advertencia 3" xfId="1042" xr:uid="{00000000-0005-0000-0000-000092060000}"/>
    <cellStyle name="Texto de advertencia 3 2" xfId="1043" xr:uid="{00000000-0005-0000-0000-000093060000}"/>
    <cellStyle name="Texto de advertencia 4" xfId="1044" xr:uid="{00000000-0005-0000-0000-000094060000}"/>
    <cellStyle name="Texto de advertencia 4 2" xfId="1045" xr:uid="{00000000-0005-0000-0000-000095060000}"/>
    <cellStyle name="Texto de advertencia 5" xfId="1046" xr:uid="{00000000-0005-0000-0000-000096060000}"/>
    <cellStyle name="Texto de advertencia 5 2" xfId="1047" xr:uid="{00000000-0005-0000-0000-000097060000}"/>
    <cellStyle name="Texto de advertencia 6" xfId="1048" xr:uid="{00000000-0005-0000-0000-000098060000}"/>
    <cellStyle name="Texto de advertencia 6 2" xfId="1049" xr:uid="{00000000-0005-0000-0000-000099060000}"/>
    <cellStyle name="Texto de advertencia 7" xfId="1050" xr:uid="{00000000-0005-0000-0000-00009A060000}"/>
    <cellStyle name="Texto de advertencia 7 2" xfId="1051" xr:uid="{00000000-0005-0000-0000-00009B060000}"/>
    <cellStyle name="Texto de advertencia 8" xfId="1052" xr:uid="{00000000-0005-0000-0000-00009C060000}"/>
    <cellStyle name="Texto de advertencia 8 2" xfId="1053" xr:uid="{00000000-0005-0000-0000-00009D060000}"/>
    <cellStyle name="Texto de advertencia 9" xfId="1054" xr:uid="{00000000-0005-0000-0000-00009E060000}"/>
    <cellStyle name="Texto de advertencia 9 2" xfId="1055" xr:uid="{00000000-0005-0000-0000-00009F060000}"/>
    <cellStyle name="Texto explicativo 10" xfId="1057" xr:uid="{00000000-0005-0000-0000-0000A0060000}"/>
    <cellStyle name="Texto explicativo 10 2" xfId="1058" xr:uid="{00000000-0005-0000-0000-0000A1060000}"/>
    <cellStyle name="Texto explicativo 11" xfId="1059" xr:uid="{00000000-0005-0000-0000-0000A2060000}"/>
    <cellStyle name="Texto explicativo 11 2" xfId="1060" xr:uid="{00000000-0005-0000-0000-0000A3060000}"/>
    <cellStyle name="Texto explicativo 12" xfId="1061" xr:uid="{00000000-0005-0000-0000-0000A4060000}"/>
    <cellStyle name="Texto explicativo 12 2" xfId="1062" xr:uid="{00000000-0005-0000-0000-0000A5060000}"/>
    <cellStyle name="Texto explicativo 13" xfId="1063" xr:uid="{00000000-0005-0000-0000-0000A6060000}"/>
    <cellStyle name="Texto explicativo 13 2" xfId="1064" xr:uid="{00000000-0005-0000-0000-0000A7060000}"/>
    <cellStyle name="Texto explicativo 14" xfId="1065" xr:uid="{00000000-0005-0000-0000-0000A8060000}"/>
    <cellStyle name="Texto explicativo 14 2" xfId="1066" xr:uid="{00000000-0005-0000-0000-0000A9060000}"/>
    <cellStyle name="Texto explicativo 15" xfId="1056" xr:uid="{00000000-0005-0000-0000-0000AA060000}"/>
    <cellStyle name="Texto explicativo 2" xfId="1067" xr:uid="{00000000-0005-0000-0000-0000AB060000}"/>
    <cellStyle name="Texto explicativo 2 2" xfId="1068" xr:uid="{00000000-0005-0000-0000-0000AC060000}"/>
    <cellStyle name="Texto explicativo 3" xfId="1069" xr:uid="{00000000-0005-0000-0000-0000AD060000}"/>
    <cellStyle name="Texto explicativo 3 2" xfId="1070" xr:uid="{00000000-0005-0000-0000-0000AE060000}"/>
    <cellStyle name="Texto explicativo 4" xfId="1071" xr:uid="{00000000-0005-0000-0000-0000AF060000}"/>
    <cellStyle name="Texto explicativo 4 2" xfId="1072" xr:uid="{00000000-0005-0000-0000-0000B0060000}"/>
    <cellStyle name="Texto explicativo 5" xfId="1073" xr:uid="{00000000-0005-0000-0000-0000B1060000}"/>
    <cellStyle name="Texto explicativo 5 2" xfId="1074" xr:uid="{00000000-0005-0000-0000-0000B2060000}"/>
    <cellStyle name="Texto explicativo 6" xfId="1075" xr:uid="{00000000-0005-0000-0000-0000B3060000}"/>
    <cellStyle name="Texto explicativo 6 2" xfId="1076" xr:uid="{00000000-0005-0000-0000-0000B4060000}"/>
    <cellStyle name="Texto explicativo 7" xfId="1077" xr:uid="{00000000-0005-0000-0000-0000B5060000}"/>
    <cellStyle name="Texto explicativo 7 2" xfId="1078" xr:uid="{00000000-0005-0000-0000-0000B6060000}"/>
    <cellStyle name="Texto explicativo 8" xfId="1079" xr:uid="{00000000-0005-0000-0000-0000B7060000}"/>
    <cellStyle name="Texto explicativo 8 2" xfId="1080" xr:uid="{00000000-0005-0000-0000-0000B8060000}"/>
    <cellStyle name="Texto explicativo 9" xfId="1081" xr:uid="{00000000-0005-0000-0000-0000B9060000}"/>
    <cellStyle name="Texto explicativo 9 2" xfId="1082" xr:uid="{00000000-0005-0000-0000-0000BA060000}"/>
    <cellStyle name="Title" xfId="1083" xr:uid="{00000000-0005-0000-0000-0000BB060000}"/>
    <cellStyle name="Título 1 10" xfId="1085" xr:uid="{00000000-0005-0000-0000-0000BC060000}"/>
    <cellStyle name="Título 1 10 2" xfId="1086" xr:uid="{00000000-0005-0000-0000-0000BD060000}"/>
    <cellStyle name="Título 1 11" xfId="1087" xr:uid="{00000000-0005-0000-0000-0000BE060000}"/>
    <cellStyle name="Título 1 11 2" xfId="1088" xr:uid="{00000000-0005-0000-0000-0000BF060000}"/>
    <cellStyle name="Título 1 12" xfId="1089" xr:uid="{00000000-0005-0000-0000-0000C0060000}"/>
    <cellStyle name="Título 1 12 2" xfId="1090" xr:uid="{00000000-0005-0000-0000-0000C1060000}"/>
    <cellStyle name="Título 1 13" xfId="1091" xr:uid="{00000000-0005-0000-0000-0000C2060000}"/>
    <cellStyle name="Título 1 13 2" xfId="1092" xr:uid="{00000000-0005-0000-0000-0000C3060000}"/>
    <cellStyle name="Título 1 14" xfId="1093" xr:uid="{00000000-0005-0000-0000-0000C4060000}"/>
    <cellStyle name="Título 1 14 2" xfId="1094" xr:uid="{00000000-0005-0000-0000-0000C5060000}"/>
    <cellStyle name="Título 1 2" xfId="1095" xr:uid="{00000000-0005-0000-0000-0000C6060000}"/>
    <cellStyle name="Título 1 2 2" xfId="1096" xr:uid="{00000000-0005-0000-0000-0000C7060000}"/>
    <cellStyle name="Título 1 3" xfId="1097" xr:uid="{00000000-0005-0000-0000-0000C8060000}"/>
    <cellStyle name="Título 1 3 2" xfId="1098" xr:uid="{00000000-0005-0000-0000-0000C9060000}"/>
    <cellStyle name="Título 1 4" xfId="1099" xr:uid="{00000000-0005-0000-0000-0000CA060000}"/>
    <cellStyle name="Título 1 4 2" xfId="1100" xr:uid="{00000000-0005-0000-0000-0000CB060000}"/>
    <cellStyle name="Título 1 5" xfId="1101" xr:uid="{00000000-0005-0000-0000-0000CC060000}"/>
    <cellStyle name="Título 1 5 2" xfId="1102" xr:uid="{00000000-0005-0000-0000-0000CD060000}"/>
    <cellStyle name="Título 1 6" xfId="1103" xr:uid="{00000000-0005-0000-0000-0000CE060000}"/>
    <cellStyle name="Título 1 6 2" xfId="1104" xr:uid="{00000000-0005-0000-0000-0000CF060000}"/>
    <cellStyle name="Título 1 7" xfId="1105" xr:uid="{00000000-0005-0000-0000-0000D0060000}"/>
    <cellStyle name="Título 1 7 2" xfId="1106" xr:uid="{00000000-0005-0000-0000-0000D1060000}"/>
    <cellStyle name="Título 1 8" xfId="1107" xr:uid="{00000000-0005-0000-0000-0000D2060000}"/>
    <cellStyle name="Título 1 8 2" xfId="1108" xr:uid="{00000000-0005-0000-0000-0000D3060000}"/>
    <cellStyle name="Título 1 9" xfId="1109" xr:uid="{00000000-0005-0000-0000-0000D4060000}"/>
    <cellStyle name="Título 1 9 2" xfId="1110" xr:uid="{00000000-0005-0000-0000-0000D5060000}"/>
    <cellStyle name="Título 2 10" xfId="1112" xr:uid="{00000000-0005-0000-0000-0000D6060000}"/>
    <cellStyle name="Título 2 10 2" xfId="1113" xr:uid="{00000000-0005-0000-0000-0000D7060000}"/>
    <cellStyle name="Título 2 11" xfId="1114" xr:uid="{00000000-0005-0000-0000-0000D8060000}"/>
    <cellStyle name="Título 2 11 2" xfId="1115" xr:uid="{00000000-0005-0000-0000-0000D9060000}"/>
    <cellStyle name="Título 2 12" xfId="1116" xr:uid="{00000000-0005-0000-0000-0000DA060000}"/>
    <cellStyle name="Título 2 12 2" xfId="1117" xr:uid="{00000000-0005-0000-0000-0000DB060000}"/>
    <cellStyle name="Título 2 13" xfId="1118" xr:uid="{00000000-0005-0000-0000-0000DC060000}"/>
    <cellStyle name="Título 2 13 2" xfId="1119" xr:uid="{00000000-0005-0000-0000-0000DD060000}"/>
    <cellStyle name="Título 2 14" xfId="1120" xr:uid="{00000000-0005-0000-0000-0000DE060000}"/>
    <cellStyle name="Título 2 14 2" xfId="1121" xr:uid="{00000000-0005-0000-0000-0000DF060000}"/>
    <cellStyle name="Título 2 15" xfId="1111" xr:uid="{00000000-0005-0000-0000-0000E0060000}"/>
    <cellStyle name="Título 2 2" xfId="1122" xr:uid="{00000000-0005-0000-0000-0000E1060000}"/>
    <cellStyle name="Título 2 2 2" xfId="1123" xr:uid="{00000000-0005-0000-0000-0000E2060000}"/>
    <cellStyle name="Título 2 3" xfId="1124" xr:uid="{00000000-0005-0000-0000-0000E3060000}"/>
    <cellStyle name="Título 2 3 2" xfId="1125" xr:uid="{00000000-0005-0000-0000-0000E4060000}"/>
    <cellStyle name="Título 2 4" xfId="1126" xr:uid="{00000000-0005-0000-0000-0000E5060000}"/>
    <cellStyle name="Título 2 4 2" xfId="1127" xr:uid="{00000000-0005-0000-0000-0000E6060000}"/>
    <cellStyle name="Título 2 5" xfId="1128" xr:uid="{00000000-0005-0000-0000-0000E7060000}"/>
    <cellStyle name="Título 2 5 2" xfId="1129" xr:uid="{00000000-0005-0000-0000-0000E8060000}"/>
    <cellStyle name="Título 2 6" xfId="1130" xr:uid="{00000000-0005-0000-0000-0000E9060000}"/>
    <cellStyle name="Título 2 6 2" xfId="1131" xr:uid="{00000000-0005-0000-0000-0000EA060000}"/>
    <cellStyle name="Título 2 7" xfId="1132" xr:uid="{00000000-0005-0000-0000-0000EB060000}"/>
    <cellStyle name="Título 2 7 2" xfId="1133" xr:uid="{00000000-0005-0000-0000-0000EC060000}"/>
    <cellStyle name="Título 2 8" xfId="1134" xr:uid="{00000000-0005-0000-0000-0000ED060000}"/>
    <cellStyle name="Título 2 8 2" xfId="1135" xr:uid="{00000000-0005-0000-0000-0000EE060000}"/>
    <cellStyle name="Título 2 9" xfId="1136" xr:uid="{00000000-0005-0000-0000-0000EF060000}"/>
    <cellStyle name="Título 2 9 2" xfId="1137" xr:uid="{00000000-0005-0000-0000-0000F0060000}"/>
    <cellStyle name="Título 3 10" xfId="1139" xr:uid="{00000000-0005-0000-0000-0000F1060000}"/>
    <cellStyle name="Título 3 10 2" xfId="1140" xr:uid="{00000000-0005-0000-0000-0000F2060000}"/>
    <cellStyle name="Título 3 11" xfId="1141" xr:uid="{00000000-0005-0000-0000-0000F3060000}"/>
    <cellStyle name="Título 3 11 2" xfId="1142" xr:uid="{00000000-0005-0000-0000-0000F4060000}"/>
    <cellStyle name="Título 3 12" xfId="1143" xr:uid="{00000000-0005-0000-0000-0000F5060000}"/>
    <cellStyle name="Título 3 12 2" xfId="1144" xr:uid="{00000000-0005-0000-0000-0000F6060000}"/>
    <cellStyle name="Título 3 13" xfId="1145" xr:uid="{00000000-0005-0000-0000-0000F7060000}"/>
    <cellStyle name="Título 3 13 2" xfId="1146" xr:uid="{00000000-0005-0000-0000-0000F8060000}"/>
    <cellStyle name="Título 3 14" xfId="1147" xr:uid="{00000000-0005-0000-0000-0000F9060000}"/>
    <cellStyle name="Título 3 14 2" xfId="1148" xr:uid="{00000000-0005-0000-0000-0000FA060000}"/>
    <cellStyle name="Título 3 15" xfId="1138" xr:uid="{00000000-0005-0000-0000-0000FB060000}"/>
    <cellStyle name="Título 3 2" xfId="1149" xr:uid="{00000000-0005-0000-0000-0000FC060000}"/>
    <cellStyle name="Título 3 2 2" xfId="1150" xr:uid="{00000000-0005-0000-0000-0000FD060000}"/>
    <cellStyle name="Título 3 3" xfId="1151" xr:uid="{00000000-0005-0000-0000-0000FE060000}"/>
    <cellStyle name="Título 3 3 2" xfId="1152" xr:uid="{00000000-0005-0000-0000-0000FF060000}"/>
    <cellStyle name="Título 3 4" xfId="1153" xr:uid="{00000000-0005-0000-0000-000000070000}"/>
    <cellStyle name="Título 3 4 2" xfId="1154" xr:uid="{00000000-0005-0000-0000-000001070000}"/>
    <cellStyle name="Título 3 5" xfId="1155" xr:uid="{00000000-0005-0000-0000-000002070000}"/>
    <cellStyle name="Título 3 5 2" xfId="1156" xr:uid="{00000000-0005-0000-0000-000003070000}"/>
    <cellStyle name="Título 3 6" xfId="1157" xr:uid="{00000000-0005-0000-0000-000004070000}"/>
    <cellStyle name="Título 3 6 2" xfId="1158" xr:uid="{00000000-0005-0000-0000-000005070000}"/>
    <cellStyle name="Título 3 7" xfId="1159" xr:uid="{00000000-0005-0000-0000-000006070000}"/>
    <cellStyle name="Título 3 7 2" xfId="1160" xr:uid="{00000000-0005-0000-0000-000007070000}"/>
    <cellStyle name="Título 3 8" xfId="1161" xr:uid="{00000000-0005-0000-0000-000008070000}"/>
    <cellStyle name="Título 3 8 2" xfId="1162" xr:uid="{00000000-0005-0000-0000-000009070000}"/>
    <cellStyle name="Título 3 9" xfId="1163" xr:uid="{00000000-0005-0000-0000-00000A070000}"/>
    <cellStyle name="Título 3 9 2" xfId="1164" xr:uid="{00000000-0005-0000-0000-00000B070000}"/>
    <cellStyle name="Título 4" xfId="1084" xr:uid="{00000000-0005-0000-0000-00000C070000}"/>
    <cellStyle name="Título 5" xfId="3100" xr:uid="{CC064C32-3D1B-4103-BA0D-5A1E4569B53A}"/>
    <cellStyle name="Total 10" xfId="1166" xr:uid="{00000000-0005-0000-0000-00000D070000}"/>
    <cellStyle name="Total 10 2" xfId="1167" xr:uid="{00000000-0005-0000-0000-00000E070000}"/>
    <cellStyle name="Total 11" xfId="1168" xr:uid="{00000000-0005-0000-0000-00000F070000}"/>
    <cellStyle name="Total 11 2" xfId="1169" xr:uid="{00000000-0005-0000-0000-000010070000}"/>
    <cellStyle name="Total 12" xfId="1170" xr:uid="{00000000-0005-0000-0000-000011070000}"/>
    <cellStyle name="Total 12 2" xfId="1171" xr:uid="{00000000-0005-0000-0000-000012070000}"/>
    <cellStyle name="Total 13" xfId="1172" xr:uid="{00000000-0005-0000-0000-000013070000}"/>
    <cellStyle name="Total 13 2" xfId="1173" xr:uid="{00000000-0005-0000-0000-000014070000}"/>
    <cellStyle name="Total 14" xfId="1174" xr:uid="{00000000-0005-0000-0000-000015070000}"/>
    <cellStyle name="Total 14 2" xfId="1175" xr:uid="{00000000-0005-0000-0000-000016070000}"/>
    <cellStyle name="Total 15" xfId="1165" xr:uid="{00000000-0005-0000-0000-000017070000}"/>
    <cellStyle name="Total 2" xfId="1176" xr:uid="{00000000-0005-0000-0000-000018070000}"/>
    <cellStyle name="Total 2 2" xfId="1177" xr:uid="{00000000-0005-0000-0000-000019070000}"/>
    <cellStyle name="Total 3" xfId="1178" xr:uid="{00000000-0005-0000-0000-00001A070000}"/>
    <cellStyle name="Total 3 2" xfId="1179" xr:uid="{00000000-0005-0000-0000-00001B070000}"/>
    <cellStyle name="Total 4" xfId="1180" xr:uid="{00000000-0005-0000-0000-00001C070000}"/>
    <cellStyle name="Total 4 2" xfId="1181" xr:uid="{00000000-0005-0000-0000-00001D070000}"/>
    <cellStyle name="Total 5" xfId="1182" xr:uid="{00000000-0005-0000-0000-00001E070000}"/>
    <cellStyle name="Total 5 2" xfId="1183" xr:uid="{00000000-0005-0000-0000-00001F070000}"/>
    <cellStyle name="Total 6" xfId="1184" xr:uid="{00000000-0005-0000-0000-000020070000}"/>
    <cellStyle name="Total 6 2" xfId="1185" xr:uid="{00000000-0005-0000-0000-000021070000}"/>
    <cellStyle name="Total 7" xfId="1186" xr:uid="{00000000-0005-0000-0000-000022070000}"/>
    <cellStyle name="Total 7 2" xfId="1187" xr:uid="{00000000-0005-0000-0000-000023070000}"/>
    <cellStyle name="Total 8" xfId="1188" xr:uid="{00000000-0005-0000-0000-000024070000}"/>
    <cellStyle name="Total 8 2" xfId="1189" xr:uid="{00000000-0005-0000-0000-000025070000}"/>
    <cellStyle name="Total 9" xfId="1190" xr:uid="{00000000-0005-0000-0000-000026070000}"/>
    <cellStyle name="Total 9 2" xfId="1191" xr:uid="{00000000-0005-0000-0000-000027070000}"/>
    <cellStyle name="Warning Text" xfId="1192" xr:uid="{00000000-0005-0000-0000-000028070000}"/>
  </cellStyles>
  <dxfs count="1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67236</xdr:colOff>
      <xdr:row>2</xdr:row>
      <xdr:rowOff>46505</xdr:rowOff>
    </xdr:from>
    <xdr:to>
      <xdr:col>11</xdr:col>
      <xdr:colOff>730063</xdr:colOff>
      <xdr:row>5</xdr:row>
      <xdr:rowOff>8405</xdr:rowOff>
    </xdr:to>
    <xdr:sp macro="[0]!ExportarDatosConsolidados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643412" y="427505"/>
          <a:ext cx="1424827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ACTUALIZA</a:t>
          </a:r>
        </a:p>
      </xdr:txBody>
    </xdr:sp>
    <xdr:clientData/>
  </xdr:twoCellAnchor>
  <xdr:twoCellAnchor>
    <xdr:from>
      <xdr:col>10</xdr:col>
      <xdr:colOff>156883</xdr:colOff>
      <xdr:row>6</xdr:row>
      <xdr:rowOff>131669</xdr:rowOff>
    </xdr:from>
    <xdr:to>
      <xdr:col>11</xdr:col>
      <xdr:colOff>718857</xdr:colOff>
      <xdr:row>9</xdr:row>
      <xdr:rowOff>93569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733059" y="1274669"/>
          <a:ext cx="1323974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BORRA</a:t>
          </a:r>
        </a:p>
      </xdr:txBody>
    </xdr:sp>
    <xdr:clientData/>
  </xdr:twoCellAnchor>
  <xdr:twoCellAnchor>
    <xdr:from>
      <xdr:col>10</xdr:col>
      <xdr:colOff>51548</xdr:colOff>
      <xdr:row>10</xdr:row>
      <xdr:rowOff>176493</xdr:rowOff>
    </xdr:from>
    <xdr:to>
      <xdr:col>12</xdr:col>
      <xdr:colOff>347383</xdr:colOff>
      <xdr:row>13</xdr:row>
      <xdr:rowOff>138393</xdr:rowOff>
    </xdr:to>
    <xdr:sp macro="[0]!CargaManual" textlink="">
      <xdr:nvSpPr>
        <xdr:cNvPr id="6" name="1 Rectángulo redondeado">
          <a:extLst>
            <a:ext uri="{FF2B5EF4-FFF2-40B4-BE49-F238E27FC236}">
              <a16:creationId xmlns:a16="http://schemas.microsoft.com/office/drawing/2014/main" id="{15824ACE-F1A5-4CB3-AC8E-159A67761AEE}"/>
            </a:ext>
          </a:extLst>
        </xdr:cNvPr>
        <xdr:cNvSpPr/>
      </xdr:nvSpPr>
      <xdr:spPr>
        <a:xfrm>
          <a:off x="15627724" y="2081493"/>
          <a:ext cx="1819835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CARGA</a:t>
          </a:r>
          <a:r>
            <a:rPr lang="en-US" sz="1600" baseline="0"/>
            <a:t> MANUAL</a:t>
          </a:r>
          <a:endParaRPr lang="en-US" sz="16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07.607729513889" createdVersion="4" refreshedVersion="8" minRefreshableVersion="3" recordCount="3427" xr:uid="{00000000-000A-0000-FFFF-FFFF85000000}">
  <cacheSource type="worksheet">
    <worksheetSource ref="B5:S3432" sheet="FONT"/>
  </cacheSource>
  <cacheFields count="18">
    <cacheField name="Contrato" numFmtId="0">
      <sharedItems containsString="0" containsBlank="1" containsNumber="1" minValue="0" maxValue="65509890276" count="518">
        <m/>
        <n v="0"/>
        <n v="203705476.38309199" u="1"/>
        <n v="981466.69845200004" u="1"/>
        <n v="93135769.234126002" u="1"/>
        <n v="570670743.00125206" u="1"/>
        <n v="6247804.5492439996" u="1"/>
        <n v="27603079.142901" u="1"/>
        <n v="7847433.3837179998" u="1"/>
        <n v="61534022.634461001" u="1"/>
        <n v="14666173.122264" u="1"/>
        <n v="437.32162499999998" u="1"/>
        <n v="219370869.39074799" u="1"/>
        <n v="23370.467639999999" u="1"/>
        <n v="4910789.4843149995" u="1"/>
        <n v="43142832.562044002" u="1"/>
        <n v="37093456.768576004" u="1"/>
        <n v="2875696.5890790001" u="1"/>
        <n v="3248841.5216000001" u="1"/>
        <n v="104963120.889327" u="1"/>
        <n v="8938949.8599999994" u="1"/>
        <n v="21394557.376568999" u="1"/>
        <n v="26196890.727880001" u="1"/>
        <n v="1058388.8999999999" u="1"/>
        <n v="208796.14" u="1"/>
        <n v="4309.26" u="1"/>
        <n v="59838.68" u="1"/>
        <n v="2957355.92" u="1"/>
        <n v="1667338100.6397631" u="1"/>
        <n v="9398474.0984480008" u="1"/>
        <n v="57461140.273712002" u="1"/>
        <n v="469565.06172900001" u="1"/>
        <n v="296669.94669900002" u="1"/>
        <n v="739470.93246499996" u="1"/>
        <n v="7911653.4124480002" u="1"/>
        <n v="5074705.3529690001" u="1"/>
        <n v="7726026.700096" u="1"/>
        <n v="1499134.751252" u="1"/>
        <n v="1531784.5237159999" u="1"/>
        <n v="57344512.107092001" u="1"/>
        <n v="217913.11411600001" u="1"/>
        <n v="1277403.6654079999" u="1"/>
        <n v="594835.91909600003" u="1"/>
        <n v="4302568.8086080002" u="1"/>
        <n v="42426821.603606999" u="1"/>
        <n v="1600297.8591159999" u="1"/>
        <n v="13674935.246929999" u="1"/>
        <n v="52831071.346625999" u="1"/>
        <n v="22901377.689304002" u="1"/>
        <n v="29175276.964768" u="1"/>
        <n v="30554888.754117001" u="1"/>
        <n v="257628.98404800001" u="1"/>
        <n v="32195624.158808" u="1"/>
        <n v="36862014.311584003" u="1"/>
        <n v="26358687.108624" u="1"/>
        <n v="10750642.521645" u="1"/>
        <n v="3958037.0935169999" u="1"/>
        <n v="16704197.451416001" u="1"/>
        <n v="29211516.135896001" u="1"/>
        <n v="18359.321096" u="1"/>
        <n v="14737348.621164" u="1"/>
        <n v="55433047.280056" u="1"/>
        <n v="7989275.5879040007" u="1"/>
        <n v="8890963.5312760007" u="1"/>
        <n v="40351701.630644001" u="1"/>
        <n v="21732632.524448" u="1"/>
        <n v="32732470.33326" u="1"/>
        <n v="11634623.918634001" u="1"/>
        <n v="1529145.231872" u="1"/>
        <n v="96488725.812631994" u="1"/>
        <n v="13097239.509880001" u="1"/>
        <n v="60779327.953492001" u="1"/>
        <n v="8581992.0128080007" u="1"/>
        <n v="31340123.241996001" u="1"/>
        <n v="2752363.5903360001" u="1"/>
        <n v="82669240.862708002" u="1"/>
        <n v="29963625.547031999" u="1"/>
        <n v="10801619.469752001" u="1"/>
        <n v="26481530.031164002" u="1"/>
        <n v="96704930.350431994" u="1"/>
        <n v="10765009.061136" u="1"/>
        <n v="21470183.983491998" u="1"/>
        <n v="13975865.53926" u="1"/>
        <n v="10526385.828136001" u="1"/>
        <n v="7177.3792359999998" u="1"/>
        <n v="1000001249" u="1"/>
        <n v="1000001573" u="1"/>
        <n v="1000001940" u="1"/>
        <n v="1000002191" u="1"/>
        <n v="1000002677" u="1"/>
        <n v="1000002861" u="1"/>
        <n v="1000003291" u="1"/>
        <n v="1000003292" u="1"/>
        <n v="1000003293" u="1"/>
        <n v="1000003294" u="1"/>
        <n v="1000003295" u="1"/>
        <n v="1000003296" u="1"/>
        <n v="1000003297" u="1"/>
        <n v="1000003298" u="1"/>
        <n v="1000003299" u="1"/>
        <n v="1000003300" u="1"/>
        <n v="1000003301" u="1"/>
        <n v="1000003302" u="1"/>
        <n v="1000003305" u="1"/>
        <n v="1000003307" u="1"/>
        <n v="1000003315" u="1"/>
        <n v="1000003633" u="1"/>
        <n v="1005849" u="1"/>
        <n v="1006090" u="1"/>
        <n v="1008774" u="1"/>
        <n v="1008775" u="1"/>
        <n v="1008776" u="1"/>
        <n v="1010322" u="1"/>
        <n v="1010401" u="1"/>
        <n v="1012259" u="1"/>
        <n v="1012260" u="1"/>
        <n v="1013187" u="1"/>
        <n v="1013407" u="1"/>
        <n v="1014057" u="1"/>
        <n v="1015460" u="1"/>
        <n v="1015473" u="1"/>
        <n v="1015474" u="1"/>
        <n v="1018694" u="1"/>
        <n v="1018695" u="1"/>
        <n v="1018867" u="1"/>
        <n v="1018997" u="1"/>
        <n v="1020027" u="1"/>
        <n v="1020029" u="1"/>
        <n v="1020040" u="1"/>
        <n v="1021018" u="1"/>
        <n v="1021427" u="1"/>
        <n v="1024556" u="1"/>
        <n v="1024836" u="1"/>
        <n v="1028703" u="1"/>
        <n v="1031340" u="1"/>
        <n v="1031341" u="1"/>
        <n v="1031627" u="1"/>
        <n v="1031629" u="1"/>
        <n v="1032436" u="1"/>
        <n v="1032437" u="1"/>
        <n v="1032438" u="1"/>
        <n v="1032439" u="1"/>
        <n v="1032440" u="1"/>
        <n v="1032441" u="1"/>
        <n v="1032442" u="1"/>
        <n v="1032443" u="1"/>
        <n v="1032445" u="1"/>
        <n v="1032446" u="1"/>
        <n v="1032746" u="1"/>
        <n v="1032747" u="1"/>
        <n v="1032902" u="1"/>
        <n v="1033543" u="1"/>
        <n v="1033544" u="1"/>
        <n v="1033545" u="1"/>
        <n v="1033546" u="1"/>
        <n v="1033795" u="1"/>
        <n v="1033796" u="1"/>
        <n v="1033811" u="1"/>
        <n v="1034042" u="1"/>
        <n v="1034700" u="1"/>
        <n v="1036525" u="1"/>
        <n v="1036526" u="1"/>
        <n v="1036527" u="1"/>
        <n v="1036528" u="1"/>
        <n v="1036529" u="1"/>
        <n v="1036530" u="1"/>
        <n v="1036613" u="1"/>
        <n v="1036691" u="1"/>
        <n v="1036723" u="1"/>
        <n v="1036724" u="1"/>
        <n v="1036731" u="1"/>
        <n v="1037085" u="1"/>
        <n v="1037086" u="1"/>
        <n v="1037087" u="1"/>
        <n v="1037090" u="1"/>
        <n v="1037097" u="1"/>
        <n v="1037109" u="1"/>
        <n v="1037113" u="1"/>
        <n v="1037115" u="1"/>
        <n v="1037117" u="1"/>
        <n v="1037118" u="1"/>
        <n v="1037124" u="1"/>
        <n v="1037125" u="1"/>
        <n v="1037540" u="1"/>
        <n v="1037923" u="1"/>
        <n v="1037925" u="1"/>
        <n v="1038853" u="1"/>
        <n v="143510" u="1"/>
        <n v="147309" u="1"/>
        <n v="147310" u="1"/>
        <n v="147311" u="1"/>
        <n v="147312" u="1"/>
        <n v="147313" u="1"/>
        <n v="147314" u="1"/>
        <n v="147491" u="1"/>
        <n v="147492" u="1"/>
        <n v="152965" u="1"/>
        <n v="152971" u="1"/>
        <n v="152974" u="1"/>
        <n v="152976" u="1"/>
        <n v="152979" u="1"/>
        <n v="152981" u="1"/>
        <n v="152983" u="1"/>
        <n v="153030" u="1"/>
        <n v="156622" u="1"/>
        <n v="159246" u="1"/>
        <n v="3373" u="1"/>
        <n v="65500498081" u="1"/>
        <n v="65501285111" u="1"/>
        <n v="65501372909" u="1"/>
        <n v="65501387259" u="1"/>
        <n v="65501902345" u="1"/>
        <n v="65502128155" u="1"/>
        <n v="65502262917" u="1"/>
        <n v="65502313952" u="1"/>
        <n v="65502334887" u="1"/>
        <n v="65502397418" u="1"/>
        <n v="65502425394" u="1"/>
        <n v="65502898380" u="1"/>
        <n v="65502898437" u="1"/>
        <n v="65503040718" u="1"/>
        <n v="65503071575" u="1"/>
        <n v="65503523505" u="1"/>
        <n v="65503525966" u="1"/>
        <n v="65503691935" u="1"/>
        <n v="65503867094" u="1"/>
        <n v="65504832250" u="1"/>
        <n v="65505285253" u="1"/>
        <n v="65505597846" u="1"/>
        <n v="65506131264" u="1"/>
        <n v="65507052215" u="1"/>
        <n v="65507052277" u="1"/>
        <n v="65507052294" u="1"/>
        <n v="65507142173" u="1"/>
        <n v="65507143699" u="1"/>
        <n v="65507143745" u="1"/>
        <n v="65507298252" u="1"/>
        <n v="65507430562" u="1"/>
        <n v="65507504761" u="1"/>
        <n v="65507528155" u="1"/>
        <n v="65507528400" u="1"/>
        <n v="65507671187" u="1"/>
        <n v="65507684270" u="1"/>
        <n v="65507684389" u="1"/>
        <n v="65507747706" u="1"/>
        <n v="65507895505" u="1"/>
        <n v="65508702490" u="1"/>
        <n v="65508881201" u="1"/>
        <n v="65508886089" u="1"/>
        <n v="65508888184" u="1"/>
        <n v="65508989338" u="1"/>
        <n v="65509560409" u="1"/>
        <n v="65509560426" u="1"/>
        <n v="65509560443" u="1"/>
        <n v="65509560457" u="1"/>
        <n v="65509889998" u="1"/>
        <n v="65509890080" u="1"/>
        <n v="65509890154" u="1"/>
        <n v="65509890276" u="1"/>
        <n v="1002455" u="1"/>
        <n v="1008777" u="1"/>
        <n v="1008778" u="1"/>
        <n v="1018014" u="1"/>
        <n v="1018122" u="1"/>
        <n v="1018302" u="1"/>
        <n v="142481" u="1"/>
        <n v="142482" u="1"/>
        <n v="2000123" u="1"/>
        <n v="2000146" u="1"/>
        <n v="2000182" u="1"/>
        <n v="2000183" u="1"/>
        <n v="2000216" u="1"/>
        <n v="2000217" u="1"/>
        <n v="2000218" u="1"/>
        <n v="2000219" u="1"/>
        <n v="2000220" u="1"/>
        <n v="2000221" u="1"/>
        <n v="2000301" u="1"/>
        <n v="2000302" u="1"/>
        <n v="2000402" u="1"/>
        <n v="2000423" u="1"/>
        <n v="2000424" u="1"/>
        <n v="2000465" u="1"/>
        <n v="2000467" u="1"/>
        <n v="2000513" u="1"/>
        <n v="2000534" u="1"/>
        <n v="2000554" u="1"/>
        <n v="2000569" u="1"/>
        <n v="2000574" u="1"/>
        <n v="2000575" u="1"/>
        <n v="2000576" u="1"/>
        <n v="2000577" u="1"/>
        <n v="2000579" u="1"/>
        <n v="2000581" u="1"/>
        <n v="2000597" u="1"/>
        <n v="2000722" u="1"/>
        <n v="2000724" u="1"/>
        <n v="2000725" u="1"/>
        <n v="2000730" u="1"/>
        <n v="2000739" u="1"/>
        <n v="2000776" u="1"/>
        <n v="2000777" u="1"/>
        <n v="2000778" u="1"/>
        <n v="2000791" u="1"/>
        <n v="2000795" u="1"/>
        <n v="2000905" u="1"/>
        <n v="2000926" u="1"/>
        <n v="2000927" u="1"/>
        <n v="2000928" u="1"/>
        <n v="2000941" u="1"/>
        <n v="2000942" u="1"/>
        <n v="2000947" u="1"/>
        <n v="2001046" u="1"/>
        <n v="2001047" u="1"/>
        <n v="2001049" u="1"/>
        <n v="2001050" u="1"/>
        <n v="2001140" u="1"/>
        <n v="2001141" u="1"/>
        <n v="2001142" u="1"/>
        <n v="2111039" u="1"/>
        <n v="2111047" u="1"/>
        <n v="2141256" u="1"/>
        <n v="2141264" u="1"/>
        <n v="420310" u="1"/>
        <n v="536741" u="1"/>
        <n v="541079" u="1"/>
        <n v="59181" u="1"/>
        <n v="64518" u="1"/>
        <n v="65723" u="1"/>
        <n v="71358" u="1"/>
        <n v="71610" u="1"/>
        <n v="72636" u="1"/>
        <n v="72637" u="1"/>
        <n v="75016" u="1"/>
        <n v="75017" u="1"/>
        <n v="75218" u="1"/>
        <n v="75219" u="1"/>
        <n v="75220" u="1"/>
        <n v="75221" u="1"/>
        <n v="75222" u="1"/>
        <n v="75223" u="1"/>
        <n v="75224" u="1"/>
        <n v="75225" u="1"/>
        <n v="75226" u="1"/>
        <n v="75227" u="1"/>
        <n v="75228" u="1"/>
        <n v="77704" u="1"/>
        <n v="78665" u="1"/>
        <n v="78666" u="1"/>
        <n v="78669" u="1"/>
        <n v="79041" u="1"/>
        <n v="79042" u="1"/>
        <n v="79043" u="1"/>
        <n v="79044" u="1"/>
        <n v="79045" u="1"/>
        <n v="79046" u="1"/>
        <n v="80862" u="1"/>
        <n v="65503598021" u="1"/>
        <n v="65505283360" u="1"/>
        <n v="1022053" u="1"/>
        <n v="153037" u="1"/>
        <n v="2000466" u="1"/>
        <n v="65504624585" u="1"/>
        <n v="540994" u="1"/>
        <n v="71312" u="1"/>
        <n v="75146" u="1"/>
        <n v="65503597884" u="1"/>
        <n v="65503863624" u="1"/>
        <n v="1037924" u="1"/>
        <n v="2000469" u="1"/>
        <n v="65503598109" u="1"/>
        <n v="81119" u="1"/>
        <n v="2000470" u="1"/>
        <n v="152869" u="1"/>
        <n v="2000471" u="1"/>
        <n v="65506646784" u="1"/>
        <n v="65507665273" u="1"/>
        <n v="1008496" u="1"/>
        <n v="65507408917" u="1"/>
        <n v="80742" u="1"/>
        <n v="65505673926" u="1"/>
        <n v="531448" u="1"/>
        <n v="65502222299" u="1"/>
        <n v="65507665546" u="1"/>
        <n v="156331" u="1"/>
        <n v="1016131" u="1"/>
        <n v="1012617" u="1"/>
        <n v="65506512235" u="1"/>
        <n v="64972" u="1"/>
        <n v="2000480" u="1"/>
        <n v="51461003219" u="1"/>
        <n v="2000481" u="1"/>
        <n v="65502978445" u="1"/>
        <n v="65503640452" u="1"/>
        <n v="65503863638" u="1"/>
        <n v="153039" u="1"/>
        <n v="234192" u="1"/>
        <n v="566810" u="1"/>
        <n v="9978669" u="1"/>
        <n v="79296" u="1"/>
        <n v="71313" u="1"/>
        <n v="77703" u="1"/>
        <n v="1006088" u="1"/>
        <n v="2000697" u="1"/>
        <n v="2000059" u="1"/>
        <n v="2000485" u="1"/>
        <n v="2000698" u="1"/>
        <n v="69902" u="1"/>
        <n v="71535" u="1"/>
        <n v="2000060" u="1"/>
        <n v="2000486" u="1"/>
        <n v="65503640512" u="1"/>
        <n v="70013" u="1"/>
        <n v="2000487" u="1"/>
        <n v="62008" u="1"/>
        <n v="2000204" u="1"/>
        <n v="65504667724" u="1"/>
        <n v="65505283448" u="1"/>
        <n v="69880" u="1"/>
        <n v="2000205" u="1"/>
        <n v="2000915" u="1"/>
        <n v="2000135" u="1"/>
        <n v="2000206" u="1"/>
        <n v="79971" u="1"/>
        <n v="992000919" u="1"/>
        <n v="65505569851" u="1"/>
        <n v="2000848" u="1"/>
        <n v="2000919" u="1"/>
        <n v="65749" u="1"/>
        <n v="2000849" u="1"/>
        <n v="1031547" u="1"/>
        <n v="2000779" u="1"/>
        <n v="2000780" u="1"/>
        <n v="67715" u="1"/>
        <n v="75170" u="1"/>
        <n v="1031548" u="1"/>
        <n v="992000581" u="1"/>
        <n v="2000924" u="1"/>
        <n v="1020473" u="1"/>
        <n v="1031549" u="1"/>
        <n v="2000570" u="1"/>
        <n v="2000641" u="1"/>
        <n v="2000925" u="1"/>
        <n v="2000571" u="1"/>
        <n v="2000642" u="1"/>
        <n v="65503562246" u="1"/>
        <n v="154701" u="1"/>
        <n v="1031550" u="1"/>
        <n v="2000572" u="1"/>
        <n v="2000573" u="1"/>
        <n v="1031551" u="1"/>
        <n v="1032901" u="1"/>
        <n v="65505283309" u="1"/>
        <n v="1026370" u="1"/>
        <n v="2000152" u="1"/>
        <n v="2000578" u="1"/>
        <n v="2001004" u="1"/>
        <n v="65503624801" u="1"/>
        <n v="2000153" u="1"/>
        <n v="2000863" u="1"/>
        <n v="71532" u="1"/>
        <n v="154702" u="1"/>
        <n v="1014088" u="1"/>
        <n v="65750" u="1"/>
        <n v="1018811" u="1"/>
        <n v="2000938" u="1"/>
        <n v="80820" u="1"/>
        <n v="65503851337" u="1"/>
        <n v="73618" u="1"/>
        <n v="80931" u="1"/>
        <n v="544000" u="1"/>
        <n v="2001012" u="1"/>
        <n v="77705" u="1"/>
        <n v="73627" u="1"/>
        <n v="1024174" u="1"/>
        <n v="75655" u="1"/>
        <n v="1021441" u="1"/>
        <n v="2000732" u="1"/>
        <n v="2000803" u="1"/>
        <n v="142518" u="1"/>
        <n v="1032873" u="1"/>
        <n v="2000733" u="1"/>
        <n v="992000942" u="1"/>
        <n v="1032128" u="1"/>
        <n v="65503456716" u="1"/>
        <n v="65504374736" u="1"/>
        <n v="80004" u="1"/>
        <n v="1020023" u="1"/>
        <n v="2000238" u="1"/>
        <n v="2000522" u="1"/>
        <n v="75145" u="1"/>
        <n v="2000239" u="1"/>
        <n v="2000736" u="1"/>
        <n v="1033798" u="1"/>
        <n v="2000240" u="1"/>
        <n v="2000808" u="1"/>
        <n v="2001021" u="1"/>
        <n v="992000925" u="1"/>
        <n v="65504477359" u="1"/>
        <n v="2000241" u="1"/>
        <n v="2000809" u="1"/>
        <n v="2001022" u="1"/>
        <n v="80164" u="1"/>
        <n v="1020025" u="1"/>
        <n v="2000810" u="1"/>
        <n v="65503863610" u="1"/>
        <n v="2000385" u="1"/>
        <n v="2000811" u="1"/>
        <n v="1020026" u="1"/>
        <n v="2000812" u="1"/>
        <n v="65504786411" u="1"/>
        <n v="77941" u="1"/>
        <n v="1032381" u="1"/>
        <n v="80932" u="1"/>
        <n v="65506084191" u="1"/>
        <n v="1032382" u="1"/>
        <n v="9977941" u="1"/>
        <n v="4031" u="1"/>
      </sharedItems>
    </cacheField>
    <cacheField name="Nombre" numFmtId="0">
      <sharedItems containsBlank="1" containsMixedTypes="1" containsNumber="1" containsInteger="1" minValue="37" maxValue="2000905"/>
    </cacheField>
    <cacheField name="Emisora" numFmtId="0">
      <sharedItems containsBlank="1" count="770">
        <m/>
        <s v="INFONAVIT"/>
        <s v="CHARTIS"/>
        <s v="MANTARA"/>
        <s v="Ajemex Consultores"/>
        <s v="PRESIDENTE 2000206"/>
        <s v="PRESIDENTE 2000205"/>
        <s v="ISSSTEP 1013187"/>
        <s v="LISMAN MEX SA DE CV FONDO DE AHORRO"/>
        <s v="FABRICA DE JABON LA CORONA"/>
        <s v="HEB SUPER MERCADOS INT"/>
        <s v="INVERCAPAFORE"/>
        <s v="LAFON LAUNAY COSMETICS"/>
        <s v=" Grupo Palace Resorts"/>
        <s v="OASIS LATINOAMERICA "/>
        <s v="IESTPSCONT - IEST PLAN DE PENSIONES CONTINGENCIA"/>
        <s v="IESTPS - IEST PLAN DE PENSIONES"/>
        <s v="ADMINISTRADORA DE PERSONAL DE CASA LEY 80 SA DE CV FONDO DE AHORRO"/>
        <s v="BOLSA MEXICANA SIF-ICAP"/>
        <s v="BOLSA MEXICANA AMIB"/>
        <s v="U.A.E.M UNIV EDO MEX"/>
        <s v="AFIANZADORA ASERTA"/>
        <s v="TRIBUNAL T.S.J.D.F  AHORRO"/>
        <s v="UADY CAJA AHORRO/BCO.SANTANDER MEXICO S.A FID.2001672-1"/>
        <s v="AFIANZADORAP.F. DOLARES"/>
        <s v="AFIANZADORA P.M. DOLARES"/>
        <s v="ADMINISTRADORA DE PERSONAL DE CASA LEY 80 SA DE CV PENSIONES"/>
        <s v="AISA MANCOMUNADOS"/>
        <s v="ASERTA MANCOMUNADOS"/>
        <s v="ASERTA CANCELADAS"/>
        <s v="U.J.A.T UNIV TABASCO /BCO SANTANDER (MEXICO) FIDEICOMISO F/2001447-1"/>
        <s v="RADIOPOLIS FA - RADIOPOLIS FONDO DE AHORRO"/>
        <s v="UDG - UNIVERSIDAD DE GUADALAJARA"/>
        <s v="RODEO CESANTIA"/>
        <s v="RODEO RETIRO"/>
        <s v="RODEO VIVIENDA"/>
        <s v="UTD SUBCUENTA"/>
        <s v="Ajemex"/>
        <s v="Ajegroup"/>
        <s v="Cocentro"/>
        <s v="Arcelor Mittal México"/>
        <s v="Arcelor Mittal Portuarios"/>
        <s v="Arcelor Mittal Las Truchas "/>
        <s v="Corporación del Balsas"/>
        <s v="RADIOPOLIS CA - RADIOPOLIS CAJA DE AHORRO"/>
        <s v="AP DEDUCIBLE GUBERNAMENTAL"/>
        <s v="DANONE OAM FDO AHORRO"/>
        <s v="DANONE OFR NO SINDICALIZADO FDO AHORRO"/>
        <s v="ANAHUAC - INVESTIGACIONES Y ESTUDIOS SUPERIORES SC"/>
        <s v="BOSE CORPORATION SA DE CV"/>
        <s v="NOMISER"/>
        <s v="BREMBO MEXICO"/>
        <s v="IEST - INSTITUTO DE  ESTUDIOS SUPERIORES DE TAMAULIPAS, A.C."/>
        <s v="VIDANTA DESARROLLO VALLARTA"/>
        <s v="Elevadores OTIS Fondo de Ahorro Sindicalizados"/>
        <s v="Elevadores OTIS Fondo de Ahorro Empleados"/>
        <s v="EAMSIND - Envasadoras de Aguas en México Sind"/>
        <s v="EAMEMP - Envasadoras de Aguas en México Empl"/>
        <s v="CGA - Compañía General de Aguas"/>
        <s v="BONAFONT QUIN - BONAFONT QUIN"/>
        <s v="Danone de México Q - Danone de México Quin"/>
        <s v="SUPREMA"/>
        <s v="BONAFONT SEMANAL"/>
        <s v="DANONE DE MEXICO SEMANAL"/>
        <s v="Bonafont Pens - Bonafont Pensiones"/>
        <s v="Danone de México"/>
        <s v="DANONE OFR SINDICALIZADO FDO AHORRO"/>
        <s v="Envasadora de Aguas Pensiones"/>
        <s v="CASA LEY SAPI SA DE CV (FONDO DE AHORRO) "/>
        <s v="CASA LEY FONDO DE AHORRO - CASA LEY SAPI SA DE CV (PLAN DE PENSION) "/>
        <s v="CFEnergía"/>
        <s v="Robert Bosch México Sistemas Automotrices, S.A. de C.V. (Fondo de Ahorro 61A0)"/>
        <s v="Robert Bosch México Sistemas Automotrices, S.A. de C.V. (Fondo de Ahorro 61A2)"/>
        <s v="Robert Bosch México Sistemas Automotrices, S.A. de C.V. (Fondo de Ahorro 61C0)"/>
        <s v="Robert Bosch México Sistemas de Seguridad, S.A. de C.V. (Fondo de Ahorro 1528)"/>
        <s v="Robert Bosch México, S.A. de C.V. (Fondo de Ahorro 25D0)"/>
        <s v="Robert Bosch México, S.A. de C.V. (Fondo de Ahorro 25D1)"/>
        <s v="Robert Bosch Tool de México, S.A de C.V. (Fondo de Ahorro 41D0)"/>
        <s v="Robert Bosch México Sistemas de Frenos, S. de R.L. de C.V. (Fondo de Ahorro 61A1)"/>
        <s v="Robert Bosch Sistemas Automotrices S.A de C.V (Fondo de Ahorro 6981)"/>
        <s v="Robert Bosch Sistemas Automotrices S.A. de C.V. (Fondo de Ahorro 698W)"/>
        <s v="Frenados Mexicanos, S.A. de C.V. (Fondo de Ahorro 86F0)"/>
        <s v="Robert Bosch S de RL de CV (Fondo de Ahorro 904W)"/>
        <s v="Bosch Rexroth S.A. de C.V. (Fondo de Ahorro MX10)"/>
        <s v="BSH Home Appliances, S.A de C.V. (Fondo de Ahorro"/>
        <s v="Inmobiliaria Alpamayo, S.A. de C.V"/>
        <s v="Bosch Rexroth, S.A. de C.V. (Fondo de Ahorro QUE1)"/>
        <s v="STERGOB ED          " u="1"/>
        <s v="SVIVE20 ED          " u="1"/>
        <s v="SVIVE35 ED          " u="1"/>
        <s v="SVIVE50 ED          " u="1"/>
        <s v="AC *                " u="1"/>
        <s v="ACWI *              " u="1"/>
        <s v="ALFA A              " u="1"/>
        <s v="ALSEA *             " u="1"/>
        <s v="AMX 0129            " u="1"/>
        <s v="AMX 0131X           " u="1"/>
        <s v="AMX B               " u="1"/>
        <s v="ASUR B              " u="1"/>
        <s v="BIMBO A             " u="1"/>
        <s v="BLADEX 24           " u="1"/>
        <s v="CEMEX CPO           " u="1"/>
        <s v="CETES 250123        " u="1"/>
        <s v="CETES 260219        " u="1"/>
        <s v="EEM *               " u="1"/>
        <s v="EPP *               " u="1"/>
        <s v="EWJ *               " u="1"/>
        <s v="FEMSA UBD           " u="1"/>
        <s v="GAP B               " u="1"/>
        <s v="GCC *               " u="1"/>
        <s v="GENTERA *           " u="1"/>
        <s v="GFNORTE O           " u="1"/>
        <s v="GMEXICO B           " u="1"/>
        <s v="GOBFED 240905       " u="1"/>
        <s v="GOBFED 250306       " u="1"/>
        <s v="GOBFED 260305       " u="1"/>
        <s v="GOBFED 260903       " u="1"/>
        <s v="GOBFED 270304       " u="1"/>
        <s v="GOBFED 270603       " u="1"/>
        <s v="GOBFED 290301       " u="1"/>
        <s v="GOBFED 290531       " u="1"/>
        <s v="GOBFED 310529       " u="1"/>
        <s v="GOBFED 330526       " u="1"/>
        <s v="GOBFED 341123       " u="1"/>
        <s v="GOBFED 421113       " u="1"/>
        <s v="GOBFED 471107       " u="1"/>
        <s v="GOBFED 530731       " u="1"/>
        <s v="GRUMA B             " u="1"/>
        <s v="HERDEZ *            " u="1"/>
        <s v="IVV *               " u="1"/>
        <s v="KOF UBL             " u="1"/>
        <s v="LACOMER UBC         " u="1"/>
        <s v="LIVEPOL C-1         " u="1"/>
        <s v="MEGA 24X            " u="1"/>
        <s v="NEMAK A             " u="1"/>
        <s v="R A                 " u="1"/>
        <s v="SPSM *              " u="1"/>
        <s v="TRAXION A           " u="1"/>
        <s v="UDIBONO 251204      " u="1"/>
        <s v="UDIBONO 261203      " u="1"/>
        <s v="UDIBONO 281130      " u="1"/>
        <s v="UDIBONO 311127      " u="1"/>
        <s v="UDIBONO 351122      " u="1"/>
        <s v="UDIBONO 401115      " u="1"/>
        <s v="UDIBONO 431112      " u="1"/>
        <s v="UDIBONO 461108      " u="1"/>
        <s v="UDIBONO 501103      " u="1"/>
        <s v="VESTA *             " u="1"/>
        <s v="VGK *               " u="1"/>
        <s v="VOO *               " u="1"/>
        <s v="WALMEX *            " u="1"/>
        <s v="SVIVE60 ED          " u="1"/>
        <s v="CETES 250306        " u="1"/>
        <s v="EFECTIVO" u="1"/>
        <s v="GOBFED 241205       " u="1"/>
        <s v="GOBFED 381118       " u="1"/>
        <s v="BONDESF 240815      " u="1"/>
        <s v="CETES 250403        " u="1"/>
        <s v="CETES 251224        " u="1"/>
        <s v="CETES 241128        " u="1"/>
        <s v="UDIBONO 231116      " u="1"/>
        <s v="STERGOB B3          " u="1"/>
        <s v="STERGOB B4          " u="1"/>
        <s v="SVIVE20 S           " u="1"/>
        <s v="SVIVE35 S           " u="1"/>
        <s v="SVIVE50 S           " u="1"/>
        <s v="SVIVE60 S           " u="1"/>
        <s v="STRGOB2 ED          " u="1"/>
        <s v="GOBFED 361120       " u="1"/>
        <s v="IENOVA *            " u="1"/>
        <s v="SVIVE50 C3          " u="1"/>
        <s v="STRGOB2 B4          " u="1"/>
        <s v="CETELEM 22          " u="1"/>
        <s v="CETES 241003        " u="1"/>
        <s v="LIVEPOL 19          " u="1"/>
        <s v="PEMEX 13-2          " u="1"/>
        <s v="ST&amp;ER-C ED          " u="1"/>
        <s v="STERGOB B1          " u="1"/>
        <s v="SANMEX B            " u="1"/>
        <s v="BBVAMX 22X          " u="1"/>
        <s v="BONDESF 241107      " u="1"/>
        <s v="BPA182 270121       " u="1"/>
        <s v="BPA182 301010       " u="1"/>
        <s v="BPAG91 270107       " u="1"/>
        <s v="CETELEM 21-4        " u="1"/>
        <s v="CFE 14-2            " u="1"/>
        <s v="FEFA 24             " u="1"/>
        <s v="FNCOT 22S           " u="1"/>
        <s v="GAP 22L             " u="1"/>
        <s v="PEMEX 19            " u="1"/>
        <s v="VWLEASE 22-2        " u="1"/>
        <s v="CETES 151015        " u="1"/>
        <s v="CETES 160414        " u="1"/>
        <s v="CETES 160428        " u="1"/>
        <s v="GOBFED 170615       " u="1"/>
        <s v="GOBFED 180614       " u="1"/>
        <s v="GOBFED 191211       " u="1"/>
        <s v="GOBFED 200611       " u="1"/>
        <s v="GOBFED 210610       " u="1"/>
        <s v="GOBFED 220609       " u="1"/>
        <s v="GOBFED 231207       " u="1"/>
        <s v="UDIBONO 160616      " u="1"/>
        <s v="UDIBONO 171214      " u="1"/>
        <s v="UDIBONO 190613      " u="1"/>
        <s v="UDIBONO 201210      " u="1"/>
        <s v="UDIBONO 220609      " u="1"/>
        <s v="BONDESD 251211      " u="1"/>
        <s v="CETELEM 22-4        " u="1"/>
        <s v="CETES 240530        " u="1"/>
        <s v="CETES 251030        " u="1"/>
        <s v="CFE 21U             " u="1"/>
        <s v="CHIACB 07           " u="1"/>
        <s v="EDUCA 23L           " u="1"/>
        <s v="FOVISCB 17U         " u="1"/>
        <s v="LALA 19-2           " u="1"/>
        <s v="TFOVICB 16U         " u="1"/>
        <s v="STERGOB B0          " u="1"/>
        <s v="STER-OP ED          " u="1"/>
        <s v="CETES 250206        " u="1"/>
        <s v="FERROMX 14          " u="1"/>
        <s v="GICSA 17            " u="1"/>
        <s v="MOLYMET 21-2        " u="1"/>
        <s v="NM 15               " u="1"/>
        <s v="PEMEX 14U           " u="1"/>
        <s v="RSP *               " u="1"/>
        <s v="SAM-RVG E           " u="1"/>
        <s v="STER-OP E3          " u="1"/>
        <s v="USA-EQ ED           " u="1"/>
        <s v="TFOVICB 15U         " u="1"/>
        <s v="CETES 250320        " u="1"/>
        <s v="STER-OP MD          " u="1"/>
        <s v="BPA182 130919       " u="1"/>
        <s v="BPA182 140327       " u="1"/>
        <s v="CETES 131017        " u="1"/>
        <s v="CETES 230601        " u="1"/>
        <s v="STER-OP E2          " u="1"/>
        <s v="CASITA *            " u="1"/>
        <s v="STRGOB2 B2          " u="1"/>
        <s v="STERGOB C2          " u="1"/>
        <s v="CETES 160107        " u="1"/>
        <s v="SVIVE35 C3          " u="1"/>
        <s v="STERGOB B2          " u="1"/>
        <s v="STERGOB B5          " u="1"/>
        <s v="SVIVE60 C1          " u="1"/>
        <s v="SVIVE60 C3          " u="1"/>
        <s v="ACBE 17             " u="1"/>
        <s v="ALSEA 17-2          " u="1"/>
        <s v="BINBUR 14-7         " u="1"/>
        <s v="CFE 17              " u="1"/>
        <s v="DANHOS 17           " u="1"/>
        <s v="FUNO 17             " u="1"/>
        <s v="GMXT 17             " u="1"/>
        <s v="HSBC 17-2           " u="1"/>
        <s v="LALA 18             " u="1"/>
        <s v="TELMEX 07           " u="1"/>
        <s v="METROCB 07          " u="1"/>
        <s v="SVIVE20 C2          " u="1"/>
        <s v="SVIVE35 C2          " u="1"/>
        <s v="SVIVE50 C2          " u="1"/>
        <s v="SVIVE60 C2          " u="1"/>
        <s v="BANOA64 999999      " u="1"/>
        <s v="POSAS95 271230      " u="1"/>
        <s v="AMX 10-2            " u="1"/>
        <s v="CBIC003 210128      " u="1"/>
        <s v="CBIC007 221208      " u="1"/>
        <s v="CBIC008 231207      " u="1"/>
        <s v="CETES 140821        " u="1"/>
        <s v="CETES 141211        " u="1"/>
        <s v="GOBFED 181213       " u="1"/>
        <s v="UDIBONO 141218      " u="1"/>
        <s v="STERGOB M2          " u="1"/>
        <s v="SVIVE20 C3          " u="1"/>
        <s v="ST&amp;ER-7 ED          " u="1"/>
        <s v="STEREAL ED          " u="1"/>
        <s v="ALPEK A             " u="1"/>
        <s v="CETES 240822        " u="1"/>
        <s v="BBPEN 21            " u="1"/>
        <s v="BONDESF 250227      " u="1"/>
        <s v="BONDESF 250424      " u="1"/>
        <s v="BONDESF 250619      " u="1"/>
        <s v="CETELEM 21-3        " u="1"/>
        <s v="FIBRAMQ 12          " u="1"/>
        <s v="FIBRAPL 14          " u="1"/>
        <s v="JAVER *             " u="1"/>
        <s v="KIMBER 22           " u="1"/>
        <s v="KIMBER A            " u="1"/>
        <s v="KOF 21-2L           " u="1"/>
        <s v="TERRA 13            " u="1"/>
        <s v="GFINBUR O           " u="1"/>
        <s v="CETES 211118        " u="1"/>
        <s v="CFE 21-5            " u="1"/>
        <s v="MPGOBFED 290531     " u="1"/>
        <s v="SHV *               " u="1"/>
        <s v="TFOVICB 20U         " u="1"/>
        <s v="UDIBONO 340824      " u="1"/>
        <s v="ELEKTRA *           " u="1"/>
        <s v="FINAMEX O           " u="1"/>
        <s v="GFREGIO O           " u="1"/>
        <s v="OHLMEX *            " u="1"/>
        <s v="ABACOGF A           " u="1"/>
        <s v="CABLE CPO           " u="1"/>
        <s v="FEMSA UB            " u="1"/>
        <s v="VIDEO *             " u="1"/>
        <s v="COVARRA *           " u="1"/>
        <s v="STRGOB2 B0          " u="1"/>
        <s v="CREYCB 07-2         " u="1"/>
        <s v="FOVISCB 19-2U       " u="1"/>
        <s v="CHDRAUI B           " u="1"/>
        <s v="DANHOS 13           " u="1"/>
        <s v="EDUCA 18            " u="1"/>
        <s v="FEZ *               " u="1"/>
        <s v="FHIPOCB 17U         " u="1"/>
        <s v="FORION 20           " u="1"/>
        <s v="FUNO 11             " u="1"/>
        <s v="FVIA 16             " u="1"/>
        <s v="HICKOK 90           " u="1"/>
        <s v="IBANOBRA 13171      " u="1"/>
        <s v="LASITE B-1          " u="1"/>
        <s v="RCOCB 09            " u="1"/>
        <s v="SPY *               " u="1"/>
        <s v="TFOVICB 15-2U       " u="1"/>
        <s v="VOLAR A             " u="1"/>
        <s v="MOLYMET 21          " u="1"/>
        <s v="CETELEM 19-2        " u="1"/>
        <s v="NAFF 240308         " u="1"/>
        <s v="BONDESF 240229      " u="1"/>
        <s v="MEXTRAC 09          " u="1"/>
        <s v="SANT121 999999      " u="1"/>
        <s v=" " u="1"/>
        <s v="CETES 240111        " u="1"/>
        <s v="CETES 240222        " u="1"/>
        <s v="NAFTRAC ISHRS       " u="1"/>
        <s v="STERGOB C1          " u="1"/>
        <s v="VWO *               " u="1"/>
        <s v="OMA B               " u="1"/>
        <s v="SLY *               " u="1"/>
        <s v="BONDESD 180419      " u="1"/>
        <s v="C *                 " u="1"/>
        <s v="TJX *               " u="1"/>
        <s v="BPAG91 211223       " u="1"/>
        <s v="BPAG91 170831       " u="1"/>
        <s v="SORIANA B           " u="1"/>
        <s v="BMWM5 N             " u="1"/>
        <s v="MCGOBFED 290531     " u="1"/>
        <s v="FPLUS 16            " u="1"/>
        <s v="IBGS N              " u="1"/>
        <s v="CSCO *              " u="1"/>
        <s v="BPA182 181011       " u="1"/>
        <s v="BPA182 210311       " u="1"/>
        <s v="BONDESD 171221      " u="1"/>
        <s v="MVEU N              " u="1"/>
        <s v="FBANSAN 19035       " u="1"/>
        <s v="BPAG91 201224       " u="1"/>
        <s v="VXUS *              " u="1"/>
        <s v="MULTIVA 16-2        " u="1"/>
        <s v="FRAGUA B            " u="1"/>
        <s v="ST&amp;ER-C E2          " u="1"/>
        <s v="ST&amp;ER-I E2          " u="1"/>
        <s v="ST&amp;ERBM ED          " u="1"/>
        <s v="DAIMLER 15          " u="1"/>
        <s v="DAIMLER 16          " u="1"/>
        <s v="DAIMLER 17          " u="1"/>
        <s v="FUNO 13             " u="1"/>
        <s v="FUNO 13-2           " u="1"/>
        <s v="FUNO 18             " u="1"/>
        <s v="IYF *               " u="1"/>
        <s v="GCDMXCB 18V         " u="1"/>
        <s v="CEDEVIS 10-4U       " u="1"/>
        <s v="AMX L               " u="1"/>
        <s v="FINN 13             " u="1"/>
        <s v="EMB *               " u="1"/>
        <s v="CMR B               " u="1"/>
        <s v="CETES 180426        " u="1"/>
        <s v="CETES 180816        " u="1"/>
        <s v="CETES 200116        " u="1"/>
        <s v="CETES 201126        " u="1"/>
        <s v="CETES 210506        " u="1"/>
        <s v="CETES 211216        " u="1"/>
        <s v="CETES 230126        " u="1"/>
        <s v="Q *                 " u="1"/>
        <s v="CIE B               " u="1"/>
        <s v="USA-EQ E            " u="1"/>
        <s v="COMPART 13          " u="1"/>
        <s v="TEAK CPO            " u="1"/>
        <s v="FHSBCMX 19034       " u="1"/>
        <s v="BPA182 180412       " u="1"/>
        <s v="BPA182 280412       " u="1"/>
        <s v="BACOMER 15          " u="1"/>
        <s v="BACOMER 17          " u="1"/>
        <s v="BACOMER 18          " u="1"/>
        <s v="BACOMER 20          " u="1"/>
        <s v="BPAG91 171109       " u="1"/>
        <s v="BONDESF 280323      " u="1"/>
        <s v="FIHO 12             " u="1"/>
        <s v="BANOB 13            " u="1"/>
        <s v="BANOB 14            " u="1"/>
        <s v="BANORTE 18          " u="1"/>
        <s v="SVIVE20 C1          " u="1"/>
        <s v="SVIVE35 C1          " u="1"/>
        <s v="SVIVE50 C1          " u="1"/>
        <s v="FNAIM 18            " u="1"/>
        <s v="GAP 15              " u="1"/>
        <s v="NESN N              " u="1"/>
        <s v="BONDESD 240425      " u="1"/>
        <s v="PE&amp;OLES *           " u="1"/>
        <s v="DATPCK 14           " u="1"/>
        <s v="STRGOB2 B1          " u="1"/>
        <s v="STRGOB2 B3          " u="1"/>
        <s v="STRGOB2 M3          " u="1"/>
        <s v="STRGOB2 M4          " u="1"/>
        <s v="STRGOB3 M3          " u="1"/>
        <s v="IEV *               " u="1"/>
        <s v="VTW408A EC001       " u="1"/>
        <s v="TLEVISA 14          " u="1"/>
        <s v="TLEVISA 15          " u="1"/>
        <s v="TLEVISA CPO         " u="1"/>
        <s v="FBANSAN 19037       " u="1"/>
        <s v="BPAG91 210826       " u="1"/>
        <s v="QQQ *               " u="1"/>
        <s v="CDVITOT 11U         " u="1"/>
        <s v="CDVITOT 12U         " u="1"/>
        <s v="CDVITOT 13U         " u="1"/>
        <s v="IBSCTIA 19334       " u="1"/>
        <s v="IBSCTIA 20134       " u="1"/>
        <s v="GOBFED 171214       " u="1"/>
        <s v="TSM N               " u="1"/>
        <s v="BBAJIO O            " u="1"/>
        <s v="IBCX N              " u="1"/>
        <s v="CMOCTEZ *           " u="1"/>
        <s v="METROCB 03-3        " u="1"/>
        <s v="FIBRAHD 15          " u="1"/>
        <s v="BONDESD 230504      " u="1"/>
        <s v="ELEKTRA 16          " u="1"/>
        <s v="CETES 171207        " u="1"/>
        <s v="CETES 180607        " u="1"/>
        <s v="CETES 190207        " u="1"/>
        <s v="CETES 200227        " u="1"/>
        <s v="CETES 200827        " u="1"/>
        <s v="CETES 200917        " u="1"/>
        <s v="CETES 210617        " u="1"/>
        <s v="CETES 221117        " u="1"/>
        <s v="HOLCIM 14           " u="1"/>
        <s v="GCARSO A1           " u="1"/>
        <s v="COST *              " u="1"/>
        <s v="FACILSA 14-2        " u="1"/>
        <s v="BPA182 201022       " u="1"/>
        <s v="BPA182 290322       " u="1"/>
        <s v="BONDESF 260423      " u="1"/>
        <s v="MEGA CPO            " u="1"/>
        <s v="BPA182 270930       " u="1"/>
        <s v="FBANSAN 16038       " u="1"/>
        <s v="BN N                " u="1"/>
        <s v="KIMBER 09-4         " u="1"/>
        <s v="KIMBER 13-2         " u="1"/>
        <s v="RCO 12U             " u="1"/>
        <s v="BINTER 10           " u="1"/>
        <s v="WMT *               " u="1"/>
        <s v="FORD 14             " u="1"/>
        <s v="FORD 14-2           " u="1"/>
        <s v="META *              " u="1"/>
        <s v="MAYACB 12U          " u="1"/>
        <s v="VCR *               " u="1"/>
        <s v="MSFT *              " u="1"/>
        <s v="CEDEVIS 11U         " u="1"/>
        <s v="CEDEVIS 12U         " u="1"/>
        <s v="DXJ *               " u="1"/>
        <s v="HOTEL *             " u="1"/>
        <s v="CABEI 1-15          " u="1"/>
        <s v="CETELEM 17          " u="1"/>
        <s v="CETELEM 18          " u="1"/>
        <s v="CETELEM 19          " u="1"/>
        <s v="EZU *               " u="1"/>
        <s v="MEXCHEM *           " u="1"/>
        <s v="CETES 170330        " u="1"/>
        <s v="CETES 170720        " u="1"/>
        <s v="CETES 171130        " u="1"/>
        <s v="CETES 181220        " u="1"/>
        <s v="CETES 200130        " u="1"/>
        <s v="CETES 200430        " u="1"/>
        <s v="CETES 200730        " u="1"/>
        <s v="CETES 210520        " u="1"/>
        <s v="CETES 220210        " u="1"/>
        <s v="CETES 220310        " u="1"/>
        <s v="CETES 230420        " u="1"/>
        <s v="FNCOT 14            " u="1"/>
        <s v="FNCOT 16            " u="1"/>
        <s v="FNCOT 16-2          " u="1"/>
        <s v="FNCOT 19            " u="1"/>
        <s v="VITRO A             " u="1"/>
        <s v="CETES 170608        " u="1"/>
        <s v="CETES 180328        " u="1"/>
        <s v="CETES 180628        " u="1"/>
        <s v="CETES 181108        " u="1"/>
        <s v="CETES 190228        " u="1"/>
        <s v="CETES 190328        " u="1"/>
        <s v="CETES 190718        " u="1"/>
        <s v="CETES 200408        " u="1"/>
        <s v="CETES 200618        " u="1"/>
        <s v="CETES 201008        " u="1"/>
        <s v="CETES 210128        " u="1"/>
        <s v="CETES 210318        " u="1"/>
        <s v="CETES 210408        " u="1"/>
        <s v="CETES 211028        " u="1"/>
        <s v="CETES 220428        " u="1"/>
        <s v="CETES 220728        " u="1"/>
        <s v="CETES 230608        " u="1"/>
        <s v="CATFIN 14           " u="1"/>
        <s v="BPA182 220908       " u="1"/>
        <s v="BNPPPF 15           " u="1"/>
        <s v="BNPPPF 17           " u="1"/>
        <s v="BNPPPF 18           " u="1"/>
        <s v="FBSCTIA 17021       " u="1"/>
        <s v="DAIVCK 16           " u="1"/>
        <s v="CREALCB 17          " u="1"/>
        <s v="CFE 10-2            " u="1"/>
        <s v="CFE 13              " u="1"/>
        <s v="CFE 13-2            " u="1"/>
        <s v="CFE 14              " u="1"/>
        <s v="IBACOMER 18301      " u="1"/>
        <s v="FBANAMEX 7448       " u="1"/>
        <s v="GOBFED 211209       " u="1"/>
        <s v="GOBFED 230309       " u="1"/>
        <s v="RASSINI A           " u="1"/>
        <s v="RASSINI CPO         " u="1"/>
        <s v="JPM *               " u="1"/>
        <s v="IBACOMER 19324      " u="1"/>
        <s v="NGCFICK 15          " u="1"/>
        <s v="SIMEC B             " u="1"/>
        <s v="SCOTIAB 15          " u="1"/>
        <s v="VISTA A             " u="1"/>
        <s v="SITES B-1           " u="1"/>
        <s v="SITES1 A-1          " u="1"/>
        <s v="DBJP *              " u="1"/>
        <s v="FOVISCB 19U         " u="1"/>
        <s v="BPA182 210909       " u="1"/>
        <s v="USMV *              " u="1"/>
        <s v="INCARSO 13          " u="1"/>
        <s v="FMTY 14             " u="1"/>
        <s v="SRE *               " u="1"/>
        <s v="SARE B              " u="1"/>
        <s v="TFOVIS 10-4U        " u="1"/>
        <s v="TFOVIS 11-3U        " u="1"/>
        <s v="TFOVIS 12-2U        " u="1"/>
        <s v="TFOVIS 12-4U        " u="1"/>
        <s v="TFOVIS 13-2U        " u="1"/>
        <s v="STEPCC 16           " u="1"/>
        <s v="STEPCC 16-2         " u="1"/>
        <s v="STEPCC 16-3         " u="1"/>
        <s v="STIP *              " u="1"/>
        <s v="CETES 170601        " u="1"/>
        <s v="CETES 170831        " u="1"/>
        <s v="CETES 180111        " u="1"/>
        <s v="CETES 180201        " u="1"/>
        <s v="CETES 180301        " u="1"/>
        <s v="CETES 180621        " u="1"/>
        <s v="CETES 190221        " u="1"/>
        <s v="CETES 190321        " u="1"/>
        <s v="CETES 190801        " u="1"/>
        <s v="CETES 191121        " u="1"/>
        <s v="CETES 200611        " u="1"/>
        <s v="CETES 201231        " u="1"/>
        <s v="CETES 210331        " u="1"/>
        <s v="CETES 210701        " u="1"/>
        <s v="CETES 211021        " u="1"/>
        <s v="CETES 220331        " u="1"/>
        <s v="CETES 220421        " u="1"/>
        <s v="CETES 230921        " u="1"/>
        <s v="BLADEX 14           " u="1"/>
        <s v="AAXJ *              " u="1"/>
        <s v="UNH *               " u="1"/>
        <s v="CFECB 09            " u="1"/>
        <s v="CFECB 09U           " u="1"/>
        <s v="CETES 180419        " u="1"/>
        <s v="CETES 180719        " u="1"/>
        <s v="CETES 190509        " u="1"/>
        <s v="CETES 210729        " u="1"/>
        <s v="CETES 220519        " u="1"/>
        <s v="CETES 230209        " u="1"/>
        <s v="CETES 230309        " u="1"/>
        <s v="CETES 230629        " u="1"/>
        <s v="IBACMEXT 20241      " u="1"/>
        <s v="MEDICA B            " u="1"/>
        <s v="XLF *               " u="1"/>
        <s v="INTC *              " u="1"/>
        <s v="XLI *               " u="1"/>
        <s v="BSANT 11-3          " u="1"/>
        <s v="BSANT 16-2          " u="1"/>
        <s v="TFOVICB 10-4U       " u="1"/>
        <s v="STER-OP E1          " u="1"/>
        <s v="STER10P B1          " u="1"/>
        <s v="STER10P E0          " u="1"/>
        <s v="STER10P E1          " u="1"/>
        <s v="STER10P E2          " u="1"/>
        <s v="STER10P E3          " u="1"/>
        <s v="STER10P E4          " u="1"/>
        <s v="STEREAL E           " u="1"/>
        <s v="STERGOB M0          " u="1"/>
        <s v="STERGOB M1          " u="1"/>
        <s v="STERGOB M3          " u="1"/>
        <s v="STERGOB M4          " u="1"/>
        <s v="STERGOB MD          " u="1"/>
        <s v="AAPL *              " u="1"/>
        <s v="BONDESD 170622      " u="1"/>
        <s v="BONDESD 220714      " u="1"/>
        <s v="AERMXCB 15          " u="1"/>
        <s v="MEXE70450121        " u="1"/>
        <s v="FBSCTIA 19032       " u="1"/>
        <s v="AMZN *              " u="1"/>
        <s v="EWG *               " u="1"/>
        <s v="DBEU *              " u="1"/>
        <s v="EWU *               " u="1"/>
        <s v="IBSCTIA 19072       " u="1"/>
        <s v="FSHOP 13            " u="1"/>
        <s v="EWY *               " u="1"/>
        <s v="ARTHACK 10          " u="1"/>
        <s v="CETES 170412        " u="1"/>
        <s v="CETES 180802        " u="1"/>
        <s v="CETES 181122        " u="1"/>
        <s v="CETES 190912        " u="1"/>
        <s v="CETES 200102        " u="1"/>
        <s v="CETES 200312        " u="1"/>
        <s v="CETES 200702        " u="1"/>
        <s v="CETES 201022        " u="1"/>
        <s v="CETES 210422        " u="1"/>
        <s v="CETES 210812        " u="1"/>
        <s v="CETES 210902        " u="1"/>
        <s v="CETES 220602        " u="1"/>
        <s v="CETES 220922        " u="1"/>
        <s v="CETES 230112        " u="1"/>
        <s v="BONDESD 220908      " u="1"/>
        <s v="HUM *               " u="1"/>
        <s v="BIL *               " u="1"/>
        <s v="BNMXCB 13U          " u="1"/>
        <s v="BNMXCB 14U          " u="1"/>
        <s v="BPA182 280928       " u="1"/>
        <s v="LQD *               " u="1"/>
        <s v="GASN 15-2           " u="1"/>
        <s v="LUV *               " u="1"/>
        <s v="CUERVO *            " u="1"/>
        <s v="KOF 13              " u="1"/>
        <s v="KOF 17-2            " u="1"/>
        <s v="KOF L               " u="1"/>
        <s v="BAS N               " u="1"/>
        <s v="VWLEASE 14-2        " u="1"/>
        <s v="AGUA *              " u="1"/>
        <s v="AGUA 17-2X          " u="1"/>
        <s v="BONDESD 210722      " u="1"/>
        <s v="OSM 15-2            " u="1"/>
        <s v="IENOVA 13           " u="1"/>
        <s v="SHF0001 180614      " u="1"/>
        <s v="BABA N              " u="1"/>
        <s v="NMK A               " u="1"/>
        <s v="UNIFIN A            " u="1"/>
        <s v="BIMBO 16            " u="1"/>
        <s v="BINBUR 14-5         " u="1"/>
        <s v="BINBUR 16           " u="1"/>
        <s v="BINBUR 16-3         " u="1"/>
        <s v="BINBUR 16-5         " u="1"/>
        <s v="FEFA 14             " u="1"/>
        <s v="FEFA 15-8           " u="1"/>
        <s v="FEFA 16-3           " u="1"/>
        <s v="BOLSA A             " u="1"/>
        <s v="LAB 13              " u="1"/>
        <s v="LAB 14              " u="1"/>
        <s v="LAB 18              " u="1"/>
        <s v="LAB B               " u="1"/>
        <s v="MEXF76290422        " u="1"/>
        <s v="ORBIA *             " u="1"/>
        <s v="TFOVICB 13U         " u="1"/>
        <s v="TFOVIS 13U          " u="1"/>
        <s v="CETES 171123        " u="1"/>
        <s v="CETES 180913        " u="1"/>
        <s v="CETES 190523        " u="1"/>
        <s v="CETES 200213        " u="1"/>
        <s v="CETES 200423        " u="1"/>
        <s v="CETES 200813        " u="1"/>
        <s v="CETES 220113        " u="1"/>
        <s v="CETES 220413        " u="1"/>
        <s v="CETES 230223        " u="1"/>
        <s v="CETES 230323        " u="1"/>
        <s v="TOYOTA 14           " u="1"/>
        <s v="TOYOTA 15           " u="1"/>
        <s v="TOYOTA 17-3         " u="1"/>
        <s v="CDVITOT 13-2U       " u="1"/>
        <s v="FICCB 08U           " u="1"/>
        <s v="FICCB 09U           " u="1"/>
        <s v="VT *                " u="1"/>
        <s v="FHSBCMX 18012       " u="1"/>
        <s v="INAFIN 20241        " u="1"/>
        <s v="FBANSAN 19030       " u="1"/>
        <s v="MFRISCO 13          " u="1"/>
        <s v="LALA B              " u="1"/>
        <s v="UNFINCB 17          " u="1"/>
        <s v="LEMB *              " u="1"/>
        <s v="LENB *              " u="1"/>
        <s v="AXO 14              " u="1"/>
        <s v="GMXT *              " u="1"/>
        <s v="METROCB 05          " u="1"/>
        <s v="ICVCB 06U           " u="1"/>
        <s v="FBANSAN 16015       " u="1"/>
        <s v="PCARFM 15           " u="1"/>
        <s v="HERDEZ 13-2         " u="1"/>
        <s v="HERDEZ 14           " u="1"/>
        <s v="VIVACB 15           " u="1"/>
        <s v="BPAG28 210812       " u="1"/>
        <s v="IBSCTIA 19512       " u="1"/>
        <s v="BPAG91 200820       " u="1"/>
        <s v="HCITY *             " u="1"/>
        <s v="BND *               " u="1"/>
        <s v="DVY *               " u="1"/>
        <s v="CEDEVIS 06-2U       " u="1"/>
        <s v="CEDEVIS 10-2U       " u="1"/>
        <s v="CEDEVIS 11-2U       " u="1"/>
        <s v="BSMX B              " u="1"/>
        <s v="IBANSAN 19355       " u="1"/>
        <s v="ALV N               " u="1"/>
        <s v="CETES 170914        " u="1"/>
        <s v="CETES 180104        " u="1"/>
        <s v="CETES 190124        " u="1"/>
        <s v="CETES 191024        " u="1"/>
        <s v="CETES 210114        " u="1"/>
        <s v="CETES 220224        " u="1"/>
        <s v="CETES 220324        " u="1"/>
        <s v="CETES 220714        " u="1"/>
        <s v="CETES 230504        " u="1"/>
        <s v="CETES 230824        " u="1"/>
        <s v="CETES 230914        " u="1"/>
        <s v="CETES 231214        " u="1"/>
        <s v="BONDESD 200924      " u="1"/>
        <s v="DEPLAZ BM" u="1"/>
        <s v="TIPCB 17            " u="1"/>
        <s v="GOOGL *             " u="1"/>
        <s v="ROST *              " u="1"/>
        <s v="CDVITOT 11-3U       " u="1"/>
        <s v="LIVEPOL 1           " u="1"/>
        <s v="LIVEPOL 12          " u="1"/>
        <s v="FBANSAN 17008       " u="1"/>
        <s v="BPAG91 180405       " u="1"/>
        <s v="ITX N               " u="1"/>
        <s v="BACHOCO 12          " u="1"/>
        <s v="IFCOTCB 17          " u="1"/>
        <s v="BONDESD 221110      " u="1"/>
        <s v="PEMEX 10-2          " u="1"/>
        <s v="PEMEX 11-3          " u="1"/>
        <s v="PEMEX 12            " u="1"/>
        <s v="PEMEX 13            " u="1"/>
        <s v="PEMEX 14            " u="1"/>
        <s v="PEMEX 16            " u="1"/>
        <s v="FHIPO 14            " u="1"/>
        <s v="PINFRA *            " u="1"/>
        <s v="PINFRA L            " u="1"/>
        <s v="SANTAN 3-07         " u="1"/>
        <s v="DANHOS 16           " u="1"/>
        <s v="FHSBCMX 19023       " u="1"/>
        <s v="BONDESD 220317      " u="1"/>
        <s v="BPA182 270401       " u="1"/>
        <s v="BBVALMX 15          " u="1"/>
        <s v="FACILSA 15          " u="1"/>
        <s v="IDEAL B-1           " u="1"/>
        <s v="IGNIACK 15          " u="1"/>
        <s v="UFINCB 15           " u="1"/>
        <s v="UFINCB 16           " u="1"/>
        <s v="CETES 180315        " u="1"/>
        <s v="CETES 181115        " u="1"/>
        <s v="CETES 190815        " u="1"/>
        <s v="CETES 210325        " u="1"/>
        <s v="CETES 211125        " u="1"/>
        <s v="CETES 220825        " u="1"/>
        <s v="CETES 230405        " u="1"/>
        <s v="CETES 250515        " u="1"/>
      </sharedItems>
    </cacheField>
    <cacheField name="Tipo de Pos." numFmtId="0">
      <sharedItems containsBlank="1"/>
    </cacheField>
    <cacheField name="Moneda" numFmtId="0">
      <sharedItems containsString="0" containsBlank="1" containsNumber="1" containsInteger="1" minValue="0" maxValue="6"/>
    </cacheField>
    <cacheField name="Títulos" numFmtId="0">
      <sharedItems containsBlank="1"/>
    </cacheField>
    <cacheField name="Prec Ult Hecho" numFmtId="0">
      <sharedItems containsNonDate="0" containsString="0" containsBlank="1"/>
    </cacheField>
    <cacheField name="Monto" numFmtId="0">
      <sharedItems containsNonDate="0" containsString="0" containsBlank="1"/>
    </cacheField>
    <cacheField name="Costo Unitario" numFmtId="0">
      <sharedItems containsNonDate="0" containsString="0" containsBlank="1"/>
    </cacheField>
    <cacheField name="Plusvalia o Minusvalia" numFmtId="0">
      <sharedItems containsNonDate="0" containsString="0" containsBlank="1"/>
    </cacheField>
    <cacheField name="Títulos Operados" numFmtId="0">
      <sharedItems containsNonDate="0" containsString="0" containsBlank="1"/>
    </cacheField>
    <cacheField name="Monto Operado" numFmtId="0">
      <sharedItems containsNonDate="0" containsString="0" containsBlank="1"/>
    </cacheField>
    <cacheField name="Títulos Pendientes" numFmtId="0">
      <sharedItems containsNonDate="0" containsString="0" containsBlank="1"/>
    </cacheField>
    <cacheField name="Monto Pendiente" numFmtId="0">
      <sharedItems containsNonDate="0" containsString="0" containsBlank="1"/>
    </cacheField>
    <cacheField name="Títulos Totales" numFmtId="0">
      <sharedItems containsString="0" containsBlank="1" containsNumber="1" containsInteger="1" minValue="-21725" maxValue="651583020"/>
    </cacheField>
    <cacheField name="Monto Total" numFmtId="0">
      <sharedItems containsString="0" containsBlank="1" containsNumber="1" minValue="-39978562.25" maxValue="2369479045.8979201"/>
    </cacheField>
    <cacheField name="Promotor" numFmtId="0">
      <sharedItems containsBlank="1"/>
    </cacheField>
    <cacheField name="Centro de Costos" numFmtId="0">
      <sharedItems containsString="0" containsBlank="1" containsNumber="1" containsInteger="1" minValue="7414000005" maxValue="7414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07.607729745374" createdVersion="4" refreshedVersion="8" minRefreshableVersion="3" recordCount="447" xr:uid="{00000000-000A-0000-FFFF-FFFF84000000}">
  <cacheSource type="worksheet">
    <worksheetSource ref="A2:H9453" sheet="PENDIENTES"/>
  </cacheSource>
  <cacheFields count="8">
    <cacheField name="Tipo Fondo" numFmtId="0">
      <sharedItems containsBlank="1" containsMixedTypes="1" containsNumber="1" containsInteger="1" minValue="0" maxValue="0"/>
    </cacheField>
    <cacheField name="Admon" numFmtId="0">
      <sharedItems containsBlank="1" containsMixedTypes="1" containsNumber="1" containsInteger="1" minValue="0" maxValue="0"/>
    </cacheField>
    <cacheField name="Contrato" numFmtId="0">
      <sharedItems containsString="0" containsBlank="1" containsNumber="1" containsInteger="1" minValue="117" maxValue="65509560457" count="252">
        <n v="65501387259"/>
        <m/>
        <n v="1033796"/>
        <n v="80820"/>
        <n v="154702"/>
        <n v="2000569"/>
        <n v="2000722"/>
        <n v="2000469"/>
        <n v="2001049"/>
        <n v="65507528400"/>
        <n v="65507671187"/>
        <n v="65507684389"/>
        <n v="2000216"/>
        <n v="2000219"/>
        <n v="78665"/>
        <n v="1012259"/>
        <n v="1012260"/>
        <n v="1033545"/>
        <n v="1033546"/>
        <n v="2000182"/>
        <n v="2000183"/>
        <n v="2000217"/>
        <n v="2000218"/>
        <n v="2000423"/>
        <n v="2000424"/>
        <n v="2001046"/>
        <n v="2001047"/>
        <n v="1000002861"/>
        <n v="1037124"/>
        <n v="1037085"/>
        <n v="1037086"/>
        <n v="1037090"/>
        <n v="1037113"/>
        <n v="1037117"/>
        <n v="1037118"/>
        <n v="2000220"/>
        <n v="2000221"/>
        <n v="2001050"/>
        <n v="1000003291"/>
        <n v="1000003292"/>
        <n v="1000003293"/>
        <n v="1000003295"/>
        <n v="1000003297"/>
        <n v="1000003298"/>
        <n v="1000003299"/>
        <n v="1000003302"/>
        <n v="1033798" u="1"/>
        <n v="65501902345" u="1"/>
        <n v="2000467" u="1"/>
        <n v="1000003296" u="1"/>
        <n v="147309" u="1"/>
        <n v="147311" u="1"/>
        <n v="147314" u="1"/>
        <n v="65502313952" u="1"/>
        <n v="147313" u="1"/>
        <n v="147310" u="1"/>
        <n v="147312" u="1"/>
        <n v="152965" u="1"/>
        <n v="1037924" u="1"/>
        <n v="1037115" u="1"/>
        <n v="1000003300" u="1"/>
        <n v="1000003301" u="1"/>
        <n v="1000003305" u="1"/>
        <n v="2000581" u="1"/>
        <n v="1000002677" u="1"/>
        <n v="1000003633" u="1"/>
        <n v="152971" u="1"/>
        <n v="152974" u="1"/>
        <n v="152976" u="1"/>
        <n v="152979" u="1"/>
        <n v="152981" u="1"/>
        <n v="152983" u="1"/>
        <n v="1031340" u="1"/>
        <n v="1000003294" u="1"/>
        <n v="65508881201" u="1"/>
        <n v="1037925" u="1"/>
        <n v="1036691" u="1"/>
        <n v="1037923" u="1"/>
        <n v="1018867" u="1"/>
        <n v="65508886089" u="1"/>
        <n v="80862" u="1"/>
        <n v="1010401" u="1"/>
        <n v="503967" u="1"/>
        <n v="2000803" u="1"/>
        <n v="73618" u="1"/>
        <n v="1005849" u="1"/>
        <n v="1020023" u="1"/>
        <n v="2000808" u="1"/>
        <n v="142518" u="1"/>
        <n v="2000809" u="1"/>
        <n v="2000810" u="1"/>
        <n v="152869" u="1"/>
        <n v="2000811" u="1"/>
        <n v="1020025" u="1"/>
        <n v="2000812" u="1"/>
        <n v="1020026" u="1"/>
        <n v="1020027" u="1"/>
        <n v="1020029" u="1"/>
        <n v="1026370" u="1"/>
        <n v="1032901" u="1"/>
        <n v="2000465" u="1"/>
        <n v="2000466" u="1"/>
        <n v="1020040" u="1"/>
        <n v="2000470" u="1"/>
        <n v="157862" u="1"/>
        <n v="65503863624" u="1"/>
        <n v="2000848" u="1"/>
        <n v="2000849" u="1"/>
        <n v="2000480" u="1"/>
        <n v="65504052011" u="1"/>
        <n v="71313" u="1"/>
        <n v="2000486" u="1"/>
        <n v="65503562246" u="1"/>
        <n v="2000863" u="1"/>
        <n v="65509560426" u="1"/>
        <n v="1008496" u="1"/>
        <n v="2000135" u="1"/>
        <n v="142481" u="1"/>
        <n v="556424" u="1"/>
        <n v="1031627" u="1"/>
        <n v="77703" u="1"/>
        <n v="1018014" u="1"/>
        <n v="142482" u="1"/>
        <n v="1031629" u="1"/>
        <n v="2000522" u="1"/>
        <n v="2000152" u="1"/>
        <n v="65504667724" u="1"/>
        <n v="156331" u="1"/>
        <n v="2000905" u="1"/>
        <n v="1032381" u="1"/>
        <n v="2000534" u="1"/>
        <n v="1032382" u="1"/>
        <n v="65505283360" u="1"/>
        <n v="65501372909" u="1"/>
        <n v="1012617" u="1"/>
        <n v="531448" u="1"/>
        <n v="1024556" u="1"/>
        <n v="4031" u="1"/>
        <n v="77705" u="1"/>
        <n v="2000926" u="1"/>
        <n v="2000928" u="1"/>
        <n v="1013187" u="1"/>
        <n v="65501293805" u="1"/>
        <n v="2000938" u="1"/>
        <n v="65507430562" u="1"/>
        <n v="2000570" u="1"/>
        <n v="65509560409" u="1"/>
        <n v="2000571" u="1"/>
        <n v="2000572" u="1"/>
        <n v="2000573" u="1"/>
        <n v="2000574" u="1"/>
        <n v="75655" u="1"/>
        <n v="2000575" u="1"/>
        <n v="2000576" u="1"/>
        <n v="117" u="1"/>
        <n v="2000204" u="1"/>
        <n v="2000577" u="1"/>
        <n v="73627" u="1"/>
        <n v="2000205" u="1"/>
        <n v="2000206" u="1"/>
        <n v="65505569851" u="1"/>
        <n v="65505283448" u="1"/>
        <n v="2000597" u="1"/>
        <n v="65505285253" u="1"/>
        <n v="65508989338" u="1"/>
        <n v="1018991" u="1"/>
        <n v="2000238" u="1"/>
        <n v="2000239" u="1"/>
        <n v="2000240" u="1"/>
        <n v="540994" u="1"/>
        <n v="2000241" u="1"/>
        <n v="1036525" u="1"/>
        <n v="1036526" u="1"/>
        <n v="1033543" u="1"/>
        <n v="1036527" u="1"/>
        <n v="1037087" u="1"/>
        <n v="75145" u="1"/>
        <n v="1033544" u="1"/>
        <n v="1036528" u="1"/>
        <n v="156622" u="1"/>
        <n v="1018811" u="1"/>
        <n v="65507052294" u="1"/>
        <n v="1036529" u="1"/>
        <n v="65503863610" u="1"/>
        <n v="65507665273" u="1"/>
        <n v="1036530" u="1"/>
        <n v="79971" u="1"/>
        <n v="1014710" u="1"/>
        <n v="71532" u="1"/>
        <n v="1013407" u="1"/>
        <n v="2001004" u="1"/>
        <n v="65502222299" u="1"/>
        <n v="78666" u="1"/>
        <n v="65509560457" u="1"/>
        <n v="75146" u="1"/>
        <n v="1036723" u="1"/>
        <n v="2001012" u="1"/>
        <n v="1036724" u="1"/>
        <n v="2000641" u="1"/>
        <n v="2000642" u="1"/>
        <n v="79296" u="1"/>
        <n v="1022367" u="1"/>
        <n v="75170" u="1"/>
        <n v="2001022" u="1"/>
        <n v="65507408917" u="1"/>
        <n v="69902" u="1"/>
        <n v="544000" u="1"/>
        <n v="65505216453" u="1"/>
        <n v="1021441" u="1"/>
        <n v="71535" u="1"/>
        <n v="69880" u="1"/>
        <n v="147492" u="1"/>
        <n v="1031341" u="1"/>
        <n v="65503863638" u="1"/>
        <n v="65503691935" u="1"/>
        <n v="2000697" u="1"/>
        <n v="65507052277" u="1"/>
        <n v="81119" u="1"/>
        <n v="1018302" u="1"/>
        <n v="2000724" u="1"/>
        <n v="2000725" u="1"/>
        <n v="159246" u="1"/>
        <n v="67715" u="1"/>
        <n v="1031547" u="1"/>
        <n v="2000730" u="1"/>
        <n v="1031548" u="1"/>
        <n v="2000732" u="1"/>
        <n v="2000733" u="1"/>
        <n v="1002455" u="1"/>
        <n v="1031549" u="1"/>
        <n v="1018122" u="1"/>
        <n v="1031550" u="1"/>
        <n v="2000736" u="1"/>
        <n v="1031551" u="1"/>
        <n v="1033795" u="1"/>
        <n v="2000385" u="1"/>
        <n v="65502425394" u="1"/>
        <n v="65503851337" u="1"/>
        <n v="65505283309" u="1"/>
        <n v="1032873" u="1"/>
        <n v="566810" u="1"/>
        <n v="1032128" u="1"/>
        <n v="2000776" u="1"/>
        <n v="2000777" u="1"/>
        <n v="2000778" u="1"/>
        <n v="2000779" u="1"/>
        <n v="2000780" u="1"/>
        <n v="64972" u="1"/>
        <n v="1033811" u="1"/>
        <n v="65507052215" u="1"/>
        <n v="65509560443" u="1"/>
        <n v="2000795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103140348.26000001" maxValue="4812430.88"/>
    </cacheField>
    <cacheField name="Sdo. RK" numFmtId="0">
      <sharedItems containsString="0" containsBlank="1" containsNumber="1" minValue="0" maxValue="1828029.32"/>
    </cacheField>
    <cacheField name="Diferencia" numFmtId="0">
      <sharedItems containsString="0" containsBlank="1" containsNumber="1" minValue="-103140348.26000001" maxValue="4812430.88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27">
  <r>
    <x v="0"/>
    <m/>
    <x v="0"/>
    <m/>
    <m/>
    <m/>
    <m/>
    <m/>
    <m/>
    <m/>
    <m/>
    <m/>
    <m/>
    <m/>
    <n v="1155643"/>
    <n v="3925455.7843960002"/>
    <s v="EPER"/>
    <n v="7414000005"/>
  </r>
  <r>
    <x v="1"/>
    <n v="58"/>
    <x v="1"/>
    <s v="INFONAVIT"/>
    <n v="0"/>
    <s v="GESTIÓN "/>
    <m/>
    <m/>
    <m/>
    <m/>
    <m/>
    <m/>
    <m/>
    <m/>
    <n v="460"/>
    <n v="63456.535400000001"/>
    <s v="EPER"/>
    <n v="7414000005"/>
  </r>
  <r>
    <x v="1"/>
    <n v="60"/>
    <x v="2"/>
    <s v="AIG"/>
    <n v="1"/>
    <s v="GESTIÓN "/>
    <m/>
    <m/>
    <m/>
    <m/>
    <m/>
    <m/>
    <m/>
    <m/>
    <n v="100570"/>
    <n v="363018.67884000001"/>
    <s v="EPER"/>
    <n v="7414000005"/>
  </r>
  <r>
    <x v="1"/>
    <n v="63"/>
    <x v="3"/>
    <s v="AIG"/>
    <n v="1"/>
    <s v="GESTIÓN "/>
    <m/>
    <m/>
    <m/>
    <m/>
    <m/>
    <m/>
    <m/>
    <m/>
    <n v="33104"/>
    <n v="72491.072992000001"/>
    <s v="EPER"/>
    <n v="7414000005"/>
  </r>
  <r>
    <x v="1"/>
    <s v="Ajemex Consultores"/>
    <x v="4"/>
    <s v="Ajemex Consultores"/>
    <n v="0"/>
    <s v="GESTIÓN "/>
    <m/>
    <m/>
    <m/>
    <m/>
    <m/>
    <m/>
    <m/>
    <m/>
    <n v="0"/>
    <n v="0"/>
    <s v="EPER"/>
    <n v="7414000005"/>
  </r>
  <r>
    <x v="1"/>
    <n v="116"/>
    <x v="5"/>
    <s v="HOTELES PRESIDENTE "/>
    <n v="0"/>
    <s v="GESTIÓN "/>
    <m/>
    <m/>
    <m/>
    <m/>
    <m/>
    <m/>
    <m/>
    <m/>
    <n v="0"/>
    <n v="0"/>
    <s v="EPER"/>
    <n v="7414000005"/>
  </r>
  <r>
    <x v="1"/>
    <n v="117"/>
    <x v="6"/>
    <s v="HOTELES PRESIDENTE "/>
    <n v="0"/>
    <s v="GESTIÓN "/>
    <m/>
    <m/>
    <m/>
    <m/>
    <m/>
    <m/>
    <m/>
    <m/>
    <n v="0"/>
    <n v="0"/>
    <s v="EPER"/>
    <n v="7414000005"/>
  </r>
  <r>
    <x v="1"/>
    <n v="127"/>
    <x v="7"/>
    <s v="ISSSTEP"/>
    <n v="0"/>
    <s v="GESTIÓN "/>
    <m/>
    <m/>
    <m/>
    <m/>
    <m/>
    <m/>
    <m/>
    <m/>
    <n v="0"/>
    <n v="0"/>
    <s v="EPER"/>
    <n v="7414000005"/>
  </r>
  <r>
    <x v="1"/>
    <n v="2000863"/>
    <x v="8"/>
    <s v="HOTELES PRESIDENTE "/>
    <n v="0"/>
    <s v="GESTIÓN "/>
    <m/>
    <m/>
    <m/>
    <m/>
    <m/>
    <m/>
    <m/>
    <m/>
    <n v="450"/>
    <n v="4410951.4786499999"/>
    <s v="EPER"/>
    <n v="7414000005"/>
  </r>
  <r>
    <x v="1"/>
    <n v="2000905"/>
    <x v="9"/>
    <s v="FABRICA DE JABON LA CORONA"/>
    <n v="0"/>
    <s v="GESTIÓN "/>
    <m/>
    <m/>
    <m/>
    <m/>
    <m/>
    <m/>
    <m/>
    <m/>
    <n v="156"/>
    <n v="1477265.2603800001"/>
    <s v="EPER"/>
    <n v="7414000005"/>
  </r>
  <r>
    <x v="1"/>
    <s v="HEB"/>
    <x v="10"/>
    <s v="HEB"/>
    <n v="0"/>
    <s v="GESTIÓN "/>
    <m/>
    <m/>
    <m/>
    <m/>
    <m/>
    <m/>
    <m/>
    <m/>
    <n v="0"/>
    <n v="0"/>
    <s v="EPER"/>
    <n v="7414000005"/>
  </r>
  <r>
    <x v="1"/>
    <s v="HEB"/>
    <x v="10"/>
    <s v="HEB"/>
    <n v="0"/>
    <s v="GESTIÓN "/>
    <m/>
    <m/>
    <m/>
    <m/>
    <m/>
    <m/>
    <m/>
    <m/>
    <n v="0"/>
    <n v="0"/>
    <s v="EPER"/>
    <n v="7414000005"/>
  </r>
  <r>
    <x v="1"/>
    <s v="HEB"/>
    <x v="10"/>
    <s v="HEB"/>
    <n v="0"/>
    <s v="GESTIÓN "/>
    <m/>
    <m/>
    <m/>
    <m/>
    <m/>
    <m/>
    <m/>
    <m/>
    <n v="0"/>
    <n v="0"/>
    <s v="EPER"/>
    <n v="7414000005"/>
  </r>
  <r>
    <x v="1"/>
    <s v="HEB"/>
    <x v="10"/>
    <s v="HEB"/>
    <n v="0"/>
    <s v="GESTIÓN "/>
    <m/>
    <m/>
    <m/>
    <m/>
    <m/>
    <m/>
    <m/>
    <m/>
    <n v="62970"/>
    <n v="6297030.4774799999"/>
    <s v="EPER"/>
    <n v="7414000005"/>
  </r>
  <r>
    <x v="1"/>
    <s v="INVERCAPAFORE"/>
    <x v="11"/>
    <s v="INVERCAPAFORE"/>
    <n v="0"/>
    <s v="GESTIÓN "/>
    <m/>
    <m/>
    <m/>
    <m/>
    <m/>
    <m/>
    <m/>
    <m/>
    <n v="0"/>
    <n v="0"/>
    <s v="EPER"/>
    <n v="7414000005"/>
  </r>
  <r>
    <x v="1"/>
    <s v="LC"/>
    <x v="12"/>
    <s v="LAFON LAUNAY COSMETICS"/>
    <n v="0"/>
    <s v="GESTIÓN "/>
    <m/>
    <m/>
    <m/>
    <m/>
    <m/>
    <m/>
    <m/>
    <m/>
    <n v="6325880"/>
    <n v="58135703.845559999"/>
    <s v="EPER"/>
    <n v="7414000005"/>
  </r>
  <r>
    <x v="1"/>
    <s v="Palace"/>
    <x v="13"/>
    <s v=" Grupo Palace Resorts"/>
    <n v="0"/>
    <s v="GESTIÓN "/>
    <m/>
    <m/>
    <m/>
    <m/>
    <m/>
    <m/>
    <m/>
    <m/>
    <n v="914440"/>
    <n v="7551504.9585999995"/>
    <s v="EPER"/>
    <n v="7414000005"/>
  </r>
  <r>
    <x v="1"/>
    <s v="OASIS"/>
    <x v="0"/>
    <m/>
    <n v="0"/>
    <s v="GESTIÓN "/>
    <m/>
    <m/>
    <m/>
    <m/>
    <m/>
    <m/>
    <m/>
    <m/>
    <n v="0"/>
    <n v="0"/>
    <s v="EPER"/>
    <n v="7414000005"/>
  </r>
  <r>
    <x v="1"/>
    <s v="OASISAL"/>
    <x v="14"/>
    <s v="OASIS LATINOAMERICA"/>
    <n v="0"/>
    <s v="GESTIÓN "/>
    <m/>
    <m/>
    <m/>
    <m/>
    <m/>
    <m/>
    <m/>
    <m/>
    <n v="0"/>
    <n v="0"/>
    <s v="EPER"/>
    <n v="7414000005"/>
  </r>
  <r>
    <x v="1"/>
    <s v="IESTPSCONT"/>
    <x v="15"/>
    <s v="INSTITUTO DE ESTUDIOS SUPERIORES DE TAMAULIPAS A.C. PENSIONES CONTINGENCIA"/>
    <n v="0"/>
    <s v="GESTIÓN "/>
    <m/>
    <m/>
    <m/>
    <m/>
    <m/>
    <m/>
    <m/>
    <m/>
    <n v="0"/>
    <n v="0"/>
    <s v="EPER"/>
    <n v="7414000005"/>
  </r>
  <r>
    <x v="1"/>
    <s v="IESTPS"/>
    <x v="16"/>
    <s v="INSTITUTO DE ESTUDIOS SUPERIORES DE TAMAULIPAS A.C. PLAN DE PENSIONES"/>
    <n v="0"/>
    <s v="GESTIÓN "/>
    <m/>
    <m/>
    <m/>
    <m/>
    <m/>
    <m/>
    <m/>
    <m/>
    <n v="0"/>
    <n v="0"/>
    <s v="EPER"/>
    <n v="7414000005"/>
  </r>
  <r>
    <x v="1"/>
    <n v="37"/>
    <x v="17"/>
    <s v="CASA LEY (ASESORES NORESTE)"/>
    <n v="0"/>
    <s v="GESTIÓN "/>
    <m/>
    <m/>
    <m/>
    <m/>
    <m/>
    <m/>
    <m/>
    <m/>
    <n v="0"/>
    <n v="0"/>
    <s v="EPER"/>
    <n v="7414000005"/>
  </r>
  <r>
    <x v="1"/>
    <n v="75"/>
    <x v="18"/>
    <s v="BOLSA MEXICANA"/>
    <n v="1"/>
    <s v="GESTIÓN "/>
    <m/>
    <m/>
    <m/>
    <m/>
    <m/>
    <m/>
    <m/>
    <m/>
    <n v="0"/>
    <n v="0"/>
    <s v="EPER"/>
    <n v="7414000005"/>
  </r>
  <r>
    <x v="1"/>
    <n v="76"/>
    <x v="19"/>
    <s v="BOLSA MEXICANA"/>
    <n v="0"/>
    <s v="GESTIÓN "/>
    <m/>
    <m/>
    <m/>
    <m/>
    <m/>
    <m/>
    <m/>
    <m/>
    <n v="0"/>
    <n v="0"/>
    <s v="EPER"/>
    <n v="7414000005"/>
  </r>
  <r>
    <x v="1"/>
    <n v="93"/>
    <x v="20"/>
    <s v="UNIV EDO MÉXICO"/>
    <n v="0"/>
    <s v="GESTIÓN "/>
    <m/>
    <m/>
    <m/>
    <m/>
    <m/>
    <m/>
    <m/>
    <m/>
    <n v="0"/>
    <n v="0"/>
    <s v="EPER"/>
    <n v="7414000005"/>
  </r>
  <r>
    <x v="1"/>
    <n v="94"/>
    <x v="21"/>
    <s v="AFIANZADORA (ASERTA)"/>
    <n v="0"/>
    <s v="GESTIÓN "/>
    <m/>
    <m/>
    <m/>
    <m/>
    <m/>
    <m/>
    <m/>
    <m/>
    <n v="0"/>
    <n v="0"/>
    <s v="EPER"/>
    <n v="7414000005"/>
  </r>
  <r>
    <x v="1"/>
    <n v="105"/>
    <x v="22"/>
    <s v="TRIBUNAL"/>
    <n v="0"/>
    <s v="GESTIÓN "/>
    <m/>
    <m/>
    <m/>
    <m/>
    <m/>
    <m/>
    <m/>
    <m/>
    <n v="50300"/>
    <n v="4966136.5547000002"/>
    <s v="EPER"/>
    <n v="7414000005"/>
  </r>
  <r>
    <x v="1"/>
    <n v="114"/>
    <x v="23"/>
    <s v="U.A.D.Y."/>
    <n v="0"/>
    <s v="GESTIÓN "/>
    <m/>
    <m/>
    <m/>
    <m/>
    <m/>
    <m/>
    <m/>
    <m/>
    <n v="130000"/>
    <n v="12346509.109999999"/>
    <s v="EPER"/>
    <n v="7414000005"/>
  </r>
  <r>
    <x v="1"/>
    <n v="1081"/>
    <x v="24"/>
    <s v="AFIANZADORA (ASERTA)"/>
    <n v="0"/>
    <s v="GESTIÓN "/>
    <m/>
    <m/>
    <m/>
    <m/>
    <m/>
    <m/>
    <m/>
    <m/>
    <n v="100000"/>
    <n v="9191182.0999999996"/>
    <s v="EPER"/>
    <n v="7414000005"/>
  </r>
  <r>
    <x v="1"/>
    <n v="1082"/>
    <x v="25"/>
    <s v="AFIANZADORA (ASERTA)"/>
    <n v="0"/>
    <s v="GESTIÓN "/>
    <m/>
    <m/>
    <m/>
    <m/>
    <m/>
    <m/>
    <m/>
    <m/>
    <n v="22560"/>
    <n v="2097053.5876800001"/>
    <s v="EPER"/>
    <n v="7414000005"/>
  </r>
  <r>
    <x v="1"/>
    <n v="1094"/>
    <x v="26"/>
    <s v="CASA LEY (ASESORES NORESTE)"/>
    <n v="0"/>
    <s v="GESTIÓN "/>
    <m/>
    <m/>
    <m/>
    <m/>
    <m/>
    <m/>
    <m/>
    <m/>
    <n v="30000"/>
    <n v="2660943.69"/>
    <s v="EPER"/>
    <n v="7414000005"/>
  </r>
  <r>
    <x v="1"/>
    <n v="1018014"/>
    <x v="27"/>
    <s v="AISA MANCOMUNADOS"/>
    <n v="0"/>
    <s v="GESTIÓN "/>
    <m/>
    <m/>
    <m/>
    <m/>
    <m/>
    <m/>
    <m/>
    <m/>
    <n v="127260"/>
    <n v="11875164.07392"/>
    <s v="EPER"/>
    <n v="7414000005"/>
  </r>
  <r>
    <x v="1"/>
    <n v="1018122"/>
    <x v="28"/>
    <s v="AFIANZADORA (ASERTA)"/>
    <n v="0"/>
    <s v="GESTIÓN "/>
    <m/>
    <m/>
    <m/>
    <m/>
    <m/>
    <m/>
    <m/>
    <m/>
    <n v="76690"/>
    <n v="7275133.0439200001"/>
    <s v="EPER"/>
    <n v="7414000005"/>
  </r>
  <r>
    <x v="1"/>
    <n v="1018302"/>
    <x v="29"/>
    <s v="AFIANZADORA (ASERTA)"/>
    <n v="0"/>
    <s v="GESTIÓN "/>
    <m/>
    <m/>
    <m/>
    <m/>
    <m/>
    <m/>
    <m/>
    <m/>
    <n v="297490"/>
    <n v="28222923.005929999"/>
    <s v="EPER"/>
    <n v="7414000005"/>
  </r>
  <r>
    <x v="1"/>
    <n v="92"/>
    <x v="30"/>
    <s v="UNIV TABASCO "/>
    <n v="0"/>
    <s v="GESTIÓN "/>
    <m/>
    <m/>
    <m/>
    <m/>
    <m/>
    <m/>
    <m/>
    <m/>
    <n v="51006"/>
    <n v="4564499.6517899996"/>
    <s v="EPER"/>
    <n v="7414000005"/>
  </r>
  <r>
    <x v="1"/>
    <s v="RADIOPOLIS FA"/>
    <x v="31"/>
    <s v="RADIOPOLIS FA - RADIOPOLIS FONDO DE AHORRO"/>
    <n v="0"/>
    <s v="GESTIÓN "/>
    <m/>
    <m/>
    <m/>
    <m/>
    <m/>
    <m/>
    <m/>
    <m/>
    <n v="199640"/>
    <n v="17208394.633919999"/>
    <s v="EPER"/>
    <n v="7414000005"/>
  </r>
  <r>
    <x v="1"/>
    <s v="UDG"/>
    <x v="32"/>
    <s v="UDG - UNIVERSIDAD DE GUADALAJARA"/>
    <n v="0"/>
    <s v="GESTIÓN "/>
    <m/>
    <m/>
    <m/>
    <m/>
    <m/>
    <m/>
    <m/>
    <m/>
    <n v="195699"/>
    <n v="16921966.108445998"/>
    <s v="EPER"/>
    <n v="7414000005"/>
  </r>
  <r>
    <x v="1"/>
    <s v="RODEO CESANTIA"/>
    <x v="33"/>
    <s v="RODEO CESANTIA"/>
    <n v="0"/>
    <s v="GESTIÓN "/>
    <m/>
    <m/>
    <m/>
    <m/>
    <m/>
    <m/>
    <m/>
    <m/>
    <n v="137652"/>
    <n v="11251517.55672"/>
    <s v="EPER"/>
    <n v="7414000005"/>
  </r>
  <r>
    <x v="1"/>
    <s v="RODEO RETIRO"/>
    <x v="34"/>
    <s v="RODEO RETIRO"/>
    <n v="0"/>
    <s v="GESTIÓN "/>
    <m/>
    <m/>
    <m/>
    <m/>
    <m/>
    <m/>
    <m/>
    <m/>
    <n v="48434"/>
    <n v="4029745.658274"/>
    <s v="EPER"/>
    <n v="7414000005"/>
  </r>
  <r>
    <x v="1"/>
    <s v="RODEO VIVIENDA"/>
    <x v="35"/>
    <s v="RODEO VIVIENDA"/>
    <n v="0"/>
    <s v="GESTIÓN "/>
    <m/>
    <m/>
    <m/>
    <m/>
    <m/>
    <m/>
    <m/>
    <m/>
    <n v="133615"/>
    <n v="10977795.973804999"/>
    <s v="EPER"/>
    <n v="7414000005"/>
  </r>
  <r>
    <x v="1"/>
    <s v="UTDCESANTIA"/>
    <x v="36"/>
    <s v="UTD SUBCUENTA"/>
    <n v="0"/>
    <s v="GESTIÓN "/>
    <m/>
    <m/>
    <m/>
    <m/>
    <m/>
    <m/>
    <m/>
    <m/>
    <n v="0"/>
    <n v="0"/>
    <s v="EPER"/>
    <n v="7414000005"/>
  </r>
  <r>
    <x v="1"/>
    <s v="UTDRETIRO"/>
    <x v="36"/>
    <s v="UTD SUBCUENTA"/>
    <n v="0"/>
    <s v="GESTIÓN "/>
    <m/>
    <m/>
    <m/>
    <m/>
    <m/>
    <m/>
    <m/>
    <m/>
    <n v="0"/>
    <n v="0"/>
    <s v="EPER"/>
    <n v="7414000005"/>
  </r>
  <r>
    <x v="1"/>
    <s v="UTDVIVIENDA"/>
    <x v="36"/>
    <s v="UTD SUBCUENTA"/>
    <n v="0"/>
    <s v="GESTIÓN "/>
    <m/>
    <m/>
    <m/>
    <m/>
    <m/>
    <m/>
    <m/>
    <m/>
    <n v="0"/>
    <n v="0"/>
    <s v="EPER"/>
    <n v="7414000005"/>
  </r>
  <r>
    <x v="1"/>
    <s v="Ajemex"/>
    <x v="37"/>
    <s v="Ajemex"/>
    <n v="0"/>
    <s v="GESTIÓN "/>
    <m/>
    <m/>
    <m/>
    <m/>
    <m/>
    <m/>
    <m/>
    <m/>
    <n v="0"/>
    <n v="0"/>
    <s v="EPER"/>
    <n v="7414000005"/>
  </r>
  <r>
    <x v="1"/>
    <s v="Ajegroup"/>
    <x v="38"/>
    <s v="Ajegroup"/>
    <n v="0"/>
    <s v="GESTIÓN "/>
    <m/>
    <m/>
    <m/>
    <m/>
    <m/>
    <m/>
    <m/>
    <m/>
    <n v="0"/>
    <n v="0"/>
    <s v="EPER"/>
    <n v="7414000005"/>
  </r>
  <r>
    <x v="1"/>
    <s v="Cocentro"/>
    <x v="39"/>
    <s v="Cocentro"/>
    <n v="0"/>
    <s v="GESTIÓN "/>
    <m/>
    <m/>
    <m/>
    <m/>
    <m/>
    <m/>
    <m/>
    <m/>
    <n v="0"/>
    <n v="0"/>
    <s v="EPER"/>
    <n v="7414000005"/>
  </r>
  <r>
    <x v="1"/>
    <s v="AM"/>
    <x v="40"/>
    <s v="Arcelor Mittal México"/>
    <n v="0"/>
    <s v="GESTIÓN "/>
    <m/>
    <m/>
    <m/>
    <m/>
    <m/>
    <m/>
    <m/>
    <m/>
    <n v="60000"/>
    <n v="5999951.0999999996"/>
    <s v="EPER"/>
    <n v="7414000005"/>
  </r>
  <r>
    <x v="1"/>
    <s v="AP"/>
    <x v="41"/>
    <s v="Arcelor Mittal Portuarios"/>
    <n v="0"/>
    <s v="GESTIÓN "/>
    <m/>
    <m/>
    <m/>
    <m/>
    <m/>
    <m/>
    <m/>
    <m/>
    <n v="0"/>
    <n v="0"/>
    <s v="EPER"/>
    <n v="7414000005"/>
  </r>
  <r>
    <x v="1"/>
    <s v="AT"/>
    <x v="42"/>
    <s v="Arcelor Mittal Las Truchas "/>
    <n v="0"/>
    <s v="GESTIÓN "/>
    <m/>
    <m/>
    <m/>
    <m/>
    <m/>
    <m/>
    <m/>
    <m/>
    <n v="0"/>
    <n v="0"/>
    <s v="EPER"/>
    <n v="7414000005"/>
  </r>
  <r>
    <x v="1"/>
    <s v="CB"/>
    <x v="43"/>
    <s v="Corporación del Balsas"/>
    <n v="0"/>
    <s v="GESTIÓN "/>
    <m/>
    <m/>
    <m/>
    <m/>
    <m/>
    <m/>
    <m/>
    <m/>
    <n v="0"/>
    <n v="0"/>
    <s v="EPER"/>
    <n v="7414000005"/>
  </r>
  <r>
    <x v="1"/>
    <s v="RADIOPOLIS CA"/>
    <x v="44"/>
    <s v="RADIOPOLIS CA - RADIOPOLIS CAJA DE AHORRO"/>
    <n v="0"/>
    <s v="GESTIÓN "/>
    <m/>
    <m/>
    <m/>
    <m/>
    <m/>
    <m/>
    <m/>
    <m/>
    <n v="1539540"/>
    <n v="5229466.3648800002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6836"/>
    <n v="13059546.925931999"/>
    <s v="EPER"/>
    <n v="7414000005"/>
  </r>
  <r>
    <x v="1"/>
    <m/>
    <x v="0"/>
    <m/>
    <n v="0"/>
    <m/>
    <m/>
    <m/>
    <m/>
    <m/>
    <m/>
    <m/>
    <m/>
    <m/>
    <n v="11953"/>
    <n v="8931023.797696"/>
    <s v="EPER"/>
    <n v="7414000005"/>
  </r>
  <r>
    <x v="1"/>
    <m/>
    <x v="0"/>
    <m/>
    <n v="0"/>
    <m/>
    <m/>
    <m/>
    <m/>
    <m/>
    <m/>
    <m/>
    <m/>
    <m/>
    <n v="7339"/>
    <n v="5621115.3773370003"/>
    <s v="EPER"/>
    <n v="7414000005"/>
  </r>
  <r>
    <x v="1"/>
    <m/>
    <x v="0"/>
    <m/>
    <n v="0"/>
    <m/>
    <m/>
    <m/>
    <m/>
    <m/>
    <m/>
    <m/>
    <m/>
    <m/>
    <n v="9785"/>
    <n v="6701640.4110300001"/>
    <s v="EPER"/>
    <n v="7414000005"/>
  </r>
  <r>
    <x v="1"/>
    <m/>
    <x v="0"/>
    <m/>
    <n v="0"/>
    <m/>
    <m/>
    <m/>
    <m/>
    <m/>
    <m/>
    <m/>
    <m/>
    <m/>
    <n v="9988"/>
    <n v="7719994.52642"/>
    <s v="EPER"/>
    <n v="7414000005"/>
  </r>
  <r>
    <x v="1"/>
    <m/>
    <x v="0"/>
    <m/>
    <n v="0"/>
    <m/>
    <m/>
    <m/>
    <m/>
    <m/>
    <m/>
    <m/>
    <m/>
    <m/>
    <n v="10025"/>
    <n v="7233986.2659999998"/>
    <s v="EPER"/>
    <n v="7414000005"/>
  </r>
  <r>
    <x v="1"/>
    <m/>
    <x v="0"/>
    <m/>
    <n v="0"/>
    <m/>
    <m/>
    <m/>
    <m/>
    <m/>
    <m/>
    <m/>
    <m/>
    <m/>
    <n v="2547"/>
    <n v="1619798.064093"/>
    <s v="EPER"/>
    <n v="7414000005"/>
  </r>
  <r>
    <x v="1"/>
    <m/>
    <x v="0"/>
    <m/>
    <n v="0"/>
    <m/>
    <m/>
    <m/>
    <m/>
    <m/>
    <m/>
    <m/>
    <m/>
    <m/>
    <n v="10420"/>
    <n v="7391632.7012200002"/>
    <s v="EPER"/>
    <n v="7414000005"/>
  </r>
  <r>
    <x v="1"/>
    <m/>
    <x v="0"/>
    <m/>
    <n v="0"/>
    <m/>
    <m/>
    <m/>
    <m/>
    <m/>
    <m/>
    <m/>
    <m/>
    <m/>
    <n v="17073"/>
    <n v="11855682.19565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0609029"/>
    <n v="137939612.65438801"/>
    <s v="EPER"/>
    <n v="7414000005"/>
  </r>
  <r>
    <x v="1"/>
    <m/>
    <x v="0"/>
    <m/>
    <n v="0"/>
    <m/>
    <m/>
    <m/>
    <m/>
    <m/>
    <m/>
    <m/>
    <m/>
    <m/>
    <n v="4364510"/>
    <n v="14825245.361719999"/>
    <s v="EPER"/>
    <n v="7414000005"/>
  </r>
  <r>
    <x v="1"/>
    <m/>
    <x v="0"/>
    <m/>
    <n v="0"/>
    <m/>
    <m/>
    <m/>
    <m/>
    <m/>
    <m/>
    <m/>
    <m/>
    <m/>
    <n v="70008"/>
    <n v="9657532.8919200003"/>
    <s v="EPER"/>
    <n v="7414000005"/>
  </r>
  <r>
    <x v="1"/>
    <m/>
    <x v="0"/>
    <m/>
    <n v="0"/>
    <m/>
    <m/>
    <m/>
    <m/>
    <m/>
    <m/>
    <m/>
    <m/>
    <m/>
    <n v="26635745"/>
    <n v="96144704.780939996"/>
    <s v="EPER"/>
    <n v="7414000005"/>
  </r>
  <r>
    <x v="1"/>
    <m/>
    <x v="0"/>
    <m/>
    <n v="0"/>
    <m/>
    <m/>
    <m/>
    <m/>
    <m/>
    <m/>
    <m/>
    <m/>
    <m/>
    <n v="51055134"/>
    <n v="111800430.322932"/>
    <s v="EPER"/>
    <n v="7414000005"/>
  </r>
  <r>
    <x v="1"/>
    <m/>
    <x v="0"/>
    <m/>
    <n v="0"/>
    <m/>
    <m/>
    <m/>
    <m/>
    <m/>
    <m/>
    <m/>
    <m/>
    <m/>
    <n v="31505157"/>
    <n v="87171051.810473993"/>
    <s v="EPER"/>
    <n v="7414000005"/>
  </r>
  <r>
    <x v="1"/>
    <m/>
    <x v="0"/>
    <m/>
    <n v="0"/>
    <m/>
    <m/>
    <m/>
    <m/>
    <m/>
    <m/>
    <m/>
    <m/>
    <m/>
    <n v="445"/>
    <n v="1511.5635400000001"/>
    <s v="EPER"/>
    <n v="7414000005"/>
  </r>
  <r>
    <x v="1"/>
    <m/>
    <x v="0"/>
    <m/>
    <n v="0"/>
    <m/>
    <m/>
    <m/>
    <m/>
    <m/>
    <m/>
    <m/>
    <m/>
    <m/>
    <n v="93003"/>
    <n v="335704.74483600003"/>
    <s v="EPER"/>
    <n v="7414000005"/>
  </r>
  <r>
    <x v="1"/>
    <m/>
    <x v="0"/>
    <m/>
    <n v="0"/>
    <m/>
    <m/>
    <m/>
    <m/>
    <m/>
    <m/>
    <m/>
    <m/>
    <m/>
    <n v="319629"/>
    <n v="699922.94494199997"/>
    <s v="EPER"/>
    <n v="7414000005"/>
  </r>
  <r>
    <x v="1"/>
    <m/>
    <x v="0"/>
    <m/>
    <n v="0"/>
    <m/>
    <m/>
    <m/>
    <m/>
    <m/>
    <m/>
    <m/>
    <m/>
    <m/>
    <n v="3855790"/>
    <n v="13097239.509880001"/>
    <s v="EPER"/>
    <n v="7414000005"/>
  </r>
  <r>
    <x v="1"/>
    <m/>
    <x v="0"/>
    <m/>
    <n v="0"/>
    <m/>
    <m/>
    <m/>
    <m/>
    <m/>
    <m/>
    <m/>
    <m/>
    <m/>
    <n v="17893261"/>
    <n v="60779327.953492001"/>
    <s v="EPER"/>
    <n v="7414000005"/>
  </r>
  <r>
    <x v="1"/>
    <m/>
    <x v="0"/>
    <m/>
    <n v="0"/>
    <m/>
    <m/>
    <m/>
    <m/>
    <m/>
    <m/>
    <m/>
    <m/>
    <m/>
    <n v="2526514"/>
    <n v="8581992.0128080007"/>
    <s v="EPER"/>
    <n v="7414000005"/>
  </r>
  <r>
    <x v="1"/>
    <m/>
    <x v="0"/>
    <m/>
    <n v="0"/>
    <m/>
    <m/>
    <m/>
    <m/>
    <m/>
    <m/>
    <m/>
    <m/>
    <m/>
    <n v="9226443"/>
    <n v="31340123.241996001"/>
    <s v="EPER"/>
    <n v="7414000005"/>
  </r>
  <r>
    <x v="0"/>
    <m/>
    <x v="0"/>
    <m/>
    <m/>
    <m/>
    <m/>
    <m/>
    <m/>
    <m/>
    <m/>
    <m/>
    <m/>
    <m/>
    <n v="810288"/>
    <n v="2752363.5903360001"/>
    <s v="EPER"/>
    <n v="7414000005"/>
  </r>
  <r>
    <x v="0"/>
    <m/>
    <x v="0"/>
    <m/>
    <m/>
    <m/>
    <m/>
    <m/>
    <m/>
    <m/>
    <m/>
    <m/>
    <m/>
    <m/>
    <n v="24337589"/>
    <n v="82669240.862708002"/>
    <s v="EPER"/>
    <n v="7414000005"/>
  </r>
  <r>
    <x v="1"/>
    <s v="PPR"/>
    <x v="45"/>
    <s v="P.P.R."/>
    <n v="0"/>
    <s v="GESTIÓN "/>
    <m/>
    <m/>
    <m/>
    <m/>
    <m/>
    <m/>
    <m/>
    <m/>
    <n v="8821206"/>
    <n v="29963625.547031999"/>
    <s v="EPER"/>
    <n v="7414000005"/>
  </r>
  <r>
    <x v="1"/>
    <s v="PPR"/>
    <x v="45"/>
    <s v="P.P.R."/>
    <n v="0"/>
    <s v="GESTIÓN "/>
    <m/>
    <m/>
    <m/>
    <m/>
    <m/>
    <m/>
    <m/>
    <m/>
    <n v="3179966"/>
    <n v="10801619.469752001"/>
    <s v="EPER"/>
    <n v="7414000005"/>
  </r>
  <r>
    <x v="1"/>
    <s v="PPR"/>
    <x v="45"/>
    <s v="P.P.R."/>
    <n v="0"/>
    <s v="GESTIÓN "/>
    <m/>
    <m/>
    <m/>
    <m/>
    <m/>
    <m/>
    <m/>
    <m/>
    <n v="7796087"/>
    <n v="26481530.031164002"/>
    <s v="EPER"/>
    <n v="7414000005"/>
  </r>
  <r>
    <x v="1"/>
    <s v="PPR"/>
    <x v="45"/>
    <s v="P.P.R."/>
    <n v="0"/>
    <s v="GESTIÓN "/>
    <m/>
    <m/>
    <m/>
    <m/>
    <m/>
    <m/>
    <m/>
    <m/>
    <n v="28469656"/>
    <n v="96704930.350431994"/>
    <s v="EPER"/>
    <n v="7414000005"/>
  </r>
  <r>
    <x v="1"/>
    <m/>
    <x v="0"/>
    <m/>
    <n v="0"/>
    <m/>
    <m/>
    <m/>
    <m/>
    <m/>
    <m/>
    <m/>
    <m/>
    <m/>
    <n v="3169188"/>
    <n v="10765009.061136"/>
    <s v="EPER"/>
    <n v="7414000005"/>
  </r>
  <r>
    <x v="1"/>
    <m/>
    <x v="0"/>
    <m/>
    <n v="0"/>
    <m/>
    <m/>
    <m/>
    <m/>
    <m/>
    <m/>
    <m/>
    <m/>
    <m/>
    <n v="6320761"/>
    <n v="21470183.983491998"/>
    <s v="EPER"/>
    <n v="7414000005"/>
  </r>
  <r>
    <x v="1"/>
    <s v="OAA"/>
    <x v="46"/>
    <s v="GRUPO DANONE"/>
    <n v="1"/>
    <s v="GESTIÓN "/>
    <m/>
    <m/>
    <m/>
    <m/>
    <m/>
    <m/>
    <m/>
    <m/>
    <n v="4114455"/>
    <n v="13975865.53926"/>
    <s v="EPER"/>
    <n v="7414000005"/>
  </r>
  <r>
    <x v="1"/>
    <s v="OFRA"/>
    <x v="47"/>
    <s v="GRUPO DANONE"/>
    <n v="0"/>
    <s v="GESTIÓN "/>
    <m/>
    <m/>
    <m/>
    <m/>
    <m/>
    <m/>
    <m/>
    <m/>
    <n v="3098938"/>
    <n v="10526385.828136001"/>
    <s v="EPER"/>
    <n v="7414000005"/>
  </r>
  <r>
    <x v="1"/>
    <s v="ANAHUAC"/>
    <x v="48"/>
    <s v="ANAHUAC INVESTIGACIONES Y ESTUDIOS SUPERIORES SC  "/>
    <n v="0"/>
    <s v="GESTIÓN "/>
    <m/>
    <m/>
    <m/>
    <m/>
    <m/>
    <m/>
    <m/>
    <m/>
    <n v="2113"/>
    <n v="7177.3792359999998"/>
    <s v="EPER"/>
    <n v="7414000005"/>
  </r>
  <r>
    <x v="1"/>
    <s v="BOSECORP"/>
    <x v="49"/>
    <s v="BOSE"/>
    <n v="0"/>
    <s v="GESTIÓN "/>
    <m/>
    <m/>
    <m/>
    <m/>
    <m/>
    <m/>
    <m/>
    <m/>
    <n v="1000000"/>
    <n v="9083970"/>
    <s v="EPER"/>
    <n v="7414000005"/>
  </r>
  <r>
    <x v="1"/>
    <s v="NOMISER"/>
    <x v="50"/>
    <s v="ENVASADORA"/>
    <n v="0"/>
    <s v="GESTIÓN "/>
    <m/>
    <m/>
    <m/>
    <m/>
    <m/>
    <m/>
    <m/>
    <m/>
    <n v="0"/>
    <n v="13205115.26"/>
    <s v="EPER"/>
    <n v="7414000005"/>
  </r>
  <r>
    <x v="1"/>
    <s v="BREMBO"/>
    <x v="51"/>
    <s v="BREMBO MEXICO"/>
    <n v="0"/>
    <s v="GESTIÓN "/>
    <m/>
    <m/>
    <m/>
    <m/>
    <m/>
    <m/>
    <m/>
    <m/>
    <n v="6684001"/>
    <n v="22704027.444772001"/>
    <s v="EPER"/>
    <n v="7414000005"/>
  </r>
  <r>
    <x v="1"/>
    <s v="IEST "/>
    <x v="52"/>
    <s v="INSTITUTO DE ESTUDIOS SUPERIORES DE TAMAULIPAS A.C. CAJA DE AHORRO"/>
    <n v="0"/>
    <s v="GESTIÓN "/>
    <m/>
    <m/>
    <m/>
    <m/>
    <m/>
    <m/>
    <m/>
    <m/>
    <n v="564973"/>
    <n v="77937454.728479996"/>
    <s v="EPER"/>
    <n v="7414000005"/>
  </r>
  <r>
    <x v="1"/>
    <s v="VIDANTA"/>
    <x v="53"/>
    <s v="VIDANTA DESARROLLO VALLARTA"/>
    <n v="0"/>
    <s v="GESTIÓN "/>
    <m/>
    <m/>
    <m/>
    <m/>
    <m/>
    <m/>
    <m/>
    <m/>
    <n v="67977260"/>
    <n v="245371533.42360801"/>
    <s v="EPER"/>
    <n v="7414000005"/>
  </r>
  <r>
    <x v="1"/>
    <s v="OTISSIND"/>
    <x v="54"/>
    <s v="OTIS"/>
    <n v="6"/>
    <s v="GESTIÓN "/>
    <m/>
    <m/>
    <m/>
    <m/>
    <m/>
    <m/>
    <m/>
    <m/>
    <n v="31774811"/>
    <n v="69580417.575608"/>
    <s v="EPER"/>
    <n v="7414000005"/>
  </r>
  <r>
    <x v="1"/>
    <s v="OTISADMON"/>
    <x v="55"/>
    <s v="OTIS"/>
    <n v="1"/>
    <s v="GESTIÓN "/>
    <m/>
    <m/>
    <m/>
    <m/>
    <m/>
    <m/>
    <m/>
    <m/>
    <n v="1649846"/>
    <n v="4564929.2024539998"/>
    <s v="EPER"/>
    <n v="7414000005"/>
  </r>
  <r>
    <x v="1"/>
    <s v="EAMSIND"/>
    <x v="56"/>
    <s v="EAMSIND - Envasadoras de Aguas en México Sind"/>
    <n v="1"/>
    <s v="GESTIÓN "/>
    <m/>
    <m/>
    <m/>
    <m/>
    <m/>
    <m/>
    <m/>
    <m/>
    <n v="7712290"/>
    <n v="26196890.727880001"/>
    <s v="EPER"/>
    <n v="7414000005"/>
  </r>
  <r>
    <x v="1"/>
    <s v="EAMEMP"/>
    <x v="57"/>
    <s v="EAMEMP - Envasadoras de Aguas en México Empl"/>
    <n v="0"/>
    <s v="GESTIÓN "/>
    <m/>
    <m/>
    <m/>
    <m/>
    <m/>
    <m/>
    <m/>
    <m/>
    <n v="0"/>
    <n v="0"/>
    <s v="EPER"/>
    <n v="7414000005"/>
  </r>
  <r>
    <x v="1"/>
    <s v="CGA"/>
    <x v="58"/>
    <s v="CGA - Compañía General de Aguas"/>
    <n v="0"/>
    <s v="GESTIÓN "/>
    <m/>
    <m/>
    <m/>
    <m/>
    <m/>
    <m/>
    <m/>
    <m/>
    <n v="0"/>
    <n v="0"/>
    <s v="EPER"/>
    <n v="7414000005"/>
  </r>
  <r>
    <x v="1"/>
    <s v="BONAFONT QUIN"/>
    <x v="59"/>
    <s v="BONAFONT QUIN - BONAFONT QUIN"/>
    <n v="1"/>
    <s v="GESTIÓN "/>
    <m/>
    <m/>
    <m/>
    <m/>
    <m/>
    <m/>
    <m/>
    <m/>
    <n v="0"/>
    <n v="0"/>
    <s v="EPER"/>
    <n v="7414000005"/>
  </r>
  <r>
    <x v="1"/>
    <s v="Danone de México Q"/>
    <x v="60"/>
    <s v="Danone de México Q - Danone de México Quin"/>
    <n v="1"/>
    <s v="GESTIÓN "/>
    <m/>
    <m/>
    <m/>
    <m/>
    <m/>
    <m/>
    <m/>
    <m/>
    <n v="0"/>
    <n v="0"/>
    <s v="EPER"/>
    <n v="7414000005"/>
  </r>
  <r>
    <x v="1"/>
    <s v="La suprema"/>
    <x v="61"/>
    <s v="SUPREMA"/>
    <n v="1"/>
    <s v="GESTIÓN "/>
    <m/>
    <m/>
    <m/>
    <m/>
    <m/>
    <m/>
    <m/>
    <m/>
    <n v="2442610"/>
    <n v="244183498.42730999"/>
    <s v="EPER"/>
    <n v="7414000005"/>
  </r>
  <r>
    <x v="1"/>
    <s v="BONAFONT SEM"/>
    <x v="62"/>
    <s v="BONAFONT SEMANAL"/>
    <n v="1"/>
    <s v="GESTIÓN "/>
    <m/>
    <m/>
    <m/>
    <m/>
    <m/>
    <m/>
    <m/>
    <m/>
    <n v="2892930"/>
    <n v="26586423.031410001"/>
    <s v="EPER"/>
    <n v="7414000005"/>
  </r>
  <r>
    <x v="1"/>
    <s v="Danone de México S"/>
    <x v="63"/>
    <s v="DANONE DE MEXICO SEMANAL"/>
    <n v="1"/>
    <s v="GESTIÓN "/>
    <m/>
    <m/>
    <m/>
    <m/>
    <m/>
    <m/>
    <m/>
    <m/>
    <n v="1000000"/>
    <n v="9083970"/>
    <s v="EPER"/>
    <n v="7414000005"/>
  </r>
  <r>
    <x v="1"/>
    <s v="Bonafont Pens"/>
    <x v="64"/>
    <s v="Bonafont Pens - Bonafont Pensiones"/>
    <n v="0"/>
    <s v="GESTIÓN "/>
    <m/>
    <m/>
    <m/>
    <m/>
    <m/>
    <m/>
    <m/>
    <m/>
    <n v="1618860"/>
    <n v="14587948.937279999"/>
    <s v="EPER"/>
    <n v="7414000005"/>
  </r>
  <r>
    <x v="1"/>
    <s v="Danone Mex pensiones"/>
    <x v="65"/>
    <s v="Danone de México"/>
    <n v="0"/>
    <s v="GESTIÓN "/>
    <m/>
    <m/>
    <m/>
    <m/>
    <m/>
    <m/>
    <m/>
    <m/>
    <n v="16258930"/>
    <n v="136271799.21443"/>
    <s v="EPER"/>
    <n v="7414000005"/>
  </r>
  <r>
    <x v="1"/>
    <s v="OAA"/>
    <x v="46"/>
    <s v="DANONE OAM FDO AHORRO"/>
    <n v="1"/>
    <s v="GESTIÓN "/>
    <m/>
    <m/>
    <m/>
    <m/>
    <m/>
    <m/>
    <m/>
    <m/>
    <n v="13614860"/>
    <n v="112432398.8459"/>
    <s v="EPER"/>
    <n v="7414000005"/>
  </r>
  <r>
    <x v="1"/>
    <s v="OFR"/>
    <x v="66"/>
    <s v="DANONE OFR SINDICALIZADO FDO AHORRO"/>
    <n v="0"/>
    <s v="GESTIÓN "/>
    <m/>
    <m/>
    <m/>
    <m/>
    <m/>
    <m/>
    <m/>
    <m/>
    <n v="14326"/>
    <n v="1414410.9797739999"/>
    <s v="EPER"/>
    <n v="7414000005"/>
  </r>
  <r>
    <x v="1"/>
    <n v="1033795"/>
    <x v="67"/>
    <s v="Envasadora de Aguas Pensiones"/>
    <n v="0"/>
    <s v="GESTIÓN "/>
    <m/>
    <m/>
    <m/>
    <m/>
    <m/>
    <m/>
    <m/>
    <m/>
    <n v="66800"/>
    <n v="6629732.8663999997"/>
    <s v="EPER"/>
    <n v="7414000005"/>
  </r>
  <r>
    <x v="1"/>
    <s v="CASA LEY SAPI FA"/>
    <x v="68"/>
    <s v="CASA LEY SAPI SA DE CV (FONDO DE AHORRO) "/>
    <n v="0"/>
    <s v="GESTIÓN "/>
    <m/>
    <m/>
    <m/>
    <m/>
    <m/>
    <m/>
    <m/>
    <m/>
    <n v="255470"/>
    <n v="22659709.482810002"/>
    <s v="EPER"/>
    <n v="7414000005"/>
  </r>
  <r>
    <x v="1"/>
    <s v="CASA LEY SAPI PENS"/>
    <x v="69"/>
    <s v="CASA LEY FONDO DE AHORRO - CASA LEY SAPI SA DE CV (PLAN DE PENSION) "/>
    <n v="0"/>
    <s v="GESTIÓN "/>
    <m/>
    <m/>
    <m/>
    <m/>
    <m/>
    <m/>
    <m/>
    <m/>
    <n v="172930"/>
    <n v="16136823.22256"/>
    <s v="EPER"/>
    <n v="7414000005"/>
  </r>
  <r>
    <x v="1"/>
    <s v="CFE"/>
    <x v="70"/>
    <s v="CFEnergía"/>
    <n v="1"/>
    <s v="GESTIÓN "/>
    <m/>
    <m/>
    <m/>
    <m/>
    <m/>
    <m/>
    <m/>
    <m/>
    <n v="248346950"/>
    <n v="843577966.04540002"/>
    <s v="EPER"/>
    <n v="7414000005"/>
  </r>
  <r>
    <x v="1"/>
    <s v="61A0"/>
    <x v="71"/>
    <s v="Robert Bosch México Sistemas Automotrices, S.A. de C.V. (Fondo de Ahorro 61A0)"/>
    <n v="1"/>
    <s v="GESTIÓN "/>
    <m/>
    <m/>
    <m/>
    <m/>
    <m/>
    <m/>
    <m/>
    <m/>
    <n v="161854"/>
    <n v="125548818.49309801"/>
    <s v="EPER"/>
    <n v="7414000005"/>
  </r>
  <r>
    <x v="1"/>
    <s v="61A2"/>
    <x v="72"/>
    <s v="Robert Bosch México Sistemas Automotrices, S.A. de C.V. (Fondo de Ahorro 61A2)"/>
    <n v="1"/>
    <s v="GESTIÓN "/>
    <m/>
    <m/>
    <m/>
    <m/>
    <m/>
    <m/>
    <m/>
    <m/>
    <n v="0"/>
    <n v="0"/>
    <s v="EPER"/>
    <n v="7414000005"/>
  </r>
  <r>
    <x v="1"/>
    <s v="61C0"/>
    <x v="73"/>
    <s v="Robert Bosch México Sistemas Automotrices, S.A. de C.V. (Fondo de Ahorro 61C0)"/>
    <n v="1"/>
    <s v="GESTIÓN "/>
    <m/>
    <m/>
    <m/>
    <m/>
    <m/>
    <m/>
    <m/>
    <m/>
    <n v="19990"/>
    <n v="180134.84752000001"/>
    <s v="EPER"/>
    <n v="7414000005"/>
  </r>
  <r>
    <x v="1"/>
    <n v="1528"/>
    <x v="74"/>
    <s v="Robert Bosch México Sistemas de Seguridad, S.A. de C.V. (Fondo de Ahorro 1528)"/>
    <n v="0"/>
    <s v="GESTIÓN "/>
    <m/>
    <m/>
    <m/>
    <m/>
    <m/>
    <m/>
    <m/>
    <m/>
    <n v="521630"/>
    <n v="4371964.12213"/>
    <s v="EPER"/>
    <n v="7414000005"/>
  </r>
  <r>
    <x v="1"/>
    <s v="25D0"/>
    <x v="75"/>
    <s v="Robert Bosch México, S.A. de C.V. (Fondo de Ahorro 25D0)"/>
    <n v="1"/>
    <s v="GESTIÓN "/>
    <m/>
    <m/>
    <m/>
    <m/>
    <m/>
    <m/>
    <m/>
    <m/>
    <n v="36960"/>
    <n v="305218.08240000001"/>
    <s v="EPER"/>
    <n v="7414000005"/>
  </r>
  <r>
    <x v="1"/>
    <s v="25D1"/>
    <x v="76"/>
    <s v="Robert Bosch México, S.A. de C.V. (Fondo de Ahorro 25D1)"/>
    <n v="0"/>
    <s v="GESTIÓN "/>
    <m/>
    <m/>
    <m/>
    <m/>
    <m/>
    <m/>
    <m/>
    <m/>
    <n v="2807448"/>
    <n v="9536260.7578560002"/>
    <s v="EPER"/>
    <n v="7414000005"/>
  </r>
  <r>
    <x v="1"/>
    <s v="41D0"/>
    <x v="77"/>
    <s v="Robert Bosch Tool de México, S.A de C.V. (Fondo de Ahorro 41D0)"/>
    <n v="1"/>
    <s v="GESTIÓN "/>
    <m/>
    <m/>
    <m/>
    <m/>
    <m/>
    <m/>
    <m/>
    <m/>
    <n v="143950"/>
    <n v="14390432.61045"/>
    <s v="EPER"/>
    <n v="7414000005"/>
  </r>
  <r>
    <x v="1"/>
    <s v="61A1"/>
    <x v="78"/>
    <s v="Robert Bosch México Sistemas de Frenos, S. de R.L. de C.V. (Fondo de Ahorro 61A1)"/>
    <n v="1"/>
    <s v="GESTIÓN "/>
    <m/>
    <m/>
    <m/>
    <m/>
    <m/>
    <m/>
    <m/>
    <m/>
    <n v="801955"/>
    <n v="7488786.5086650001"/>
    <s v="EPER"/>
    <n v="7414000005"/>
  </r>
  <r>
    <x v="1"/>
    <n v="6981"/>
    <x v="79"/>
    <s v="Robert Bosch Sistemas Automotrices S.A de C.V (Fondo de Ahorro 6981)"/>
    <n v="1"/>
    <s v="GESTIÓN "/>
    <m/>
    <m/>
    <m/>
    <m/>
    <m/>
    <m/>
    <m/>
    <m/>
    <n v="472120"/>
    <n v="4338847.4804400001"/>
    <s v="EPER"/>
    <n v="7414000005"/>
  </r>
  <r>
    <x v="1"/>
    <s v="698W"/>
    <x v="80"/>
    <s v="Robert Bosch Sistemas Automotrices S.A. de C.V. (Fondo de Ahorro 698W)"/>
    <n v="0"/>
    <s v="GESTIÓN "/>
    <m/>
    <m/>
    <m/>
    <m/>
    <m/>
    <m/>
    <m/>
    <m/>
    <n v="131150"/>
    <n v="1181825.1751999999"/>
    <s v="EPER"/>
    <n v="7414000005"/>
  </r>
  <r>
    <x v="1"/>
    <s v="86F0"/>
    <x v="81"/>
    <s v="Frenados Mexicanos, S.A. de C.V. (Fondo de Ahorro 86F0)"/>
    <n v="0"/>
    <s v="GESTIÓN "/>
    <m/>
    <m/>
    <m/>
    <m/>
    <m/>
    <m/>
    <m/>
    <m/>
    <n v="653750"/>
    <n v="5479308.2162499996"/>
    <s v="EPER"/>
    <n v="7414000005"/>
  </r>
  <r>
    <x v="1"/>
    <s v="904W"/>
    <x v="82"/>
    <s v="Robert Bosch S de RL de CV (Fondo de Ahorro 904W)"/>
    <n v="1"/>
    <s v="GESTIÓN "/>
    <m/>
    <m/>
    <m/>
    <m/>
    <m/>
    <m/>
    <m/>
    <m/>
    <n v="2051710"/>
    <n v="16943154.54115"/>
    <s v="EPER"/>
    <n v="7414000005"/>
  </r>
  <r>
    <x v="1"/>
    <s v="MX10"/>
    <x v="83"/>
    <s v="Bosch Rexroth S.A. de C.V. (Fondo de Ahorro MX10)"/>
    <n v="0"/>
    <s v="GESTIÓN "/>
    <m/>
    <m/>
    <m/>
    <m/>
    <m/>
    <m/>
    <m/>
    <m/>
    <n v="2729"/>
    <n v="269435.12242099998"/>
    <s v="EPER"/>
    <n v="7414000005"/>
  </r>
  <r>
    <x v="1"/>
    <s v="BSH"/>
    <x v="84"/>
    <s v="BSH Home Appliances, S.A de C.V. (Fondo de Ahorro"/>
    <n v="0"/>
    <s v="GESTIÓN "/>
    <m/>
    <m/>
    <m/>
    <m/>
    <m/>
    <m/>
    <m/>
    <m/>
    <n v="30"/>
    <n v="2977.4249399999999"/>
    <s v="EPER"/>
    <n v="7414000005"/>
  </r>
  <r>
    <x v="1"/>
    <s v="Alpamayo"/>
    <x v="85"/>
    <s v="Inmobiliaria Alpamayo, S.A. de C.V"/>
    <n v="0"/>
    <s v="GESTIÓN "/>
    <m/>
    <m/>
    <m/>
    <m/>
    <m/>
    <m/>
    <m/>
    <m/>
    <n v="45561"/>
    <n v="4041175.1820029998"/>
    <s v="EPER"/>
    <n v="7414000005"/>
  </r>
  <r>
    <x v="1"/>
    <s v="QUE1"/>
    <x v="86"/>
    <s v="Bosch Rexroth, S.A. de C.V. (Fondo de Ahorro QUE1)"/>
    <n v="0"/>
    <s v="GESTIÓN "/>
    <m/>
    <m/>
    <m/>
    <m/>
    <m/>
    <m/>
    <m/>
    <m/>
    <n v="10550"/>
    <n v="984464.72560000001"/>
    <s v="EPER"/>
    <n v="7414000005"/>
  </r>
  <r>
    <x v="1"/>
    <m/>
    <x v="0"/>
    <m/>
    <n v="0"/>
    <m/>
    <m/>
    <m/>
    <m/>
    <m/>
    <m/>
    <m/>
    <m/>
    <m/>
    <n v="8085105"/>
    <n v="27463258.28105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9642"/>
    <n v="7479220.2102539996"/>
    <s v="EPER"/>
    <n v="7414000005"/>
  </r>
  <r>
    <x v="1"/>
    <m/>
    <x v="0"/>
    <m/>
    <n v="0"/>
    <m/>
    <m/>
    <m/>
    <m/>
    <m/>
    <m/>
    <m/>
    <m/>
    <m/>
    <n v="0"/>
    <n v="27265.21"/>
    <s v="EPER"/>
    <n v="7414000005"/>
  </r>
  <r>
    <x v="1"/>
    <m/>
    <x v="0"/>
    <m/>
    <n v="0"/>
    <m/>
    <m/>
    <m/>
    <m/>
    <m/>
    <m/>
    <m/>
    <m/>
    <m/>
    <n v="14805927"/>
    <n v="52831071.346625999"/>
    <s v="EPER"/>
    <n v="7414000005"/>
  </r>
  <r>
    <x v="1"/>
    <m/>
    <x v="0"/>
    <m/>
    <n v="0"/>
    <m/>
    <m/>
    <m/>
    <m/>
    <m/>
    <m/>
    <m/>
    <m/>
    <m/>
    <n v="13866"/>
    <n v="50097.594546"/>
    <s v="EPER"/>
    <n v="7414000005"/>
  </r>
  <r>
    <x v="1"/>
    <m/>
    <x v="0"/>
    <m/>
    <n v="0"/>
    <m/>
    <m/>
    <m/>
    <m/>
    <m/>
    <m/>
    <m/>
    <m/>
    <m/>
    <n v="68123"/>
    <n v="9336046.9224219993"/>
    <s v="EPER"/>
    <n v="7414000005"/>
  </r>
  <r>
    <x v="1"/>
    <m/>
    <x v="0"/>
    <m/>
    <n v="0"/>
    <m/>
    <m/>
    <m/>
    <m/>
    <m/>
    <m/>
    <m/>
    <m/>
    <m/>
    <n v="1931031"/>
    <n v="7022186.5073760003"/>
    <s v="EPER"/>
    <n v="7414000005"/>
  </r>
  <r>
    <x v="1"/>
    <m/>
    <x v="0"/>
    <m/>
    <n v="0"/>
    <m/>
    <m/>
    <m/>
    <m/>
    <m/>
    <m/>
    <m/>
    <m/>
    <m/>
    <n v="3951965"/>
    <n v="8423629.2053599991"/>
    <s v="EPER"/>
    <n v="7414000005"/>
  </r>
  <r>
    <x v="1"/>
    <m/>
    <x v="0"/>
    <m/>
    <n v="0"/>
    <m/>
    <m/>
    <m/>
    <m/>
    <m/>
    <m/>
    <m/>
    <m/>
    <m/>
    <n v="90365"/>
    <n v="254370.697625"/>
    <s v="EPER"/>
    <n v="7414000005"/>
  </r>
  <r>
    <x v="1"/>
    <m/>
    <x v="0"/>
    <m/>
    <n v="0"/>
    <m/>
    <m/>
    <m/>
    <m/>
    <m/>
    <m/>
    <m/>
    <m/>
    <m/>
    <n v="21987"/>
    <n v="79438.613247000001"/>
    <s v="EPER"/>
    <n v="7414000005"/>
  </r>
  <r>
    <x v="1"/>
    <m/>
    <x v="0"/>
    <m/>
    <n v="0"/>
    <m/>
    <m/>
    <m/>
    <m/>
    <m/>
    <m/>
    <m/>
    <m/>
    <m/>
    <n v="158128"/>
    <n v="21670954.416992001"/>
    <s v="EPER"/>
    <n v="7414000005"/>
  </r>
  <r>
    <x v="1"/>
    <m/>
    <x v="0"/>
    <m/>
    <n v="0"/>
    <m/>
    <m/>
    <m/>
    <m/>
    <m/>
    <m/>
    <m/>
    <m/>
    <m/>
    <n v="4705909"/>
    <n v="17113019.254864"/>
    <s v="EPER"/>
    <n v="7414000005"/>
  </r>
  <r>
    <x v="1"/>
    <m/>
    <x v="0"/>
    <m/>
    <n v="0"/>
    <m/>
    <m/>
    <m/>
    <m/>
    <m/>
    <m/>
    <m/>
    <m/>
    <m/>
    <n v="8549913"/>
    <n v="18224173.759151999"/>
    <s v="EPER"/>
    <n v="7414000005"/>
  </r>
  <r>
    <x v="1"/>
    <m/>
    <x v="0"/>
    <m/>
    <n v="0"/>
    <m/>
    <m/>
    <m/>
    <m/>
    <m/>
    <m/>
    <m/>
    <m/>
    <m/>
    <n v="197157"/>
    <n v="554982.16822500003"/>
    <s v="EPER"/>
    <n v="7414000005"/>
  </r>
  <r>
    <x v="1"/>
    <m/>
    <x v="0"/>
    <m/>
    <n v="0"/>
    <m/>
    <m/>
    <m/>
    <m/>
    <m/>
    <m/>
    <m/>
    <m/>
    <m/>
    <n v="9555686"/>
    <n v="32458486.645592"/>
    <s v="EPER"/>
    <n v="7414000005"/>
  </r>
  <r>
    <x v="1"/>
    <m/>
    <x v="0"/>
    <m/>
    <n v="0"/>
    <m/>
    <m/>
    <m/>
    <m/>
    <m/>
    <m/>
    <m/>
    <m/>
    <m/>
    <n v="15625451"/>
    <n v="60677282.588533998"/>
    <s v="EPER"/>
    <n v="7414000005"/>
  </r>
  <r>
    <x v="1"/>
    <m/>
    <x v="0"/>
    <m/>
    <n v="0"/>
    <m/>
    <m/>
    <m/>
    <m/>
    <m/>
    <m/>
    <m/>
    <m/>
    <m/>
    <n v="0"/>
    <n v="55443949.5"/>
    <s v="EPER"/>
    <n v="7414000005"/>
  </r>
  <r>
    <x v="1"/>
    <m/>
    <x v="0"/>
    <m/>
    <n v="0"/>
    <m/>
    <m/>
    <m/>
    <m/>
    <m/>
    <m/>
    <m/>
    <m/>
    <m/>
    <n v="7629"/>
    <n v="757159.16224199999"/>
    <s v="EPER"/>
    <n v="7414000005"/>
  </r>
  <r>
    <x v="1"/>
    <m/>
    <x v="0"/>
    <m/>
    <n v="0"/>
    <m/>
    <m/>
    <m/>
    <m/>
    <m/>
    <m/>
    <m/>
    <m/>
    <m/>
    <n v="160"/>
    <n v="14705.89136"/>
    <s v="EPER"/>
    <n v="7414000005"/>
  </r>
  <r>
    <x v="1"/>
    <m/>
    <x v="0"/>
    <m/>
    <n v="0"/>
    <m/>
    <m/>
    <m/>
    <m/>
    <m/>
    <m/>
    <m/>
    <m/>
    <m/>
    <n v="4160"/>
    <n v="388187.03872000001"/>
    <s v="EPER"/>
    <n v="7414000005"/>
  </r>
  <r>
    <x v="1"/>
    <m/>
    <x v="0"/>
    <m/>
    <n v="0"/>
    <m/>
    <m/>
    <m/>
    <m/>
    <m/>
    <m/>
    <m/>
    <m/>
    <m/>
    <n v="10190"/>
    <n v="966726.89983000001"/>
    <s v="EPER"/>
    <n v="7414000005"/>
  </r>
  <r>
    <x v="1"/>
    <m/>
    <x v="0"/>
    <m/>
    <n v="0"/>
    <m/>
    <m/>
    <m/>
    <m/>
    <m/>
    <m/>
    <m/>
    <m/>
    <m/>
    <n v="4540"/>
    <n v="406282.17109999998"/>
    <s v="EPER"/>
    <n v="7414000005"/>
  </r>
  <r>
    <x v="1"/>
    <m/>
    <x v="0"/>
    <m/>
    <n v="0"/>
    <m/>
    <m/>
    <m/>
    <m/>
    <m/>
    <m/>
    <m/>
    <m/>
    <m/>
    <n v="15768"/>
    <n v="1599678.831888"/>
    <s v="EPER"/>
    <n v="7414000005"/>
  </r>
  <r>
    <x v="1"/>
    <m/>
    <x v="0"/>
    <m/>
    <n v="0"/>
    <m/>
    <m/>
    <m/>
    <m/>
    <m/>
    <m/>
    <m/>
    <m/>
    <m/>
    <n v="1866"/>
    <n v="167274.158952"/>
    <s v="EPER"/>
    <n v="7414000005"/>
  </r>
  <r>
    <x v="1"/>
    <m/>
    <x v="0"/>
    <m/>
    <n v="0"/>
    <m/>
    <m/>
    <m/>
    <m/>
    <m/>
    <m/>
    <m/>
    <m/>
    <m/>
    <n v="985"/>
    <n v="80512.777100000007"/>
    <s v="EPER"/>
    <n v="7414000005"/>
  </r>
  <r>
    <x v="1"/>
    <m/>
    <x v="0"/>
    <m/>
    <n v="0"/>
    <m/>
    <m/>
    <m/>
    <m/>
    <m/>
    <m/>
    <m/>
    <m/>
    <m/>
    <n v="9218"/>
    <n v="766944.61489800003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37609"/>
    <n v="106742171.117283"/>
    <s v="EPER"/>
    <n v="7414000005"/>
  </r>
  <r>
    <x v="1"/>
    <m/>
    <x v="0"/>
    <m/>
    <n v="0"/>
    <m/>
    <m/>
    <m/>
    <m/>
    <m/>
    <m/>
    <m/>
    <m/>
    <m/>
    <n v="30479"/>
    <n v="22773251.428927999"/>
    <s v="EPER"/>
    <n v="7414000005"/>
  </r>
  <r>
    <x v="1"/>
    <m/>
    <x v="0"/>
    <m/>
    <n v="0"/>
    <m/>
    <m/>
    <m/>
    <m/>
    <m/>
    <m/>
    <m/>
    <m/>
    <m/>
    <n v="65"/>
    <n v="49785.052394999999"/>
    <s v="EPER"/>
    <n v="7414000005"/>
  </r>
  <r>
    <x v="1"/>
    <m/>
    <x v="0"/>
    <m/>
    <n v="0"/>
    <m/>
    <m/>
    <m/>
    <m/>
    <m/>
    <m/>
    <m/>
    <m/>
    <m/>
    <n v="57"/>
    <n v="39038.682006000003"/>
    <s v="EPER"/>
    <n v="7414000005"/>
  </r>
  <r>
    <x v="1"/>
    <m/>
    <x v="0"/>
    <m/>
    <n v="0"/>
    <m/>
    <m/>
    <m/>
    <m/>
    <m/>
    <m/>
    <m/>
    <m/>
    <m/>
    <n v="26"/>
    <n v="20096.10109"/>
    <s v="EPER"/>
    <n v="7414000005"/>
  </r>
  <r>
    <x v="1"/>
    <m/>
    <x v="0"/>
    <m/>
    <n v="0"/>
    <m/>
    <m/>
    <m/>
    <m/>
    <m/>
    <m/>
    <m/>
    <m/>
    <m/>
    <n v="3"/>
    <n v="2164.7839199999999"/>
    <s v="EPER"/>
    <n v="7414000005"/>
  </r>
  <r>
    <x v="1"/>
    <m/>
    <x v="0"/>
    <m/>
    <n v="0"/>
    <m/>
    <m/>
    <m/>
    <m/>
    <m/>
    <m/>
    <m/>
    <m/>
    <m/>
    <n v="44"/>
    <n v="27982.377236"/>
    <s v="EPER"/>
    <n v="7414000005"/>
  </r>
  <r>
    <x v="1"/>
    <m/>
    <x v="0"/>
    <m/>
    <n v="0"/>
    <m/>
    <m/>
    <m/>
    <m/>
    <m/>
    <m/>
    <m/>
    <m/>
    <m/>
    <n v="42"/>
    <n v="29793.529122"/>
    <s v="EPER"/>
    <n v="7414000005"/>
  </r>
  <r>
    <x v="1"/>
    <m/>
    <x v="0"/>
    <m/>
    <n v="0"/>
    <m/>
    <m/>
    <m/>
    <m/>
    <m/>
    <m/>
    <m/>
    <m/>
    <m/>
    <n v="14"/>
    <n v="9721.7566179999994"/>
    <s v="EPER"/>
    <n v="7414000005"/>
  </r>
  <r>
    <x v="1"/>
    <m/>
    <x v="0"/>
    <m/>
    <n v="0"/>
    <m/>
    <m/>
    <m/>
    <m/>
    <m/>
    <m/>
    <m/>
    <m/>
    <m/>
    <n v="4018547"/>
    <n v="13650087.930283999"/>
    <s v="EPER"/>
    <n v="7414000005"/>
  </r>
  <r>
    <x v="1"/>
    <m/>
    <x v="0"/>
    <m/>
    <n v="0"/>
    <m/>
    <m/>
    <m/>
    <m/>
    <m/>
    <m/>
    <m/>
    <m/>
    <m/>
    <n v="338000000"/>
    <n v="712145044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610"/>
    <n v="59569.196810000001"/>
    <s v="EPER"/>
    <n v="7414000005"/>
  </r>
  <r>
    <x v="1"/>
    <m/>
    <x v="0"/>
    <m/>
    <n v="0"/>
    <m/>
    <m/>
    <m/>
    <m/>
    <m/>
    <m/>
    <m/>
    <m/>
    <m/>
    <n v="129882"/>
    <n v="1233046.196616"/>
    <s v="EPER"/>
    <n v="7414000005"/>
  </r>
  <r>
    <x v="1"/>
    <m/>
    <x v="0"/>
    <m/>
    <n v="0"/>
    <m/>
    <m/>
    <m/>
    <m/>
    <m/>
    <m/>
    <m/>
    <m/>
    <m/>
    <n v="176890"/>
    <n v="1651827.65307"/>
    <s v="EPER"/>
    <n v="7414000005"/>
  </r>
  <r>
    <x v="1"/>
    <m/>
    <x v="0"/>
    <m/>
    <n v="0"/>
    <m/>
    <m/>
    <m/>
    <m/>
    <m/>
    <m/>
    <m/>
    <m/>
    <m/>
    <n v="7559"/>
    <n v="746302.70809099998"/>
    <s v="EPER"/>
    <n v="7414000005"/>
  </r>
  <r>
    <x v="1"/>
    <m/>
    <x v="0"/>
    <m/>
    <n v="0"/>
    <m/>
    <m/>
    <m/>
    <m/>
    <m/>
    <m/>
    <m/>
    <m/>
    <m/>
    <n v="9263"/>
    <n v="919329.57397400006"/>
    <s v="EPER"/>
    <n v="7414000005"/>
  </r>
  <r>
    <x v="1"/>
    <m/>
    <x v="0"/>
    <m/>
    <n v="0"/>
    <m/>
    <m/>
    <m/>
    <m/>
    <m/>
    <m/>
    <m/>
    <m/>
    <m/>
    <n v="3060"/>
    <n v="290617.82981999998"/>
    <s v="EPER"/>
    <n v="7414000005"/>
  </r>
  <r>
    <x v="1"/>
    <m/>
    <x v="0"/>
    <m/>
    <n v="0"/>
    <m/>
    <m/>
    <m/>
    <m/>
    <m/>
    <m/>
    <m/>
    <m/>
    <m/>
    <n v="10331"/>
    <n v="949541.02275100001"/>
    <s v="EPER"/>
    <n v="7414000005"/>
  </r>
  <r>
    <x v="1"/>
    <m/>
    <x v="0"/>
    <m/>
    <n v="0"/>
    <m/>
    <m/>
    <m/>
    <m/>
    <m/>
    <m/>
    <m/>
    <m/>
    <m/>
    <n v="5390"/>
    <n v="501024.77117000002"/>
    <s v="EPER"/>
    <n v="7414000005"/>
  </r>
  <r>
    <x v="1"/>
    <m/>
    <x v="0"/>
    <m/>
    <n v="0"/>
    <m/>
    <m/>
    <m/>
    <m/>
    <m/>
    <m/>
    <m/>
    <m/>
    <m/>
    <n v="5354"/>
    <n v="474889.75054199999"/>
    <s v="EPER"/>
    <n v="7414000005"/>
  </r>
  <r>
    <x v="1"/>
    <m/>
    <x v="0"/>
    <m/>
    <n v="0"/>
    <m/>
    <m/>
    <m/>
    <m/>
    <m/>
    <m/>
    <m/>
    <m/>
    <m/>
    <n v="10230"/>
    <n v="954604.18415999995"/>
    <s v="EPER"/>
    <n v="7414000005"/>
  </r>
  <r>
    <x v="1"/>
    <m/>
    <x v="0"/>
    <m/>
    <n v="0"/>
    <m/>
    <m/>
    <m/>
    <m/>
    <m/>
    <m/>
    <m/>
    <m/>
    <m/>
    <n v="9410"/>
    <n v="892671.82088000001"/>
    <s v="EPER"/>
    <n v="7414000005"/>
  </r>
  <r>
    <x v="1"/>
    <m/>
    <x v="0"/>
    <m/>
    <n v="0"/>
    <m/>
    <m/>
    <m/>
    <m/>
    <m/>
    <m/>
    <m/>
    <m/>
    <m/>
    <n v="46161"/>
    <n v="4379301.3172770003"/>
    <s v="EPER"/>
    <n v="7414000005"/>
  </r>
  <r>
    <x v="1"/>
    <m/>
    <x v="0"/>
    <m/>
    <n v="0"/>
    <m/>
    <m/>
    <m/>
    <m/>
    <m/>
    <m/>
    <m/>
    <m/>
    <m/>
    <n v="12537"/>
    <n v="1121929.422705"/>
    <s v="EPER"/>
    <n v="7414000005"/>
  </r>
  <r>
    <x v="1"/>
    <m/>
    <x v="0"/>
    <m/>
    <n v="0"/>
    <m/>
    <m/>
    <m/>
    <m/>
    <m/>
    <m/>
    <m/>
    <m/>
    <m/>
    <n v="24530"/>
    <n v="2114415.54984"/>
    <s v="EPER"/>
    <n v="7414000005"/>
  </r>
  <r>
    <x v="1"/>
    <m/>
    <x v="0"/>
    <m/>
    <n v="0"/>
    <m/>
    <m/>
    <m/>
    <m/>
    <m/>
    <m/>
    <m/>
    <m/>
    <m/>
    <n v="14897"/>
    <n v="1288133.9665379999"/>
    <s v="EPER"/>
    <n v="7414000005"/>
  </r>
  <r>
    <x v="1"/>
    <m/>
    <x v="0"/>
    <m/>
    <n v="0"/>
    <m/>
    <m/>
    <m/>
    <m/>
    <m/>
    <m/>
    <m/>
    <m/>
    <m/>
    <n v="863"/>
    <n v="87552.183657999994"/>
    <s v="EPER"/>
    <n v="7414000005"/>
  </r>
  <r>
    <x v="1"/>
    <m/>
    <x v="0"/>
    <m/>
    <n v="0"/>
    <m/>
    <m/>
    <m/>
    <m/>
    <m/>
    <m/>
    <m/>
    <m/>
    <m/>
    <n v="735"/>
    <n v="65887.731419999996"/>
    <s v="EPER"/>
    <n v="7414000005"/>
  </r>
  <r>
    <x v="1"/>
    <m/>
    <x v="0"/>
    <m/>
    <n v="0"/>
    <m/>
    <m/>
    <m/>
    <m/>
    <m/>
    <m/>
    <m/>
    <m/>
    <m/>
    <n v="16762"/>
    <n v="1370106.7713200001"/>
    <s v="EPER"/>
    <n v="7414000005"/>
  </r>
  <r>
    <x v="1"/>
    <m/>
    <x v="0"/>
    <m/>
    <n v="0"/>
    <m/>
    <m/>
    <m/>
    <m/>
    <m/>
    <m/>
    <m/>
    <m/>
    <m/>
    <n v="3135"/>
    <n v="260834.38573499999"/>
    <s v="EPER"/>
    <n v="7414000005"/>
  </r>
  <r>
    <x v="1"/>
    <m/>
    <x v="0"/>
    <m/>
    <n v="0"/>
    <m/>
    <m/>
    <m/>
    <m/>
    <m/>
    <m/>
    <m/>
    <m/>
    <m/>
    <n v="28277"/>
    <n v="2323235.690239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1690"/>
    <n v="2125789.91946"/>
    <s v="EPER"/>
    <n v="7414000005"/>
  </r>
  <r>
    <x v="1"/>
    <m/>
    <x v="0"/>
    <m/>
    <n v="0"/>
    <m/>
    <m/>
    <m/>
    <m/>
    <m/>
    <m/>
    <m/>
    <m/>
    <m/>
    <n v="4188210"/>
    <n v="13146958.7184"/>
    <s v="EPER"/>
    <n v="7414000005"/>
  </r>
  <r>
    <x v="1"/>
    <m/>
    <x v="0"/>
    <m/>
    <n v="0"/>
    <m/>
    <m/>
    <m/>
    <m/>
    <m/>
    <m/>
    <m/>
    <m/>
    <m/>
    <n v="847437"/>
    <n v="2878550.273364"/>
    <s v="EPER"/>
    <n v="7414000005"/>
  </r>
  <r>
    <x v="1"/>
    <m/>
    <x v="0"/>
    <m/>
    <n v="0"/>
    <m/>
    <m/>
    <m/>
    <m/>
    <m/>
    <m/>
    <m/>
    <m/>
    <m/>
    <n v="2308"/>
    <n v="1790296.6443960001"/>
    <s v="EPER"/>
    <n v="7414000005"/>
  </r>
  <r>
    <x v="1"/>
    <m/>
    <x v="0"/>
    <m/>
    <n v="0"/>
    <m/>
    <m/>
    <m/>
    <m/>
    <m/>
    <m/>
    <m/>
    <m/>
    <m/>
    <n v="3687"/>
    <n v="2754846.8787839999"/>
    <s v="EPER"/>
    <n v="7414000005"/>
  </r>
  <r>
    <x v="1"/>
    <m/>
    <x v="0"/>
    <m/>
    <n v="0"/>
    <m/>
    <m/>
    <m/>
    <m/>
    <m/>
    <m/>
    <m/>
    <m/>
    <m/>
    <n v="1155"/>
    <n v="884642.08486499998"/>
    <s v="EPER"/>
    <n v="7414000005"/>
  </r>
  <r>
    <x v="1"/>
    <m/>
    <x v="0"/>
    <m/>
    <n v="0"/>
    <m/>
    <m/>
    <m/>
    <m/>
    <m/>
    <m/>
    <m/>
    <m/>
    <m/>
    <n v="2111"/>
    <n v="1445801.012538"/>
    <s v="EPER"/>
    <n v="7414000005"/>
  </r>
  <r>
    <x v="1"/>
    <m/>
    <x v="0"/>
    <m/>
    <n v="0"/>
    <m/>
    <m/>
    <m/>
    <m/>
    <m/>
    <m/>
    <m/>
    <m/>
    <m/>
    <n v="1208"/>
    <n v="933695.77372000006"/>
    <s v="EPER"/>
    <n v="7414000005"/>
  </r>
  <r>
    <x v="1"/>
    <m/>
    <x v="0"/>
    <m/>
    <n v="0"/>
    <m/>
    <m/>
    <m/>
    <m/>
    <m/>
    <m/>
    <m/>
    <m/>
    <m/>
    <n v="1315"/>
    <n v="948896.95160000003"/>
    <s v="EPER"/>
    <n v="7414000005"/>
  </r>
  <r>
    <x v="1"/>
    <m/>
    <x v="0"/>
    <m/>
    <n v="0"/>
    <m/>
    <m/>
    <m/>
    <m/>
    <m/>
    <m/>
    <m/>
    <m/>
    <m/>
    <n v="703"/>
    <n v="447082.07265699998"/>
    <s v="EPER"/>
    <n v="7414000005"/>
  </r>
  <r>
    <x v="1"/>
    <m/>
    <x v="0"/>
    <m/>
    <n v="0"/>
    <m/>
    <m/>
    <m/>
    <m/>
    <m/>
    <m/>
    <m/>
    <m/>
    <m/>
    <n v="1585"/>
    <n v="1124351.0394850001"/>
    <s v="EPER"/>
    <n v="7414000005"/>
  </r>
  <r>
    <x v="1"/>
    <m/>
    <x v="0"/>
    <m/>
    <n v="0"/>
    <m/>
    <m/>
    <m/>
    <m/>
    <m/>
    <m/>
    <m/>
    <m/>
    <m/>
    <n v="2848"/>
    <n v="1977683.060576"/>
    <s v="EPER"/>
    <n v="7414000005"/>
  </r>
  <r>
    <x v="1"/>
    <m/>
    <x v="0"/>
    <m/>
    <n v="0"/>
    <m/>
    <m/>
    <m/>
    <m/>
    <m/>
    <m/>
    <m/>
    <m/>
    <m/>
    <n v="517"/>
    <n v="50487.335657000003"/>
    <s v="EPER"/>
    <n v="7414000005"/>
  </r>
  <r>
    <x v="1"/>
    <m/>
    <x v="0"/>
    <m/>
    <n v="0"/>
    <m/>
    <m/>
    <m/>
    <m/>
    <m/>
    <m/>
    <m/>
    <m/>
    <m/>
    <n v="111169"/>
    <n v="1055392.6843719999"/>
    <s v="EPER"/>
    <n v="7414000005"/>
  </r>
  <r>
    <x v="1"/>
    <m/>
    <x v="0"/>
    <m/>
    <n v="0"/>
    <m/>
    <m/>
    <m/>
    <m/>
    <m/>
    <m/>
    <m/>
    <m/>
    <m/>
    <n v="151380"/>
    <n v="1413611.11494"/>
    <s v="EPER"/>
    <n v="7414000005"/>
  </r>
  <r>
    <x v="1"/>
    <m/>
    <x v="0"/>
    <m/>
    <n v="0"/>
    <m/>
    <m/>
    <m/>
    <m/>
    <m/>
    <m/>
    <m/>
    <m/>
    <m/>
    <n v="6408"/>
    <n v="632664.07639199996"/>
    <s v="EPER"/>
    <n v="7414000005"/>
  </r>
  <r>
    <x v="1"/>
    <m/>
    <x v="0"/>
    <m/>
    <n v="0"/>
    <m/>
    <m/>
    <m/>
    <m/>
    <m/>
    <m/>
    <m/>
    <m/>
    <m/>
    <n v="7929"/>
    <n v="786933.41164199996"/>
    <s v="EPER"/>
    <n v="7414000005"/>
  </r>
  <r>
    <x v="1"/>
    <m/>
    <x v="0"/>
    <m/>
    <n v="0"/>
    <m/>
    <m/>
    <m/>
    <m/>
    <m/>
    <m/>
    <m/>
    <m/>
    <m/>
    <n v="2610"/>
    <n v="247879.91367000001"/>
    <s v="EPER"/>
    <n v="7414000005"/>
  </r>
  <r>
    <x v="1"/>
    <m/>
    <x v="0"/>
    <m/>
    <n v="0"/>
    <m/>
    <m/>
    <m/>
    <m/>
    <m/>
    <m/>
    <m/>
    <m/>
    <m/>
    <n v="8849"/>
    <n v="813327.70402900001"/>
    <s v="EPER"/>
    <n v="7414000005"/>
  </r>
  <r>
    <x v="1"/>
    <m/>
    <x v="0"/>
    <m/>
    <n v="0"/>
    <m/>
    <m/>
    <m/>
    <m/>
    <m/>
    <m/>
    <m/>
    <m/>
    <m/>
    <n v="4630"/>
    <n v="430379.34889000002"/>
    <s v="EPER"/>
    <n v="7414000005"/>
  </r>
  <r>
    <x v="1"/>
    <m/>
    <x v="0"/>
    <m/>
    <n v="0"/>
    <m/>
    <m/>
    <m/>
    <m/>
    <m/>
    <m/>
    <m/>
    <m/>
    <m/>
    <n v="4584"/>
    <n v="406592.195832"/>
    <s v="EPER"/>
    <n v="7414000005"/>
  </r>
  <r>
    <x v="1"/>
    <m/>
    <x v="0"/>
    <m/>
    <n v="0"/>
    <m/>
    <m/>
    <m/>
    <m/>
    <m/>
    <m/>
    <m/>
    <m/>
    <m/>
    <n v="8740"/>
    <n v="815566.03807999997"/>
    <s v="EPER"/>
    <n v="7414000005"/>
  </r>
  <r>
    <x v="1"/>
    <m/>
    <x v="0"/>
    <m/>
    <n v="0"/>
    <m/>
    <m/>
    <m/>
    <m/>
    <m/>
    <m/>
    <m/>
    <m/>
    <m/>
    <n v="8050"/>
    <n v="763656.55240000004"/>
    <s v="EPER"/>
    <n v="7414000005"/>
  </r>
  <r>
    <x v="1"/>
    <m/>
    <x v="0"/>
    <m/>
    <n v="0"/>
    <m/>
    <m/>
    <m/>
    <m/>
    <m/>
    <m/>
    <m/>
    <m/>
    <m/>
    <n v="22164"/>
    <n v="2102702.1597480001"/>
    <s v="EPER"/>
    <n v="7414000005"/>
  </r>
  <r>
    <x v="1"/>
    <m/>
    <x v="0"/>
    <m/>
    <n v="0"/>
    <m/>
    <m/>
    <m/>
    <m/>
    <m/>
    <m/>
    <m/>
    <m/>
    <m/>
    <n v="8482"/>
    <n v="759049.64213000005"/>
    <s v="EPER"/>
    <n v="7414000005"/>
  </r>
  <r>
    <x v="1"/>
    <m/>
    <x v="0"/>
    <m/>
    <n v="0"/>
    <m/>
    <m/>
    <m/>
    <m/>
    <m/>
    <m/>
    <m/>
    <m/>
    <m/>
    <n v="18360"/>
    <n v="1582579.2700799999"/>
    <s v="EPER"/>
    <n v="7414000005"/>
  </r>
  <r>
    <x v="1"/>
    <m/>
    <x v="0"/>
    <m/>
    <n v="0"/>
    <m/>
    <m/>
    <m/>
    <m/>
    <m/>
    <m/>
    <m/>
    <m/>
    <m/>
    <n v="20994"/>
    <n v="1815337.617876"/>
    <s v="EPER"/>
    <n v="7414000005"/>
  </r>
  <r>
    <x v="1"/>
    <m/>
    <x v="0"/>
    <m/>
    <n v="0"/>
    <m/>
    <m/>
    <m/>
    <m/>
    <m/>
    <m/>
    <m/>
    <m/>
    <m/>
    <n v="739"/>
    <n v="74972.263873999997"/>
    <s v="EPER"/>
    <n v="7414000005"/>
  </r>
  <r>
    <x v="1"/>
    <m/>
    <x v="0"/>
    <m/>
    <n v="0"/>
    <m/>
    <m/>
    <m/>
    <m/>
    <m/>
    <m/>
    <m/>
    <m/>
    <m/>
    <n v="634"/>
    <n v="56833.771048000002"/>
    <s v="EPER"/>
    <n v="7414000005"/>
  </r>
  <r>
    <x v="1"/>
    <m/>
    <x v="0"/>
    <m/>
    <n v="0"/>
    <m/>
    <m/>
    <m/>
    <m/>
    <m/>
    <m/>
    <m/>
    <m/>
    <m/>
    <n v="15271"/>
    <n v="1248234.13106"/>
    <s v="EPER"/>
    <n v="7414000005"/>
  </r>
  <r>
    <x v="1"/>
    <m/>
    <x v="0"/>
    <m/>
    <n v="0"/>
    <m/>
    <m/>
    <m/>
    <m/>
    <m/>
    <m/>
    <m/>
    <m/>
    <m/>
    <n v="3549"/>
    <n v="295279.50078900001"/>
    <s v="EPER"/>
    <n v="7414000005"/>
  </r>
  <r>
    <x v="1"/>
    <m/>
    <x v="0"/>
    <m/>
    <n v="0"/>
    <m/>
    <m/>
    <m/>
    <m/>
    <m/>
    <m/>
    <m/>
    <m/>
    <m/>
    <n v="25610"/>
    <n v="2104115.2182700001"/>
    <s v="EPER"/>
    <n v="7414000005"/>
  </r>
  <r>
    <x v="1"/>
    <m/>
    <x v="0"/>
    <m/>
    <n v="0"/>
    <m/>
    <m/>
    <m/>
    <m/>
    <m/>
    <m/>
    <m/>
    <m/>
    <m/>
    <n v="18558"/>
    <n v="1818829.383372"/>
    <s v="EPER"/>
    <n v="7414000005"/>
  </r>
  <r>
    <x v="1"/>
    <m/>
    <x v="0"/>
    <m/>
    <n v="0"/>
    <m/>
    <m/>
    <m/>
    <m/>
    <m/>
    <m/>
    <m/>
    <m/>
    <m/>
    <n v="3582960"/>
    <n v="11247054.758400001"/>
    <s v="EPER"/>
    <n v="7414000005"/>
  </r>
  <r>
    <x v="1"/>
    <m/>
    <x v="0"/>
    <m/>
    <n v="0"/>
    <m/>
    <m/>
    <m/>
    <m/>
    <m/>
    <m/>
    <m/>
    <m/>
    <m/>
    <n v="1026763"/>
    <n v="3487679.8090360002"/>
    <s v="EPER"/>
    <n v="7414000005"/>
  </r>
  <r>
    <x v="1"/>
    <m/>
    <x v="0"/>
    <m/>
    <n v="0"/>
    <m/>
    <m/>
    <m/>
    <m/>
    <m/>
    <m/>
    <m/>
    <m/>
    <m/>
    <n v="1979"/>
    <n v="1535094.046473"/>
    <s v="EPER"/>
    <n v="7414000005"/>
  </r>
  <r>
    <x v="1"/>
    <m/>
    <x v="0"/>
    <m/>
    <n v="0"/>
    <m/>
    <m/>
    <m/>
    <m/>
    <m/>
    <m/>
    <m/>
    <m/>
    <m/>
    <n v="3163"/>
    <n v="2363325.3804159998"/>
    <s v="EPER"/>
    <n v="7414000005"/>
  </r>
  <r>
    <x v="1"/>
    <m/>
    <x v="0"/>
    <m/>
    <n v="0"/>
    <m/>
    <m/>
    <m/>
    <m/>
    <m/>
    <m/>
    <m/>
    <m/>
    <m/>
    <n v="1006"/>
    <n v="770519.42629800003"/>
    <s v="EPER"/>
    <n v="7414000005"/>
  </r>
  <r>
    <x v="1"/>
    <m/>
    <x v="0"/>
    <m/>
    <n v="0"/>
    <m/>
    <m/>
    <m/>
    <m/>
    <m/>
    <m/>
    <m/>
    <m/>
    <m/>
    <n v="1813"/>
    <n v="1241704.043454"/>
    <s v="EPER"/>
    <n v="7414000005"/>
  </r>
  <r>
    <x v="1"/>
    <m/>
    <x v="0"/>
    <m/>
    <n v="0"/>
    <m/>
    <m/>
    <m/>
    <m/>
    <m/>
    <m/>
    <m/>
    <m/>
    <m/>
    <n v="1035"/>
    <n v="799979.40877500002"/>
    <s v="EPER"/>
    <n v="7414000005"/>
  </r>
  <r>
    <x v="1"/>
    <m/>
    <x v="0"/>
    <m/>
    <n v="0"/>
    <m/>
    <m/>
    <m/>
    <m/>
    <m/>
    <m/>
    <m/>
    <m/>
    <m/>
    <n v="1123"/>
    <n v="810350.78072000004"/>
    <s v="EPER"/>
    <n v="7414000005"/>
  </r>
  <r>
    <x v="1"/>
    <m/>
    <x v="0"/>
    <m/>
    <n v="0"/>
    <m/>
    <m/>
    <m/>
    <m/>
    <m/>
    <m/>
    <m/>
    <m/>
    <m/>
    <n v="597"/>
    <n v="379669.982043"/>
    <s v="EPER"/>
    <n v="7414000005"/>
  </r>
  <r>
    <x v="1"/>
    <m/>
    <x v="0"/>
    <m/>
    <n v="0"/>
    <m/>
    <m/>
    <m/>
    <m/>
    <m/>
    <m/>
    <m/>
    <m/>
    <m/>
    <n v="1496"/>
    <n v="1061217.1325360001"/>
    <s v="EPER"/>
    <n v="7414000005"/>
  </r>
  <r>
    <x v="1"/>
    <m/>
    <x v="0"/>
    <m/>
    <n v="0"/>
    <m/>
    <m/>
    <m/>
    <m/>
    <m/>
    <m/>
    <m/>
    <m/>
    <m/>
    <n v="2427"/>
    <n v="1685335.9508489999"/>
    <s v="EPER"/>
    <n v="7414000005"/>
  </r>
  <r>
    <x v="1"/>
    <m/>
    <x v="0"/>
    <m/>
    <n v="0"/>
    <m/>
    <m/>
    <m/>
    <m/>
    <m/>
    <m/>
    <m/>
    <m/>
    <m/>
    <n v="1971"/>
    <n v="192476.86379100001"/>
    <s v="EPER"/>
    <n v="7414000005"/>
  </r>
  <r>
    <x v="1"/>
    <m/>
    <x v="0"/>
    <m/>
    <n v="0"/>
    <m/>
    <m/>
    <m/>
    <m/>
    <m/>
    <m/>
    <m/>
    <m/>
    <m/>
    <n v="422686"/>
    <n v="4012806.7373680002"/>
    <s v="EPER"/>
    <n v="7414000005"/>
  </r>
  <r>
    <x v="1"/>
    <m/>
    <x v="0"/>
    <m/>
    <n v="0"/>
    <m/>
    <m/>
    <m/>
    <m/>
    <m/>
    <m/>
    <m/>
    <m/>
    <m/>
    <n v="575690"/>
    <n v="5375887.0574700003"/>
    <s v="EPER"/>
    <n v="7414000005"/>
  </r>
  <r>
    <x v="1"/>
    <m/>
    <x v="0"/>
    <m/>
    <n v="0"/>
    <m/>
    <m/>
    <m/>
    <m/>
    <m/>
    <m/>
    <m/>
    <m/>
    <m/>
    <n v="23232"/>
    <n v="2293703.4679680001"/>
    <s v="EPER"/>
    <n v="7414000005"/>
  </r>
  <r>
    <x v="1"/>
    <m/>
    <x v="0"/>
    <m/>
    <n v="0"/>
    <m/>
    <m/>
    <m/>
    <m/>
    <m/>
    <m/>
    <m/>
    <m/>
    <m/>
    <n v="31335"/>
    <n v="3109920.3498300002"/>
    <s v="EPER"/>
    <n v="7414000005"/>
  </r>
  <r>
    <x v="1"/>
    <m/>
    <x v="0"/>
    <m/>
    <n v="0"/>
    <m/>
    <m/>
    <m/>
    <m/>
    <m/>
    <m/>
    <m/>
    <m/>
    <m/>
    <n v="9920"/>
    <n v="942133.61823999998"/>
    <s v="EPER"/>
    <n v="7414000005"/>
  </r>
  <r>
    <x v="1"/>
    <m/>
    <x v="0"/>
    <m/>
    <n v="0"/>
    <m/>
    <m/>
    <m/>
    <m/>
    <m/>
    <m/>
    <m/>
    <m/>
    <m/>
    <n v="33911"/>
    <n v="3116821.7619309998"/>
    <s v="EPER"/>
    <n v="7414000005"/>
  </r>
  <r>
    <x v="1"/>
    <m/>
    <x v="0"/>
    <m/>
    <n v="0"/>
    <m/>
    <m/>
    <m/>
    <m/>
    <m/>
    <m/>
    <m/>
    <m/>
    <m/>
    <n v="17490"/>
    <n v="1625774.2574700001"/>
    <s v="EPER"/>
    <n v="7414000005"/>
  </r>
  <r>
    <x v="1"/>
    <m/>
    <x v="0"/>
    <m/>
    <n v="0"/>
    <m/>
    <m/>
    <m/>
    <m/>
    <m/>
    <m/>
    <m/>
    <m/>
    <m/>
    <n v="17357"/>
    <n v="1539533.320911"/>
    <s v="EPER"/>
    <n v="7414000005"/>
  </r>
  <r>
    <x v="1"/>
    <m/>
    <x v="0"/>
    <m/>
    <n v="0"/>
    <m/>
    <m/>
    <m/>
    <m/>
    <m/>
    <m/>
    <m/>
    <m/>
    <m/>
    <n v="33880"/>
    <n v="3161484.8249599999"/>
    <s v="EPER"/>
    <n v="7414000005"/>
  </r>
  <r>
    <x v="1"/>
    <m/>
    <x v="0"/>
    <m/>
    <n v="0"/>
    <m/>
    <m/>
    <m/>
    <m/>
    <m/>
    <m/>
    <m/>
    <m/>
    <m/>
    <n v="30730"/>
    <n v="2915175.88264"/>
    <s v="EPER"/>
    <n v="7414000005"/>
  </r>
  <r>
    <x v="1"/>
    <m/>
    <x v="0"/>
    <m/>
    <n v="0"/>
    <m/>
    <m/>
    <m/>
    <m/>
    <m/>
    <m/>
    <m/>
    <m/>
    <m/>
    <n v="89129"/>
    <n v="8455682.2232530005"/>
    <s v="EPER"/>
    <n v="7414000005"/>
  </r>
  <r>
    <x v="1"/>
    <m/>
    <x v="0"/>
    <m/>
    <n v="0"/>
    <m/>
    <m/>
    <m/>
    <m/>
    <m/>
    <m/>
    <m/>
    <m/>
    <m/>
    <n v="41710"/>
    <n v="3732605.5851500002"/>
    <s v="EPER"/>
    <n v="7414000005"/>
  </r>
  <r>
    <x v="1"/>
    <m/>
    <x v="0"/>
    <m/>
    <n v="0"/>
    <m/>
    <m/>
    <m/>
    <m/>
    <m/>
    <m/>
    <m/>
    <m/>
    <m/>
    <n v="83750"/>
    <n v="7219009.4699999997"/>
    <s v="EPER"/>
    <n v="7414000005"/>
  </r>
  <r>
    <x v="1"/>
    <m/>
    <x v="0"/>
    <m/>
    <n v="0"/>
    <m/>
    <m/>
    <m/>
    <m/>
    <m/>
    <m/>
    <m/>
    <m/>
    <m/>
    <n v="66571"/>
    <n v="5756351.3651339998"/>
    <s v="EPER"/>
    <n v="7414000005"/>
  </r>
  <r>
    <x v="1"/>
    <m/>
    <x v="0"/>
    <m/>
    <n v="0"/>
    <m/>
    <m/>
    <m/>
    <m/>
    <m/>
    <m/>
    <m/>
    <m/>
    <m/>
    <n v="2803"/>
    <n v="284367.05769799999"/>
    <s v="EPER"/>
    <n v="7414000005"/>
  </r>
  <r>
    <x v="1"/>
    <m/>
    <x v="0"/>
    <m/>
    <n v="0"/>
    <m/>
    <m/>
    <m/>
    <m/>
    <m/>
    <m/>
    <m/>
    <m/>
    <m/>
    <n v="2448"/>
    <n v="219446.485056"/>
    <s v="EPER"/>
    <n v="7414000005"/>
  </r>
  <r>
    <x v="1"/>
    <m/>
    <x v="0"/>
    <m/>
    <n v="0"/>
    <m/>
    <m/>
    <m/>
    <m/>
    <m/>
    <m/>
    <m/>
    <m/>
    <m/>
    <n v="57775"/>
    <n v="4722462.6365"/>
    <s v="EPER"/>
    <n v="7414000005"/>
  </r>
  <r>
    <x v="1"/>
    <m/>
    <x v="0"/>
    <m/>
    <n v="0"/>
    <m/>
    <m/>
    <m/>
    <m/>
    <m/>
    <m/>
    <m/>
    <m/>
    <m/>
    <n v="16984"/>
    <n v="1413081.7248239999"/>
    <s v="EPER"/>
    <n v="7414000005"/>
  </r>
  <r>
    <x v="1"/>
    <m/>
    <x v="0"/>
    <m/>
    <n v="0"/>
    <m/>
    <m/>
    <m/>
    <m/>
    <m/>
    <m/>
    <m/>
    <m/>
    <m/>
    <n v="82572"/>
    <n v="6784107.8408040004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72279"/>
    <n v="7083908.2336860001"/>
    <s v="EPER"/>
    <n v="7414000005"/>
  </r>
  <r>
    <x v="1"/>
    <m/>
    <x v="0"/>
    <m/>
    <n v="0"/>
    <m/>
    <m/>
    <m/>
    <m/>
    <m/>
    <m/>
    <m/>
    <m/>
    <m/>
    <n v="3047659"/>
    <n v="10352202.756748"/>
    <s v="EPER"/>
    <n v="7414000005"/>
  </r>
  <r>
    <x v="1"/>
    <m/>
    <x v="0"/>
    <m/>
    <n v="0"/>
    <m/>
    <m/>
    <m/>
    <m/>
    <m/>
    <m/>
    <m/>
    <m/>
    <m/>
    <n v="5861"/>
    <n v="4546329.5636069998"/>
    <s v="EPER"/>
    <n v="7414000005"/>
  </r>
  <r>
    <x v="1"/>
    <m/>
    <x v="0"/>
    <m/>
    <n v="0"/>
    <m/>
    <m/>
    <m/>
    <m/>
    <m/>
    <m/>
    <m/>
    <m/>
    <m/>
    <n v="12002"/>
    <n v="8967635.5408640001"/>
    <s v="EPER"/>
    <n v="7414000005"/>
  </r>
  <r>
    <x v="1"/>
    <m/>
    <x v="0"/>
    <m/>
    <n v="0"/>
    <m/>
    <m/>
    <m/>
    <m/>
    <m/>
    <m/>
    <m/>
    <m/>
    <m/>
    <n v="3840"/>
    <n v="2941147.7107199999"/>
    <s v="EPER"/>
    <n v="7414000005"/>
  </r>
  <r>
    <x v="1"/>
    <m/>
    <x v="0"/>
    <m/>
    <n v="0"/>
    <m/>
    <m/>
    <m/>
    <m/>
    <m/>
    <m/>
    <m/>
    <m/>
    <m/>
    <n v="12221"/>
    <n v="8370030.3999180002"/>
    <s v="EPER"/>
    <n v="7414000005"/>
  </r>
  <r>
    <x v="1"/>
    <m/>
    <x v="0"/>
    <m/>
    <n v="0"/>
    <m/>
    <m/>
    <m/>
    <m/>
    <m/>
    <m/>
    <m/>
    <m/>
    <m/>
    <n v="793"/>
    <n v="612931.08324499999"/>
    <s v="EPER"/>
    <n v="7414000005"/>
  </r>
  <r>
    <x v="1"/>
    <m/>
    <x v="0"/>
    <m/>
    <n v="0"/>
    <m/>
    <m/>
    <m/>
    <m/>
    <m/>
    <m/>
    <m/>
    <m/>
    <m/>
    <n v="4837"/>
    <n v="3490353.2736800001"/>
    <s v="EPER"/>
    <n v="7414000005"/>
  </r>
  <r>
    <x v="1"/>
    <m/>
    <x v="0"/>
    <m/>
    <n v="0"/>
    <m/>
    <m/>
    <m/>
    <m/>
    <m/>
    <m/>
    <m/>
    <m/>
    <m/>
    <n v="2287"/>
    <n v="1454447.6531529999"/>
    <s v="EPER"/>
    <n v="7414000005"/>
  </r>
  <r>
    <x v="1"/>
    <m/>
    <x v="0"/>
    <m/>
    <n v="0"/>
    <m/>
    <m/>
    <m/>
    <m/>
    <m/>
    <m/>
    <m/>
    <m/>
    <m/>
    <n v="5175"/>
    <n v="3670988.4096749998"/>
    <s v="EPER"/>
    <n v="7414000005"/>
  </r>
  <r>
    <x v="1"/>
    <m/>
    <x v="0"/>
    <m/>
    <n v="0"/>
    <m/>
    <m/>
    <m/>
    <m/>
    <m/>
    <m/>
    <m/>
    <m/>
    <m/>
    <n v="9197"/>
    <n v="6386499.6868390003"/>
    <s v="EPER"/>
    <n v="7414000005"/>
  </r>
  <r>
    <x v="1"/>
    <m/>
    <x v="0"/>
    <m/>
    <n v="0"/>
    <m/>
    <m/>
    <m/>
    <m/>
    <m/>
    <m/>
    <m/>
    <m/>
    <m/>
    <n v="35"/>
    <n v="3417.9047350000001"/>
    <s v="EPER"/>
    <n v="7414000005"/>
  </r>
  <r>
    <x v="1"/>
    <m/>
    <x v="0"/>
    <m/>
    <n v="0"/>
    <m/>
    <m/>
    <m/>
    <m/>
    <m/>
    <m/>
    <m/>
    <m/>
    <m/>
    <n v="389"/>
    <n v="38406.105760999999"/>
    <s v="EPER"/>
    <n v="7414000005"/>
  </r>
  <r>
    <x v="1"/>
    <m/>
    <x v="0"/>
    <m/>
    <n v="0"/>
    <m/>
    <m/>
    <m/>
    <m/>
    <m/>
    <m/>
    <m/>
    <m/>
    <m/>
    <n v="742"/>
    <n v="73641.643515999996"/>
    <s v="EPER"/>
    <n v="7414000005"/>
  </r>
  <r>
    <x v="1"/>
    <m/>
    <x v="0"/>
    <m/>
    <n v="0"/>
    <m/>
    <m/>
    <m/>
    <m/>
    <m/>
    <m/>
    <m/>
    <m/>
    <m/>
    <n v="190"/>
    <n v="18044.897929999999"/>
    <s v="EPER"/>
    <n v="7414000005"/>
  </r>
  <r>
    <x v="1"/>
    <m/>
    <x v="0"/>
    <m/>
    <n v="0"/>
    <m/>
    <m/>
    <m/>
    <m/>
    <m/>
    <m/>
    <m/>
    <m/>
    <m/>
    <n v="673"/>
    <n v="61856.655532999997"/>
    <s v="EPER"/>
    <n v="7414000005"/>
  </r>
  <r>
    <x v="1"/>
    <m/>
    <x v="0"/>
    <m/>
    <n v="0"/>
    <m/>
    <m/>
    <m/>
    <m/>
    <m/>
    <m/>
    <m/>
    <m/>
    <m/>
    <n v="290"/>
    <n v="26956.80587"/>
    <s v="EPER"/>
    <n v="7414000005"/>
  </r>
  <r>
    <x v="1"/>
    <m/>
    <x v="0"/>
    <m/>
    <n v="0"/>
    <m/>
    <m/>
    <m/>
    <m/>
    <m/>
    <m/>
    <m/>
    <m/>
    <m/>
    <n v="316"/>
    <n v="28028.606867999999"/>
    <s v="EPER"/>
    <n v="7414000005"/>
  </r>
  <r>
    <x v="1"/>
    <m/>
    <x v="0"/>
    <m/>
    <n v="0"/>
    <m/>
    <m/>
    <m/>
    <m/>
    <m/>
    <m/>
    <m/>
    <m/>
    <m/>
    <n v="1310"/>
    <n v="122241.59152"/>
    <s v="EPER"/>
    <n v="7414000005"/>
  </r>
  <r>
    <x v="1"/>
    <m/>
    <x v="0"/>
    <m/>
    <n v="0"/>
    <m/>
    <m/>
    <m/>
    <m/>
    <m/>
    <m/>
    <m/>
    <m/>
    <m/>
    <n v="570"/>
    <n v="54072.57576"/>
    <s v="EPER"/>
    <n v="7414000005"/>
  </r>
  <r>
    <x v="1"/>
    <m/>
    <x v="0"/>
    <m/>
    <n v="0"/>
    <m/>
    <m/>
    <m/>
    <m/>
    <m/>
    <m/>
    <m/>
    <m/>
    <m/>
    <n v="1483"/>
    <n v="140692.44283099999"/>
    <s v="EPER"/>
    <n v="7414000005"/>
  </r>
  <r>
    <x v="1"/>
    <m/>
    <x v="0"/>
    <m/>
    <n v="0"/>
    <m/>
    <m/>
    <m/>
    <m/>
    <m/>
    <m/>
    <m/>
    <m/>
    <m/>
    <n v="162"/>
    <n v="14497.29333"/>
    <s v="EPER"/>
    <n v="7414000005"/>
  </r>
  <r>
    <x v="1"/>
    <m/>
    <x v="0"/>
    <m/>
    <n v="0"/>
    <m/>
    <m/>
    <m/>
    <m/>
    <m/>
    <m/>
    <m/>
    <m/>
    <m/>
    <n v="1320"/>
    <n v="113780.20896"/>
    <s v="EPER"/>
    <n v="7414000005"/>
  </r>
  <r>
    <x v="1"/>
    <m/>
    <x v="0"/>
    <m/>
    <n v="0"/>
    <m/>
    <m/>
    <m/>
    <m/>
    <m/>
    <m/>
    <m/>
    <m/>
    <m/>
    <n v="60"/>
    <n v="5188.1612400000004"/>
    <s v="EPER"/>
    <n v="7414000005"/>
  </r>
  <r>
    <x v="1"/>
    <m/>
    <x v="0"/>
    <m/>
    <n v="0"/>
    <m/>
    <m/>
    <m/>
    <m/>
    <m/>
    <m/>
    <m/>
    <m/>
    <m/>
    <n v="59"/>
    <n v="5985.6069939999998"/>
    <s v="EPER"/>
    <n v="7414000005"/>
  </r>
  <r>
    <x v="1"/>
    <m/>
    <x v="0"/>
    <m/>
    <n v="0"/>
    <m/>
    <m/>
    <m/>
    <m/>
    <m/>
    <m/>
    <m/>
    <m/>
    <m/>
    <n v="63"/>
    <n v="5647.5198360000004"/>
    <s v="EPER"/>
    <n v="7414000005"/>
  </r>
  <r>
    <x v="1"/>
    <m/>
    <x v="0"/>
    <m/>
    <n v="0"/>
    <m/>
    <m/>
    <m/>
    <m/>
    <m/>
    <m/>
    <m/>
    <m/>
    <m/>
    <n v="809"/>
    <n v="66126.737739999997"/>
    <s v="EPER"/>
    <n v="7414000005"/>
  </r>
  <r>
    <x v="1"/>
    <m/>
    <x v="0"/>
    <m/>
    <n v="0"/>
    <m/>
    <m/>
    <m/>
    <m/>
    <m/>
    <m/>
    <m/>
    <m/>
    <m/>
    <n v="235"/>
    <n v="19552.178834999999"/>
    <s v="EPER"/>
    <n v="7414000005"/>
  </r>
  <r>
    <x v="1"/>
    <m/>
    <x v="0"/>
    <m/>
    <n v="0"/>
    <m/>
    <m/>
    <m/>
    <m/>
    <m/>
    <m/>
    <m/>
    <m/>
    <m/>
    <n v="263"/>
    <n v="21608.055541000002"/>
    <s v="EPER"/>
    <n v="7414000005"/>
  </r>
  <r>
    <x v="1"/>
    <m/>
    <x v="0"/>
    <m/>
    <n v="0"/>
    <m/>
    <m/>
    <m/>
    <m/>
    <m/>
    <m/>
    <m/>
    <m/>
    <m/>
    <n v="1706"/>
    <n v="167201.36480400001"/>
    <s v="EPER"/>
    <n v="7414000005"/>
  </r>
  <r>
    <x v="1"/>
    <m/>
    <x v="0"/>
    <m/>
    <n v="0"/>
    <m/>
    <m/>
    <m/>
    <m/>
    <m/>
    <m/>
    <m/>
    <m/>
    <m/>
    <n v="212990"/>
    <n v="668584.12959999999"/>
    <s v="EPER"/>
    <n v="7414000005"/>
  </r>
  <r>
    <x v="1"/>
    <m/>
    <x v="0"/>
    <m/>
    <n v="0"/>
    <m/>
    <m/>
    <m/>
    <m/>
    <m/>
    <m/>
    <m/>
    <m/>
    <m/>
    <n v="54702"/>
    <n v="185810.22194399999"/>
    <s v="EPER"/>
    <n v="7414000005"/>
  </r>
  <r>
    <x v="1"/>
    <m/>
    <x v="0"/>
    <m/>
    <n v="0"/>
    <m/>
    <m/>
    <m/>
    <m/>
    <m/>
    <m/>
    <m/>
    <m/>
    <m/>
    <n v="221"/>
    <n v="171427.88492700001"/>
    <s v="EPER"/>
    <n v="7414000005"/>
  </r>
  <r>
    <x v="1"/>
    <m/>
    <x v="0"/>
    <m/>
    <n v="0"/>
    <m/>
    <m/>
    <m/>
    <m/>
    <m/>
    <m/>
    <m/>
    <m/>
    <m/>
    <n v="195"/>
    <n v="145699.79423999999"/>
    <s v="EPER"/>
    <n v="7414000005"/>
  </r>
  <r>
    <x v="1"/>
    <m/>
    <x v="0"/>
    <m/>
    <n v="0"/>
    <m/>
    <m/>
    <m/>
    <m/>
    <m/>
    <m/>
    <m/>
    <m/>
    <m/>
    <n v="71"/>
    <n v="54380.595693000003"/>
    <s v="EPER"/>
    <n v="7414000005"/>
  </r>
  <r>
    <x v="1"/>
    <m/>
    <x v="0"/>
    <m/>
    <n v="0"/>
    <m/>
    <m/>
    <m/>
    <m/>
    <m/>
    <m/>
    <m/>
    <m/>
    <m/>
    <n v="137"/>
    <n v="93829.814645999999"/>
    <s v="EPER"/>
    <n v="7414000005"/>
  </r>
  <r>
    <x v="1"/>
    <m/>
    <x v="0"/>
    <m/>
    <n v="0"/>
    <m/>
    <m/>
    <m/>
    <m/>
    <m/>
    <m/>
    <m/>
    <m/>
    <m/>
    <n v="65"/>
    <n v="50240.252724999998"/>
    <s v="EPER"/>
    <n v="7414000005"/>
  </r>
  <r>
    <x v="1"/>
    <m/>
    <x v="0"/>
    <m/>
    <n v="0"/>
    <m/>
    <m/>
    <m/>
    <m/>
    <m/>
    <m/>
    <m/>
    <m/>
    <m/>
    <n v="68"/>
    <n v="49068.435519999999"/>
    <s v="EPER"/>
    <n v="7414000005"/>
  </r>
  <r>
    <x v="1"/>
    <m/>
    <x v="0"/>
    <m/>
    <n v="0"/>
    <m/>
    <m/>
    <m/>
    <m/>
    <m/>
    <m/>
    <m/>
    <m/>
    <m/>
    <n v="31"/>
    <n v="19714.856689"/>
    <s v="EPER"/>
    <n v="7414000005"/>
  </r>
  <r>
    <x v="1"/>
    <m/>
    <x v="0"/>
    <m/>
    <n v="0"/>
    <m/>
    <m/>
    <m/>
    <m/>
    <m/>
    <m/>
    <m/>
    <m/>
    <m/>
    <n v="97"/>
    <n v="68808.864877"/>
    <s v="EPER"/>
    <n v="7414000005"/>
  </r>
  <r>
    <x v="1"/>
    <m/>
    <x v="0"/>
    <m/>
    <n v="0"/>
    <m/>
    <m/>
    <m/>
    <m/>
    <m/>
    <m/>
    <m/>
    <m/>
    <m/>
    <n v="222"/>
    <n v="154159.28351400001"/>
    <s v="EPER"/>
    <n v="7414000005"/>
  </r>
  <r>
    <x v="1"/>
    <m/>
    <x v="0"/>
    <m/>
    <n v="0"/>
    <m/>
    <m/>
    <m/>
    <m/>
    <m/>
    <m/>
    <m/>
    <m/>
    <m/>
    <n v="8579692"/>
    <n v="29175276.964768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682"/>
    <n v="6458300.6896099998"/>
    <s v="EPER"/>
    <n v="7414000005"/>
  </r>
  <r>
    <x v="1"/>
    <m/>
    <x v="0"/>
    <m/>
    <n v="0"/>
    <m/>
    <m/>
    <m/>
    <m/>
    <m/>
    <m/>
    <m/>
    <m/>
    <m/>
    <n v="300000"/>
    <n v="30000016.800000001"/>
    <s v="EPER"/>
    <n v="7414000005"/>
  </r>
  <r>
    <x v="1"/>
    <m/>
    <x v="0"/>
    <m/>
    <n v="0"/>
    <m/>
    <m/>
    <m/>
    <m/>
    <m/>
    <m/>
    <m/>
    <m/>
    <m/>
    <n v="2269560"/>
    <n v="226883989.13076001"/>
    <s v="EPER"/>
    <n v="7414000005"/>
  </r>
  <r>
    <x v="1"/>
    <m/>
    <x v="0"/>
    <m/>
    <n v="0"/>
    <m/>
    <m/>
    <m/>
    <m/>
    <m/>
    <m/>
    <m/>
    <m/>
    <m/>
    <n v="5000000"/>
    <n v="499749485"/>
    <s v="EPER"/>
    <n v="7414000005"/>
  </r>
  <r>
    <x v="1"/>
    <m/>
    <x v="0"/>
    <m/>
    <n v="0"/>
    <m/>
    <m/>
    <m/>
    <m/>
    <m/>
    <m/>
    <m/>
    <m/>
    <m/>
    <n v="246400"/>
    <n v="24548831.2608"/>
    <s v="EPER"/>
    <n v="7414000005"/>
  </r>
  <r>
    <x v="1"/>
    <m/>
    <x v="0"/>
    <m/>
    <n v="0"/>
    <m/>
    <m/>
    <m/>
    <m/>
    <m/>
    <m/>
    <m/>
    <m/>
    <m/>
    <n v="1000000"/>
    <n v="99183683"/>
    <s v="EPER"/>
    <n v="7414000005"/>
  </r>
  <r>
    <x v="1"/>
    <m/>
    <x v="0"/>
    <m/>
    <n v="0"/>
    <m/>
    <m/>
    <m/>
    <m/>
    <m/>
    <m/>
    <m/>
    <m/>
    <m/>
    <n v="2000000"/>
    <n v="199388156"/>
    <s v="EPER"/>
    <n v="7414000005"/>
  </r>
  <r>
    <x v="1"/>
    <m/>
    <x v="0"/>
    <m/>
    <n v="0"/>
    <m/>
    <m/>
    <m/>
    <m/>
    <m/>
    <m/>
    <m/>
    <m/>
    <m/>
    <n v="25593"/>
    <n v="2353821.6600509998"/>
    <s v="EPER"/>
    <n v="7414000005"/>
  </r>
  <r>
    <x v="1"/>
    <m/>
    <x v="0"/>
    <m/>
    <n v="0"/>
    <m/>
    <m/>
    <m/>
    <m/>
    <m/>
    <m/>
    <m/>
    <m/>
    <m/>
    <n v="29143"/>
    <n v="2845942.7912030001"/>
    <s v="EPER"/>
    <n v="7414000005"/>
  </r>
  <r>
    <x v="1"/>
    <m/>
    <x v="0"/>
    <m/>
    <n v="0"/>
    <m/>
    <m/>
    <m/>
    <m/>
    <m/>
    <m/>
    <m/>
    <m/>
    <m/>
    <n v="5900000"/>
    <n v="54221808.299999997"/>
    <s v="EPER"/>
    <n v="7414000005"/>
  </r>
  <r>
    <x v="1"/>
    <m/>
    <x v="0"/>
    <m/>
    <n v="0"/>
    <m/>
    <m/>
    <m/>
    <m/>
    <m/>
    <m/>
    <m/>
    <m/>
    <m/>
    <n v="3500000"/>
    <n v="31793895"/>
    <s v="EPER"/>
    <n v="7414000005"/>
  </r>
  <r>
    <x v="1"/>
    <m/>
    <x v="0"/>
    <m/>
    <n v="0"/>
    <m/>
    <m/>
    <m/>
    <m/>
    <m/>
    <m/>
    <m/>
    <m/>
    <m/>
    <n v="2805920"/>
    <n v="25284840.988159999"/>
    <s v="EPER"/>
    <n v="7414000005"/>
  </r>
  <r>
    <x v="1"/>
    <m/>
    <x v="0"/>
    <m/>
    <n v="0"/>
    <m/>
    <m/>
    <m/>
    <m/>
    <m/>
    <m/>
    <m/>
    <m/>
    <m/>
    <n v="17243600"/>
    <n v="144524664.1036"/>
    <s v="EPER"/>
    <n v="7414000005"/>
  </r>
  <r>
    <x v="1"/>
    <m/>
    <x v="0"/>
    <m/>
    <n v="0"/>
    <m/>
    <m/>
    <m/>
    <m/>
    <m/>
    <m/>
    <m/>
    <m/>
    <m/>
    <n v="9957484"/>
    <n v="82229550.108459994"/>
    <s v="EPER"/>
    <n v="7414000005"/>
  </r>
  <r>
    <x v="1"/>
    <m/>
    <x v="0"/>
    <m/>
    <n v="0"/>
    <m/>
    <m/>
    <m/>
    <m/>
    <m/>
    <m/>
    <m/>
    <m/>
    <m/>
    <n v="263860"/>
    <n v="24604529.684360001"/>
    <s v="EPER"/>
    <n v="7414000005"/>
  </r>
  <r>
    <x v="1"/>
    <m/>
    <x v="0"/>
    <m/>
    <n v="0"/>
    <m/>
    <m/>
    <m/>
    <m/>
    <m/>
    <m/>
    <m/>
    <m/>
    <m/>
    <n v="0"/>
    <n v="26779266.66"/>
    <s v="EPER"/>
    <n v="7414000005"/>
  </r>
  <r>
    <x v="1"/>
    <m/>
    <x v="0"/>
    <m/>
    <n v="0"/>
    <m/>
    <m/>
    <m/>
    <m/>
    <m/>
    <m/>
    <m/>
    <m/>
    <m/>
    <n v="200000"/>
    <n v="19999951.800000001"/>
    <s v="EPER"/>
    <n v="7414000005"/>
  </r>
  <r>
    <x v="1"/>
    <m/>
    <x v="0"/>
    <m/>
    <n v="0"/>
    <m/>
    <m/>
    <m/>
    <m/>
    <m/>
    <m/>
    <m/>
    <m/>
    <m/>
    <n v="177980"/>
    <n v="17791461.9047"/>
    <s v="EPER"/>
    <n v="7414000005"/>
  </r>
  <r>
    <x v="1"/>
    <m/>
    <x v="0"/>
    <m/>
    <n v="0"/>
    <m/>
    <m/>
    <m/>
    <m/>
    <m/>
    <m/>
    <m/>
    <m/>
    <m/>
    <n v="98500"/>
    <n v="9852057.5665000007"/>
    <s v="EPER"/>
    <n v="7414000005"/>
  </r>
  <r>
    <x v="1"/>
    <m/>
    <x v="0"/>
    <m/>
    <n v="0"/>
    <m/>
    <m/>
    <m/>
    <m/>
    <m/>
    <m/>
    <m/>
    <m/>
    <m/>
    <n v="218639"/>
    <n v="21699373.715222001"/>
    <s v="EPER"/>
    <n v="7414000005"/>
  </r>
  <r>
    <x v="1"/>
    <m/>
    <x v="0"/>
    <m/>
    <n v="0"/>
    <m/>
    <m/>
    <m/>
    <m/>
    <m/>
    <m/>
    <m/>
    <m/>
    <m/>
    <n v="80000"/>
    <n v="7159157.2000000002"/>
    <s v="EPER"/>
    <n v="7414000005"/>
  </r>
  <r>
    <x v="1"/>
    <m/>
    <x v="0"/>
    <m/>
    <n v="0"/>
    <m/>
    <m/>
    <m/>
    <m/>
    <m/>
    <m/>
    <m/>
    <m/>
    <m/>
    <n v="1193710"/>
    <n v="102894373.66487999"/>
    <s v="EPER"/>
    <n v="7414000005"/>
  </r>
  <r>
    <x v="1"/>
    <m/>
    <x v="0"/>
    <m/>
    <n v="0"/>
    <m/>
    <m/>
    <m/>
    <m/>
    <m/>
    <m/>
    <m/>
    <m/>
    <m/>
    <n v="180000"/>
    <n v="17999853.300000001"/>
    <s v="EPER"/>
    <n v="7414000005"/>
  </r>
  <r>
    <x v="1"/>
    <m/>
    <x v="0"/>
    <m/>
    <n v="0"/>
    <m/>
    <m/>
    <m/>
    <m/>
    <m/>
    <m/>
    <m/>
    <m/>
    <m/>
    <n v="59620"/>
    <n v="5985186.5160999997"/>
    <s v="EPER"/>
    <n v="7414000005"/>
  </r>
  <r>
    <x v="1"/>
    <m/>
    <x v="0"/>
    <m/>
    <n v="0"/>
    <m/>
    <m/>
    <m/>
    <m/>
    <m/>
    <m/>
    <m/>
    <m/>
    <m/>
    <n v="110182"/>
    <n v="85467272.475234002"/>
    <s v="EPER"/>
    <n v="7414000005"/>
  </r>
  <r>
    <x v="1"/>
    <m/>
    <x v="0"/>
    <m/>
    <n v="0"/>
    <m/>
    <m/>
    <m/>
    <m/>
    <m/>
    <m/>
    <m/>
    <m/>
    <m/>
    <n v="84113"/>
    <n v="62847419.450815998"/>
    <s v="EPER"/>
    <n v="7414000005"/>
  </r>
  <r>
    <x v="1"/>
    <m/>
    <x v="0"/>
    <m/>
    <n v="0"/>
    <m/>
    <m/>
    <m/>
    <m/>
    <m/>
    <m/>
    <m/>
    <m/>
    <m/>
    <n v="110950"/>
    <n v="11099718.37065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56"/>
    <n v="1477265.2603800001"/>
    <s v="EPER"/>
    <n v="7414000005"/>
  </r>
  <r>
    <x v="1"/>
    <m/>
    <x v="0"/>
    <m/>
    <n v="0"/>
    <m/>
    <m/>
    <m/>
    <m/>
    <m/>
    <m/>
    <m/>
    <m/>
    <m/>
    <n v="200000"/>
    <n v="20000011.199999999"/>
    <s v="EPER"/>
    <n v="7414000005"/>
  </r>
  <r>
    <x v="1"/>
    <m/>
    <x v="0"/>
    <m/>
    <n v="0"/>
    <m/>
    <m/>
    <m/>
    <m/>
    <m/>
    <m/>
    <m/>
    <m/>
    <m/>
    <n v="118580"/>
    <n v="11858057.392720001"/>
    <s v="EPER"/>
    <n v="7414000005"/>
  </r>
  <r>
    <x v="1"/>
    <m/>
    <x v="0"/>
    <m/>
    <n v="0"/>
    <m/>
    <m/>
    <m/>
    <m/>
    <m/>
    <m/>
    <m/>
    <m/>
    <m/>
    <n v="71101"/>
    <n v="7093345.6181579996"/>
    <s v="EPER"/>
    <n v="7414000005"/>
  </r>
  <r>
    <x v="1"/>
    <m/>
    <x v="0"/>
    <m/>
    <n v="0"/>
    <m/>
    <m/>
    <m/>
    <m/>
    <m/>
    <m/>
    <m/>
    <m/>
    <m/>
    <n v="174270"/>
    <n v="17362519.577190001"/>
    <s v="EPER"/>
    <n v="7414000005"/>
  </r>
  <r>
    <x v="1"/>
    <m/>
    <x v="0"/>
    <m/>
    <n v="0"/>
    <m/>
    <m/>
    <m/>
    <m/>
    <m/>
    <m/>
    <m/>
    <m/>
    <m/>
    <n v="25593"/>
    <n v="2353821.6600509998"/>
    <s v="EPER"/>
    <n v="7414000005"/>
  </r>
  <r>
    <x v="1"/>
    <m/>
    <x v="0"/>
    <m/>
    <n v="0"/>
    <m/>
    <m/>
    <m/>
    <m/>
    <m/>
    <m/>
    <m/>
    <m/>
    <m/>
    <n v="59819"/>
    <n v="5841589.8097989997"/>
    <s v="EPER"/>
    <n v="7414000005"/>
  </r>
  <r>
    <x v="1"/>
    <m/>
    <x v="0"/>
    <m/>
    <n v="0"/>
    <m/>
    <m/>
    <m/>
    <m/>
    <m/>
    <m/>
    <m/>
    <m/>
    <m/>
    <n v="67470"/>
    <n v="6670033.4625599999"/>
    <s v="EPER"/>
    <n v="7414000005"/>
  </r>
  <r>
    <x v="1"/>
    <m/>
    <x v="0"/>
    <m/>
    <n v="0"/>
    <m/>
    <m/>
    <m/>
    <m/>
    <m/>
    <m/>
    <m/>
    <m/>
    <m/>
    <n v="2500000"/>
    <n v="24656807.5"/>
    <s v="EPER"/>
    <n v="7414000005"/>
  </r>
  <r>
    <x v="1"/>
    <m/>
    <x v="0"/>
    <m/>
    <n v="0"/>
    <m/>
    <m/>
    <m/>
    <m/>
    <m/>
    <m/>
    <m/>
    <m/>
    <m/>
    <n v="2975681"/>
    <n v="27787394.214003"/>
    <s v="EPER"/>
    <n v="7414000005"/>
  </r>
  <r>
    <x v="1"/>
    <m/>
    <x v="0"/>
    <m/>
    <n v="0"/>
    <m/>
    <m/>
    <m/>
    <m/>
    <m/>
    <m/>
    <m/>
    <m/>
    <m/>
    <n v="6929010"/>
    <n v="63678551.174369998"/>
    <s v="EPER"/>
    <n v="7414000005"/>
  </r>
  <r>
    <x v="1"/>
    <m/>
    <x v="0"/>
    <m/>
    <n v="0"/>
    <m/>
    <m/>
    <m/>
    <m/>
    <m/>
    <m/>
    <m/>
    <m/>
    <m/>
    <n v="3440000"/>
    <n v="31248856.800000001"/>
    <s v="EPER"/>
    <n v="7414000005"/>
  </r>
  <r>
    <x v="1"/>
    <m/>
    <x v="0"/>
    <m/>
    <n v="0"/>
    <m/>
    <m/>
    <m/>
    <m/>
    <m/>
    <m/>
    <m/>
    <m/>
    <m/>
    <n v="1842650"/>
    <n v="16604576.1272"/>
    <s v="EPER"/>
    <n v="7414000005"/>
  </r>
  <r>
    <x v="1"/>
    <m/>
    <x v="0"/>
    <m/>
    <n v="0"/>
    <m/>
    <m/>
    <m/>
    <m/>
    <m/>
    <m/>
    <m/>
    <m/>
    <m/>
    <n v="10000000"/>
    <n v="85044190"/>
    <s v="EPER"/>
    <n v="7414000005"/>
  </r>
  <r>
    <x v="1"/>
    <m/>
    <x v="0"/>
    <m/>
    <n v="0"/>
    <m/>
    <m/>
    <m/>
    <m/>
    <m/>
    <m/>
    <m/>
    <m/>
    <m/>
    <n v="3836130"/>
    <n v="32151952.011629999"/>
    <s v="EPER"/>
    <n v="7414000005"/>
  </r>
  <r>
    <x v="1"/>
    <m/>
    <x v="0"/>
    <m/>
    <n v="0"/>
    <m/>
    <m/>
    <m/>
    <m/>
    <m/>
    <m/>
    <m/>
    <m/>
    <m/>
    <n v="4472190"/>
    <n v="36931635.712350003"/>
    <s v="EPER"/>
    <n v="7414000005"/>
  </r>
  <r>
    <x v="1"/>
    <m/>
    <x v="0"/>
    <m/>
    <n v="0"/>
    <m/>
    <m/>
    <m/>
    <m/>
    <m/>
    <m/>
    <m/>
    <m/>
    <m/>
    <n v="315960"/>
    <n v="29462772.678959999"/>
    <s v="EPER"/>
    <n v="7414000005"/>
  </r>
  <r>
    <x v="1"/>
    <m/>
    <x v="0"/>
    <m/>
    <n v="0"/>
    <m/>
    <m/>
    <m/>
    <m/>
    <m/>
    <m/>
    <m/>
    <m/>
    <m/>
    <n v="7195"/>
    <n v="5357683.5049000001"/>
    <s v="EPER"/>
    <n v="7414000005"/>
  </r>
  <r>
    <x v="1"/>
    <m/>
    <x v="0"/>
    <m/>
    <n v="0"/>
    <m/>
    <m/>
    <m/>
    <m/>
    <m/>
    <m/>
    <m/>
    <m/>
    <m/>
    <n v="170000"/>
    <n v="12285936.550000001"/>
    <s v="EPER"/>
    <n v="7414000005"/>
  </r>
  <r>
    <x v="1"/>
    <m/>
    <x v="0"/>
    <m/>
    <n v="0"/>
    <m/>
    <m/>
    <m/>
    <m/>
    <m/>
    <m/>
    <m/>
    <m/>
    <m/>
    <n v="339985"/>
    <n v="33998213.73263"/>
    <s v="EPER"/>
    <n v="7414000005"/>
  </r>
  <r>
    <x v="1"/>
    <m/>
    <x v="0"/>
    <m/>
    <n v="0"/>
    <m/>
    <m/>
    <m/>
    <m/>
    <m/>
    <m/>
    <m/>
    <m/>
    <m/>
    <n v="0"/>
    <n v="75048349.030000001"/>
    <s v="EPER"/>
    <n v="7414000005"/>
  </r>
  <r>
    <x v="1"/>
    <m/>
    <x v="0"/>
    <m/>
    <n v="0"/>
    <m/>
    <m/>
    <m/>
    <m/>
    <m/>
    <m/>
    <m/>
    <m/>
    <m/>
    <n v="122020"/>
    <n v="12197517.5953"/>
    <s v="EPER"/>
    <n v="7414000005"/>
  </r>
  <r>
    <x v="1"/>
    <m/>
    <x v="0"/>
    <m/>
    <n v="0"/>
    <m/>
    <m/>
    <m/>
    <m/>
    <m/>
    <m/>
    <m/>
    <m/>
    <m/>
    <n v="24263"/>
    <n v="7454260.8082370004"/>
    <s v="EPER"/>
    <n v="7414000005"/>
  </r>
  <r>
    <x v="1"/>
    <m/>
    <x v="0"/>
    <m/>
    <n v="0"/>
    <m/>
    <m/>
    <m/>
    <m/>
    <m/>
    <m/>
    <m/>
    <m/>
    <m/>
    <n v="2320"/>
    <n v="232048.46247999999"/>
    <s v="EPER"/>
    <n v="7414000005"/>
  </r>
  <r>
    <x v="1"/>
    <m/>
    <x v="0"/>
    <m/>
    <n v="0"/>
    <m/>
    <m/>
    <m/>
    <m/>
    <m/>
    <m/>
    <m/>
    <m/>
    <m/>
    <n v="53861"/>
    <n v="5317715.3274889998"/>
    <s v="EPER"/>
    <n v="7414000005"/>
  </r>
  <r>
    <x v="1"/>
    <m/>
    <x v="0"/>
    <m/>
    <n v="0"/>
    <m/>
    <m/>
    <m/>
    <m/>
    <m/>
    <m/>
    <m/>
    <m/>
    <m/>
    <n v="40037"/>
    <n v="3973572.077426"/>
    <s v="EPER"/>
    <n v="7414000005"/>
  </r>
  <r>
    <x v="1"/>
    <m/>
    <x v="0"/>
    <m/>
    <n v="0"/>
    <m/>
    <m/>
    <m/>
    <m/>
    <m/>
    <m/>
    <m/>
    <m/>
    <m/>
    <n v="89801"/>
    <n v="8528683.5737469997"/>
    <s v="EPER"/>
    <n v="7414000005"/>
  </r>
  <r>
    <x v="1"/>
    <m/>
    <x v="0"/>
    <m/>
    <n v="0"/>
    <m/>
    <m/>
    <m/>
    <m/>
    <m/>
    <m/>
    <m/>
    <m/>
    <m/>
    <n v="148267"/>
    <n v="13627489.964206999"/>
    <s v="EPER"/>
    <n v="7414000005"/>
  </r>
  <r>
    <x v="1"/>
    <m/>
    <x v="0"/>
    <m/>
    <n v="0"/>
    <m/>
    <m/>
    <m/>
    <m/>
    <m/>
    <m/>
    <m/>
    <m/>
    <m/>
    <n v="436390"/>
    <n v="40564415.564170003"/>
    <s v="EPER"/>
    <n v="7414000005"/>
  </r>
  <r>
    <x v="1"/>
    <m/>
    <x v="0"/>
    <m/>
    <n v="0"/>
    <m/>
    <m/>
    <m/>
    <m/>
    <m/>
    <m/>
    <m/>
    <m/>
    <m/>
    <n v="235182"/>
    <n v="20860201.963385999"/>
    <s v="EPER"/>
    <n v="7414000005"/>
  </r>
  <r>
    <x v="1"/>
    <m/>
    <x v="0"/>
    <m/>
    <n v="0"/>
    <m/>
    <m/>
    <m/>
    <m/>
    <m/>
    <m/>
    <m/>
    <m/>
    <m/>
    <n v="183660"/>
    <n v="17138084.502719998"/>
    <s v="EPER"/>
    <n v="7414000005"/>
  </r>
  <r>
    <x v="1"/>
    <m/>
    <x v="0"/>
    <m/>
    <n v="0"/>
    <m/>
    <m/>
    <m/>
    <m/>
    <m/>
    <m/>
    <m/>
    <m/>
    <m/>
    <n v="166000"/>
    <n v="15747451.888"/>
    <s v="EPER"/>
    <n v="7414000005"/>
  </r>
  <r>
    <x v="1"/>
    <m/>
    <x v="0"/>
    <m/>
    <n v="0"/>
    <m/>
    <m/>
    <m/>
    <m/>
    <m/>
    <m/>
    <m/>
    <m/>
    <m/>
    <n v="701874"/>
    <n v="66586896.574217997"/>
    <s v="EPER"/>
    <n v="7414000005"/>
  </r>
  <r>
    <x v="1"/>
    <m/>
    <x v="0"/>
    <m/>
    <n v="0"/>
    <m/>
    <m/>
    <m/>
    <m/>
    <m/>
    <m/>
    <m/>
    <m/>
    <m/>
    <n v="653249"/>
    <n v="58458903.521784998"/>
    <s v="EPER"/>
    <n v="7414000005"/>
  </r>
  <r>
    <x v="1"/>
    <m/>
    <x v="0"/>
    <m/>
    <n v="0"/>
    <m/>
    <m/>
    <m/>
    <m/>
    <m/>
    <m/>
    <m/>
    <m/>
    <m/>
    <n v="584310"/>
    <n v="50365843.861680001"/>
    <s v="EPER"/>
    <n v="7414000005"/>
  </r>
  <r>
    <x v="1"/>
    <m/>
    <x v="0"/>
    <m/>
    <n v="0"/>
    <m/>
    <m/>
    <m/>
    <m/>
    <m/>
    <m/>
    <m/>
    <m/>
    <m/>
    <n v="240000"/>
    <n v="24050547.600000001"/>
    <s v="EPER"/>
    <n v="7414000005"/>
  </r>
  <r>
    <x v="1"/>
    <m/>
    <x v="0"/>
    <m/>
    <n v="0"/>
    <m/>
    <m/>
    <m/>
    <m/>
    <m/>
    <m/>
    <m/>
    <m/>
    <m/>
    <n v="120000"/>
    <n v="11999902.199999999"/>
    <s v="EPER"/>
    <n v="7414000005"/>
  </r>
  <r>
    <x v="1"/>
    <m/>
    <x v="0"/>
    <m/>
    <n v="0"/>
    <m/>
    <m/>
    <m/>
    <m/>
    <m/>
    <m/>
    <m/>
    <m/>
    <m/>
    <n v="2058365"/>
    <n v="6991796.5977800004"/>
    <s v="EPER"/>
    <n v="7414000005"/>
  </r>
  <r>
    <x v="1"/>
    <m/>
    <x v="0"/>
    <m/>
    <n v="0"/>
    <m/>
    <m/>
    <m/>
    <m/>
    <m/>
    <m/>
    <m/>
    <m/>
    <m/>
    <n v="36518"/>
    <n v="9753078.9578120001"/>
    <s v="EPER"/>
    <n v="7414000005"/>
  </r>
  <r>
    <x v="1"/>
    <m/>
    <x v="0"/>
    <m/>
    <n v="0"/>
    <m/>
    <m/>
    <m/>
    <m/>
    <m/>
    <m/>
    <m/>
    <m/>
    <m/>
    <n v="84090"/>
    <n v="65227922.368830003"/>
    <s v="EPER"/>
    <n v="7414000005"/>
  </r>
  <r>
    <x v="1"/>
    <m/>
    <x v="0"/>
    <m/>
    <n v="0"/>
    <m/>
    <m/>
    <m/>
    <m/>
    <m/>
    <m/>
    <m/>
    <m/>
    <m/>
    <n v="160215"/>
    <n v="119709192.48288"/>
    <s v="EPER"/>
    <n v="7414000005"/>
  </r>
  <r>
    <x v="1"/>
    <m/>
    <x v="0"/>
    <m/>
    <n v="0"/>
    <m/>
    <m/>
    <m/>
    <m/>
    <m/>
    <m/>
    <m/>
    <m/>
    <m/>
    <n v="63926"/>
    <n v="48962450.144657999"/>
    <s v="EPER"/>
    <n v="7414000005"/>
  </r>
  <r>
    <x v="1"/>
    <m/>
    <x v="0"/>
    <m/>
    <n v="0"/>
    <m/>
    <m/>
    <m/>
    <m/>
    <m/>
    <m/>
    <m/>
    <m/>
    <m/>
    <n v="58619"/>
    <n v="40147517.552801996"/>
    <s v="EPER"/>
    <n v="7414000005"/>
  </r>
  <r>
    <x v="1"/>
    <m/>
    <x v="0"/>
    <m/>
    <n v="0"/>
    <m/>
    <m/>
    <m/>
    <m/>
    <m/>
    <m/>
    <m/>
    <m/>
    <m/>
    <n v="75940"/>
    <n v="7597229.5003800001"/>
    <s v="EPER"/>
    <n v="7414000005"/>
  </r>
  <r>
    <x v="1"/>
    <m/>
    <x v="0"/>
    <m/>
    <n v="0"/>
    <m/>
    <m/>
    <m/>
    <m/>
    <m/>
    <m/>
    <m/>
    <m/>
    <m/>
    <n v="0"/>
    <n v="4492036.28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0262296"/>
    <n v="32195624.158808"/>
    <s v="EPER"/>
    <n v="7414000005"/>
  </r>
  <r>
    <x v="1"/>
    <m/>
    <x v="0"/>
    <m/>
    <n v="0"/>
    <m/>
    <m/>
    <m/>
    <m/>
    <m/>
    <m/>
    <m/>
    <m/>
    <m/>
    <n v="7751406"/>
    <n v="26358687.108624"/>
    <s v="EPER"/>
    <n v="7414000005"/>
  </r>
  <r>
    <x v="1"/>
    <m/>
    <x v="0"/>
    <m/>
    <n v="0"/>
    <m/>
    <m/>
    <m/>
    <m/>
    <m/>
    <m/>
    <m/>
    <m/>
    <m/>
    <n v="11517763"/>
    <n v="39123214.861036003"/>
    <s v="EPER"/>
    <n v="7414000005"/>
  </r>
  <r>
    <x v="1"/>
    <m/>
    <x v="0"/>
    <m/>
    <n v="0"/>
    <m/>
    <m/>
    <m/>
    <m/>
    <m/>
    <m/>
    <m/>
    <m/>
    <m/>
    <n v="8864858"/>
    <n v="30111901.438375998"/>
    <s v="EPER"/>
    <n v="7414000005"/>
  </r>
  <r>
    <x v="1"/>
    <m/>
    <x v="0"/>
    <m/>
    <n v="0"/>
    <m/>
    <m/>
    <m/>
    <m/>
    <m/>
    <m/>
    <m/>
    <m/>
    <m/>
    <n v="1317319"/>
    <n v="4479548.5287760003"/>
    <s v="EPER"/>
    <n v="7414000005"/>
  </r>
  <r>
    <x v="1"/>
    <m/>
    <x v="0"/>
    <m/>
    <n v="0"/>
    <m/>
    <m/>
    <m/>
    <m/>
    <m/>
    <m/>
    <m/>
    <m/>
    <m/>
    <n v="1154409"/>
    <n v="3925572.4221359999"/>
    <s v="EPER"/>
    <n v="7414000005"/>
  </r>
  <r>
    <x v="1"/>
    <m/>
    <x v="0"/>
    <m/>
    <n v="0"/>
    <m/>
    <m/>
    <m/>
    <m/>
    <m/>
    <m/>
    <m/>
    <m/>
    <m/>
    <n v="4543958"/>
    <n v="15451747.354831999"/>
    <s v="EPER"/>
    <n v="7414000005"/>
  </r>
  <r>
    <x v="1"/>
    <m/>
    <x v="0"/>
    <m/>
    <n v="0"/>
    <m/>
    <m/>
    <m/>
    <m/>
    <m/>
    <m/>
    <m/>
    <m/>
    <m/>
    <n v="12948845"/>
    <n v="44032599.217880003"/>
    <s v="EPER"/>
    <n v="7414000005"/>
  </r>
  <r>
    <x v="1"/>
    <m/>
    <x v="0"/>
    <m/>
    <n v="0"/>
    <m/>
    <m/>
    <m/>
    <m/>
    <m/>
    <m/>
    <m/>
    <m/>
    <m/>
    <n v="241684"/>
    <n v="821847.40873599995"/>
    <s v="EPER"/>
    <n v="7414000005"/>
  </r>
  <r>
    <x v="1"/>
    <m/>
    <x v="0"/>
    <m/>
    <n v="0"/>
    <m/>
    <m/>
    <m/>
    <m/>
    <m/>
    <m/>
    <m/>
    <m/>
    <m/>
    <n v="868633"/>
    <n v="2953789.9910320002"/>
    <s v="EPER"/>
    <n v="7414000005"/>
  </r>
  <r>
    <x v="1"/>
    <m/>
    <x v="0"/>
    <m/>
    <n v="0"/>
    <m/>
    <m/>
    <m/>
    <m/>
    <m/>
    <m/>
    <m/>
    <m/>
    <m/>
    <n v="1019962"/>
    <n v="3468384.8608479998"/>
    <s v="EPER"/>
    <n v="7414000005"/>
  </r>
  <r>
    <x v="1"/>
    <m/>
    <x v="0"/>
    <m/>
    <n v="0"/>
    <m/>
    <m/>
    <m/>
    <m/>
    <m/>
    <m/>
    <m/>
    <m/>
    <m/>
    <n v="1029558"/>
    <n v="3501016.097232"/>
    <s v="EPER"/>
    <n v="7414000005"/>
  </r>
  <r>
    <x v="1"/>
    <m/>
    <x v="0"/>
    <m/>
    <n v="0"/>
    <m/>
    <m/>
    <m/>
    <m/>
    <m/>
    <m/>
    <m/>
    <m/>
    <m/>
    <n v="390490"/>
    <n v="1327862.80696"/>
    <s v="EPER"/>
    <n v="7414000005"/>
  </r>
  <r>
    <x v="1"/>
    <m/>
    <x v="0"/>
    <m/>
    <n v="0"/>
    <m/>
    <m/>
    <m/>
    <m/>
    <m/>
    <m/>
    <m/>
    <m/>
    <m/>
    <n v="675518"/>
    <n v="2297101.6610719999"/>
    <s v="EPER"/>
    <n v="7414000005"/>
  </r>
  <r>
    <x v="1"/>
    <m/>
    <x v="0"/>
    <m/>
    <n v="0"/>
    <m/>
    <m/>
    <m/>
    <m/>
    <m/>
    <m/>
    <m/>
    <m/>
    <m/>
    <n v="35609687"/>
    <n v="120957987.73036399"/>
    <s v="EPER"/>
    <n v="7414000005"/>
  </r>
  <r>
    <x v="1"/>
    <m/>
    <x v="0"/>
    <m/>
    <n v="0"/>
    <m/>
    <m/>
    <m/>
    <m/>
    <m/>
    <m/>
    <m/>
    <m/>
    <m/>
    <n v="31675440"/>
    <n v="87642204.77808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360000"/>
    <n v="19990059.359999999"/>
    <s v="EPER"/>
    <n v="7414000005"/>
  </r>
  <r>
    <x v="1"/>
    <m/>
    <x v="0"/>
    <m/>
    <n v="0"/>
    <m/>
    <m/>
    <m/>
    <m/>
    <m/>
    <m/>
    <m/>
    <m/>
    <m/>
    <n v="236719"/>
    <n v="804080.47106799996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677092"/>
    <n v="15887015.147024"/>
    <s v="EPER"/>
    <n v="7414000005"/>
  </r>
  <r>
    <x v="1"/>
    <m/>
    <x v="0"/>
    <m/>
    <n v="0"/>
    <m/>
    <m/>
    <m/>
    <m/>
    <m/>
    <m/>
    <m/>
    <m/>
    <m/>
    <n v="979"/>
    <n v="3537.1083990000002"/>
    <s v="EPER"/>
    <n v="7414000005"/>
  </r>
  <r>
    <x v="1"/>
    <m/>
    <x v="0"/>
    <m/>
    <n v="0"/>
    <m/>
    <m/>
    <m/>
    <m/>
    <m/>
    <m/>
    <m/>
    <m/>
    <m/>
    <n v="1075"/>
    <n v="147325.43255"/>
    <s v="EPER"/>
    <n v="7414000005"/>
  </r>
  <r>
    <x v="1"/>
    <m/>
    <x v="0"/>
    <m/>
    <n v="0"/>
    <m/>
    <m/>
    <m/>
    <m/>
    <m/>
    <m/>
    <m/>
    <m/>
    <m/>
    <n v="274107"/>
    <n v="996789.00907200004"/>
    <s v="EPER"/>
    <n v="7414000005"/>
  </r>
  <r>
    <x v="1"/>
    <m/>
    <x v="0"/>
    <m/>
    <n v="0"/>
    <m/>
    <m/>
    <m/>
    <m/>
    <m/>
    <m/>
    <m/>
    <m/>
    <m/>
    <n v="5899"/>
    <n v="12573.742096"/>
    <s v="EPER"/>
    <n v="7414000005"/>
  </r>
  <r>
    <x v="1"/>
    <m/>
    <x v="0"/>
    <m/>
    <n v="0"/>
    <m/>
    <m/>
    <m/>
    <m/>
    <m/>
    <m/>
    <m/>
    <m/>
    <m/>
    <n v="61"/>
    <n v="171.71042499999999"/>
    <s v="EPER"/>
    <n v="7414000005"/>
  </r>
  <r>
    <x v="1"/>
    <m/>
    <x v="0"/>
    <m/>
    <n v="0"/>
    <m/>
    <m/>
    <m/>
    <m/>
    <m/>
    <m/>
    <m/>
    <m/>
    <m/>
    <n v="1190"/>
    <n v="4299.4473900000003"/>
    <s v="EPER"/>
    <n v="7414000005"/>
  </r>
  <r>
    <x v="1"/>
    <m/>
    <x v="0"/>
    <m/>
    <n v="0"/>
    <m/>
    <m/>
    <m/>
    <m/>
    <m/>
    <m/>
    <m/>
    <m/>
    <m/>
    <n v="177"/>
    <n v="24257.303778000001"/>
    <s v="EPER"/>
    <n v="7414000005"/>
  </r>
  <r>
    <x v="1"/>
    <m/>
    <x v="0"/>
    <m/>
    <n v="0"/>
    <m/>
    <m/>
    <m/>
    <m/>
    <m/>
    <m/>
    <m/>
    <m/>
    <m/>
    <n v="5490"/>
    <n v="19964.36304"/>
    <s v="EPER"/>
    <n v="7414000005"/>
  </r>
  <r>
    <x v="1"/>
    <m/>
    <x v="0"/>
    <m/>
    <n v="0"/>
    <m/>
    <m/>
    <m/>
    <m/>
    <m/>
    <m/>
    <m/>
    <m/>
    <m/>
    <n v="170"/>
    <n v="362.35568000000001"/>
    <s v="EPER"/>
    <n v="7414000005"/>
  </r>
  <r>
    <x v="1"/>
    <m/>
    <x v="0"/>
    <m/>
    <n v="0"/>
    <m/>
    <m/>
    <m/>
    <m/>
    <m/>
    <m/>
    <m/>
    <m/>
    <m/>
    <n v="30"/>
    <n v="84.447749999999999"/>
    <s v="EPER"/>
    <n v="7414000005"/>
  </r>
  <r>
    <x v="1"/>
    <m/>
    <x v="0"/>
    <m/>
    <n v="0"/>
    <m/>
    <m/>
    <m/>
    <m/>
    <m/>
    <m/>
    <m/>
    <m/>
    <m/>
    <n v="2928"/>
    <n v="10578.808368"/>
    <s v="EPER"/>
    <n v="7414000005"/>
  </r>
  <r>
    <x v="1"/>
    <m/>
    <x v="0"/>
    <m/>
    <n v="0"/>
    <m/>
    <m/>
    <m/>
    <m/>
    <m/>
    <m/>
    <m/>
    <m/>
    <m/>
    <n v="10753"/>
    <n v="1473665.466242"/>
    <s v="EPER"/>
    <n v="7414000005"/>
  </r>
  <r>
    <x v="1"/>
    <m/>
    <x v="0"/>
    <m/>
    <n v="0"/>
    <m/>
    <m/>
    <m/>
    <m/>
    <m/>
    <m/>
    <m/>
    <m/>
    <m/>
    <n v="897677"/>
    <n v="3264398.8197920001"/>
    <s v="EPER"/>
    <n v="7414000005"/>
  </r>
  <r>
    <x v="1"/>
    <m/>
    <x v="0"/>
    <m/>
    <n v="0"/>
    <m/>
    <m/>
    <m/>
    <m/>
    <m/>
    <m/>
    <m/>
    <m/>
    <m/>
    <n v="725104"/>
    <n v="1545562.076416"/>
    <s v="EPER"/>
    <n v="7414000005"/>
  </r>
  <r>
    <x v="1"/>
    <m/>
    <x v="0"/>
    <m/>
    <n v="0"/>
    <m/>
    <m/>
    <m/>
    <m/>
    <m/>
    <m/>
    <m/>
    <m/>
    <m/>
    <n v="127793"/>
    <n v="359727.710525"/>
    <s v="EPER"/>
    <n v="7414000005"/>
  </r>
  <r>
    <x v="1"/>
    <m/>
    <x v="0"/>
    <m/>
    <n v="0"/>
    <m/>
    <m/>
    <m/>
    <m/>
    <m/>
    <m/>
    <m/>
    <m/>
    <m/>
    <n v="2640"/>
    <n v="9538.2698400000008"/>
    <s v="EPER"/>
    <n v="7414000005"/>
  </r>
  <r>
    <x v="1"/>
    <m/>
    <x v="0"/>
    <m/>
    <n v="0"/>
    <m/>
    <m/>
    <m/>
    <m/>
    <m/>
    <m/>
    <m/>
    <m/>
    <m/>
    <n v="4715"/>
    <n v="646176.19950999995"/>
    <s v="EPER"/>
    <n v="7414000005"/>
  </r>
  <r>
    <x v="1"/>
    <m/>
    <x v="0"/>
    <m/>
    <n v="0"/>
    <m/>
    <m/>
    <m/>
    <m/>
    <m/>
    <m/>
    <m/>
    <m/>
    <m/>
    <n v="411734"/>
    <n v="1497269.044064"/>
    <s v="EPER"/>
    <n v="7414000005"/>
  </r>
  <r>
    <x v="1"/>
    <m/>
    <x v="0"/>
    <m/>
    <n v="0"/>
    <m/>
    <m/>
    <m/>
    <m/>
    <m/>
    <m/>
    <m/>
    <m/>
    <m/>
    <n v="346839"/>
    <n v="739288.71585599997"/>
    <s v="EPER"/>
    <n v="7414000005"/>
  </r>
  <r>
    <x v="1"/>
    <m/>
    <x v="0"/>
    <m/>
    <n v="0"/>
    <m/>
    <m/>
    <m/>
    <m/>
    <m/>
    <m/>
    <m/>
    <m/>
    <m/>
    <n v="58183"/>
    <n v="163780.78127499999"/>
    <s v="EPER"/>
    <n v="7414000005"/>
  </r>
  <r>
    <x v="1"/>
    <m/>
    <x v="0"/>
    <m/>
    <n v="0"/>
    <m/>
    <m/>
    <m/>
    <m/>
    <m/>
    <m/>
    <m/>
    <m/>
    <m/>
    <n v="2826981"/>
    <n v="9602609.9053320009"/>
    <s v="EPER"/>
    <n v="7414000005"/>
  </r>
  <r>
    <x v="1"/>
    <m/>
    <x v="0"/>
    <m/>
    <n v="0"/>
    <m/>
    <m/>
    <m/>
    <m/>
    <m/>
    <m/>
    <m/>
    <m/>
    <m/>
    <n v="165432"/>
    <n v="642411.16708799999"/>
    <s v="EPER"/>
    <n v="7414000005"/>
  </r>
  <r>
    <x v="1"/>
    <m/>
    <x v="0"/>
    <m/>
    <n v="0"/>
    <m/>
    <m/>
    <m/>
    <m/>
    <m/>
    <m/>
    <m/>
    <m/>
    <m/>
    <n v="502227"/>
    <n v="1389602.8462139999"/>
    <s v="EPER"/>
    <n v="7414000005"/>
  </r>
  <r>
    <x v="1"/>
    <m/>
    <x v="0"/>
    <m/>
    <n v="0"/>
    <m/>
    <m/>
    <m/>
    <m/>
    <m/>
    <m/>
    <m/>
    <m/>
    <m/>
    <n v="217"/>
    <n v="737.09952399999997"/>
    <s v="EPER"/>
    <n v="7414000005"/>
  </r>
  <r>
    <x v="1"/>
    <m/>
    <x v="0"/>
    <m/>
    <n v="0"/>
    <m/>
    <m/>
    <m/>
    <m/>
    <m/>
    <m/>
    <m/>
    <m/>
    <m/>
    <n v="955400"/>
    <n v="3248841.5216000001"/>
    <s v="EPER"/>
    <n v="7414000005"/>
  </r>
  <r>
    <x v="1"/>
    <m/>
    <x v="0"/>
    <m/>
    <n v="0"/>
    <m/>
    <m/>
    <m/>
    <m/>
    <m/>
    <m/>
    <m/>
    <m/>
    <m/>
    <n v="2050"/>
    <n v="20094334.51385"/>
    <s v="EPER"/>
    <n v="7414000005"/>
  </r>
  <r>
    <x v="1"/>
    <m/>
    <x v="0"/>
    <m/>
    <n v="0"/>
    <m/>
    <m/>
    <m/>
    <m/>
    <m/>
    <m/>
    <m/>
    <m/>
    <m/>
    <n v="782"/>
    <n v="7405265.60011"/>
    <s v="EPER"/>
    <n v="7414000005"/>
  </r>
  <r>
    <x v="1"/>
    <m/>
    <x v="0"/>
    <m/>
    <n v="0"/>
    <m/>
    <m/>
    <m/>
    <m/>
    <m/>
    <m/>
    <m/>
    <m/>
    <m/>
    <n v="266570"/>
    <n v="26657129.019880001"/>
    <s v="EPER"/>
    <n v="7414000005"/>
  </r>
  <r>
    <x v="1"/>
    <m/>
    <x v="0"/>
    <m/>
    <n v="0"/>
    <m/>
    <m/>
    <m/>
    <m/>
    <m/>
    <m/>
    <m/>
    <m/>
    <m/>
    <n v="101676"/>
    <n v="9929110.9095959999"/>
    <s v="EPER"/>
    <n v="7414000005"/>
  </r>
  <r>
    <x v="1"/>
    <m/>
    <x v="0"/>
    <m/>
    <n v="0"/>
    <m/>
    <m/>
    <m/>
    <m/>
    <m/>
    <m/>
    <m/>
    <m/>
    <m/>
    <n v="54530"/>
    <n v="5390794.7934400002"/>
    <s v="EPER"/>
    <n v="7414000005"/>
  </r>
  <r>
    <x v="1"/>
    <m/>
    <x v="0"/>
    <m/>
    <n v="0"/>
    <m/>
    <m/>
    <m/>
    <m/>
    <m/>
    <m/>
    <m/>
    <m/>
    <m/>
    <n v="15108920"/>
    <n v="143437861.60495999"/>
    <s v="EPER"/>
    <n v="7414000005"/>
  </r>
  <r>
    <x v="1"/>
    <m/>
    <x v="0"/>
    <m/>
    <n v="0"/>
    <m/>
    <m/>
    <m/>
    <m/>
    <m/>
    <m/>
    <m/>
    <m/>
    <m/>
    <n v="11054599"/>
    <n v="103229647.361637"/>
    <s v="EPER"/>
    <n v="7414000005"/>
  </r>
  <r>
    <x v="1"/>
    <m/>
    <x v="0"/>
    <m/>
    <n v="0"/>
    <m/>
    <m/>
    <m/>
    <m/>
    <m/>
    <m/>
    <m/>
    <m/>
    <m/>
    <n v="12942630"/>
    <n v="118944542.84031001"/>
    <s v="EPER"/>
    <n v="7414000005"/>
  </r>
  <r>
    <x v="1"/>
    <m/>
    <x v="0"/>
    <m/>
    <n v="0"/>
    <m/>
    <m/>
    <m/>
    <m/>
    <m/>
    <m/>
    <m/>
    <m/>
    <m/>
    <n v="8000000"/>
    <n v="73227720"/>
    <s v="EPER"/>
    <n v="7414000005"/>
  </r>
  <r>
    <x v="1"/>
    <m/>
    <x v="0"/>
    <m/>
    <n v="0"/>
    <m/>
    <m/>
    <m/>
    <m/>
    <m/>
    <m/>
    <m/>
    <m/>
    <m/>
    <n v="2500000"/>
    <n v="22709925"/>
    <s v="EPER"/>
    <n v="7414000005"/>
  </r>
  <r>
    <x v="1"/>
    <m/>
    <x v="0"/>
    <m/>
    <n v="0"/>
    <m/>
    <m/>
    <m/>
    <m/>
    <m/>
    <m/>
    <m/>
    <m/>
    <m/>
    <n v="3268870"/>
    <n v="29456598.249759998"/>
    <s v="EPER"/>
    <n v="7414000005"/>
  </r>
  <r>
    <x v="1"/>
    <m/>
    <x v="0"/>
    <m/>
    <n v="0"/>
    <m/>
    <m/>
    <m/>
    <m/>
    <m/>
    <m/>
    <m/>
    <m/>
    <m/>
    <n v="10000000"/>
    <n v="85044190"/>
    <s v="EPER"/>
    <n v="7414000005"/>
  </r>
  <r>
    <x v="1"/>
    <m/>
    <x v="0"/>
    <m/>
    <n v="0"/>
    <m/>
    <m/>
    <m/>
    <m/>
    <m/>
    <m/>
    <m/>
    <m/>
    <m/>
    <n v="4856630"/>
    <n v="40705120.70713"/>
    <s v="EPER"/>
    <n v="7414000005"/>
  </r>
  <r>
    <x v="1"/>
    <m/>
    <x v="0"/>
    <m/>
    <n v="0"/>
    <m/>
    <m/>
    <m/>
    <m/>
    <m/>
    <m/>
    <m/>
    <m/>
    <m/>
    <n v="7591980"/>
    <n v="62695064.318700001"/>
    <s v="EPER"/>
    <n v="7414000005"/>
  </r>
  <r>
    <x v="1"/>
    <m/>
    <x v="0"/>
    <m/>
    <n v="0"/>
    <m/>
    <m/>
    <m/>
    <m/>
    <m/>
    <m/>
    <m/>
    <m/>
    <m/>
    <n v="0"/>
    <n v="54991315.159999996"/>
    <s v="EPER"/>
    <n v="7414000005"/>
  </r>
  <r>
    <x v="1"/>
    <m/>
    <x v="0"/>
    <m/>
    <n v="0"/>
    <m/>
    <m/>
    <m/>
    <m/>
    <m/>
    <m/>
    <m/>
    <m/>
    <m/>
    <n v="135255"/>
    <n v="13207394.30652"/>
    <s v="EPER"/>
    <n v="7414000005"/>
  </r>
  <r>
    <x v="1"/>
    <m/>
    <x v="0"/>
    <m/>
    <n v="0"/>
    <m/>
    <m/>
    <m/>
    <m/>
    <m/>
    <m/>
    <m/>
    <m/>
    <m/>
    <n v="99180"/>
    <n v="9920071.7710200008"/>
    <s v="EPER"/>
    <n v="7414000005"/>
  </r>
  <r>
    <x v="1"/>
    <m/>
    <x v="0"/>
    <m/>
    <n v="0"/>
    <m/>
    <m/>
    <m/>
    <m/>
    <m/>
    <m/>
    <m/>
    <m/>
    <m/>
    <n v="800000"/>
    <n v="38910312.799999997"/>
    <s v="EPER"/>
    <n v="7414000005"/>
  </r>
  <r>
    <x v="1"/>
    <m/>
    <x v="0"/>
    <m/>
    <n v="0"/>
    <m/>
    <m/>
    <m/>
    <m/>
    <m/>
    <m/>
    <m/>
    <m/>
    <m/>
    <n v="1301150"/>
    <n v="123440304.78055"/>
    <s v="EPER"/>
    <n v="7414000005"/>
  </r>
  <r>
    <x v="1"/>
    <m/>
    <x v="0"/>
    <m/>
    <n v="0"/>
    <m/>
    <m/>
    <m/>
    <m/>
    <m/>
    <m/>
    <m/>
    <m/>
    <m/>
    <n v="774901"/>
    <n v="69345475.917964995"/>
    <s v="EPER"/>
    <n v="7414000005"/>
  </r>
  <r>
    <x v="1"/>
    <m/>
    <x v="0"/>
    <m/>
    <n v="0"/>
    <m/>
    <m/>
    <m/>
    <m/>
    <m/>
    <m/>
    <m/>
    <m/>
    <m/>
    <n v="1355978"/>
    <n v="116881409.23118401"/>
    <s v="EPER"/>
    <n v="7414000005"/>
  </r>
  <r>
    <x v="1"/>
    <m/>
    <x v="0"/>
    <m/>
    <n v="0"/>
    <m/>
    <m/>
    <m/>
    <m/>
    <m/>
    <m/>
    <m/>
    <m/>
    <m/>
    <n v="250000"/>
    <n v="21617338.5"/>
    <s v="EPER"/>
    <n v="7414000005"/>
  </r>
  <r>
    <x v="1"/>
    <m/>
    <x v="0"/>
    <m/>
    <n v="0"/>
    <m/>
    <m/>
    <m/>
    <m/>
    <m/>
    <m/>
    <m/>
    <m/>
    <m/>
    <n v="308280"/>
    <n v="27635197.064160001"/>
    <s v="EPER"/>
    <n v="7414000005"/>
  </r>
  <r>
    <x v="1"/>
    <m/>
    <x v="0"/>
    <m/>
    <n v="0"/>
    <m/>
    <m/>
    <m/>
    <m/>
    <m/>
    <m/>
    <m/>
    <m/>
    <m/>
    <n v="970607"/>
    <n v="79336309.688020006"/>
    <s v="EPER"/>
    <n v="7414000005"/>
  </r>
  <r>
    <x v="1"/>
    <m/>
    <x v="0"/>
    <m/>
    <n v="0"/>
    <m/>
    <m/>
    <m/>
    <m/>
    <m/>
    <m/>
    <m/>
    <m/>
    <m/>
    <n v="371804"/>
    <n v="30934375.742844"/>
    <s v="EPER"/>
    <n v="7414000005"/>
  </r>
  <r>
    <x v="1"/>
    <m/>
    <x v="0"/>
    <m/>
    <n v="0"/>
    <m/>
    <m/>
    <m/>
    <m/>
    <m/>
    <m/>
    <m/>
    <m/>
    <m/>
    <n v="328983"/>
    <n v="27029212.684581"/>
    <s v="EPER"/>
    <n v="7414000005"/>
  </r>
  <r>
    <x v="1"/>
    <m/>
    <x v="0"/>
    <m/>
    <n v="0"/>
    <m/>
    <m/>
    <m/>
    <m/>
    <m/>
    <m/>
    <m/>
    <m/>
    <m/>
    <n v="270000"/>
    <n v="26999779.949999999"/>
    <s v="EPER"/>
    <n v="7414000005"/>
  </r>
  <r>
    <x v="1"/>
    <m/>
    <x v="0"/>
    <m/>
    <n v="0"/>
    <m/>
    <m/>
    <m/>
    <m/>
    <m/>
    <m/>
    <m/>
    <m/>
    <m/>
    <n v="141115"/>
    <n v="13160100.694390001"/>
    <s v="EPER"/>
    <n v="7414000005"/>
  </r>
  <r>
    <x v="1"/>
    <m/>
    <x v="0"/>
    <m/>
    <n v="0"/>
    <m/>
    <m/>
    <m/>
    <m/>
    <m/>
    <m/>
    <m/>
    <m/>
    <m/>
    <n v="329867"/>
    <n v="31991041.322411999"/>
    <s v="EPER"/>
    <n v="7414000005"/>
  </r>
  <r>
    <x v="1"/>
    <m/>
    <x v="0"/>
    <m/>
    <n v="0"/>
    <m/>
    <m/>
    <m/>
    <m/>
    <m/>
    <m/>
    <m/>
    <m/>
    <m/>
    <n v="500000"/>
    <n v="49003917"/>
    <s v="EPER"/>
    <n v="7414000005"/>
  </r>
  <r>
    <x v="1"/>
    <m/>
    <x v="0"/>
    <m/>
    <n v="0"/>
    <m/>
    <m/>
    <m/>
    <m/>
    <m/>
    <m/>
    <m/>
    <m/>
    <m/>
    <n v="111691"/>
    <n v="84250025.331006005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67963873"/>
    <n v="67004019.221620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77169979"/>
    <n v="285000616.62376601"/>
    <s v="EPER"/>
    <n v="7414000005"/>
  </r>
  <r>
    <x v="1"/>
    <m/>
    <x v="0"/>
    <m/>
    <n v="0"/>
    <m/>
    <m/>
    <m/>
    <m/>
    <m/>
    <m/>
    <m/>
    <m/>
    <m/>
    <n v="107401"/>
    <n v="82260990.958083004"/>
    <s v="EPER"/>
    <n v="7414000005"/>
  </r>
  <r>
    <x v="1"/>
    <m/>
    <x v="0"/>
    <m/>
    <n v="0"/>
    <m/>
    <m/>
    <m/>
    <m/>
    <m/>
    <m/>
    <m/>
    <m/>
    <m/>
    <n v="155820"/>
    <n v="106719428.59955999"/>
    <s v="EPER"/>
    <n v="7414000005"/>
  </r>
  <r>
    <x v="1"/>
    <m/>
    <x v="0"/>
    <m/>
    <n v="0"/>
    <m/>
    <m/>
    <m/>
    <m/>
    <m/>
    <m/>
    <m/>
    <m/>
    <m/>
    <n v="113092"/>
    <n v="87411856.325780004"/>
    <s v="EPER"/>
    <n v="7414000005"/>
  </r>
  <r>
    <x v="1"/>
    <m/>
    <x v="0"/>
    <m/>
    <n v="0"/>
    <m/>
    <m/>
    <m/>
    <m/>
    <m/>
    <m/>
    <m/>
    <m/>
    <m/>
    <n v="107848"/>
    <n v="77822538.734720007"/>
    <s v="EPER"/>
    <n v="7414000005"/>
  </r>
  <r>
    <x v="1"/>
    <m/>
    <x v="0"/>
    <m/>
    <n v="0"/>
    <m/>
    <m/>
    <m/>
    <m/>
    <m/>
    <m/>
    <m/>
    <m/>
    <m/>
    <n v="52000"/>
    <n v="33070082.188000001"/>
    <s v="EPER"/>
    <n v="7414000005"/>
  </r>
  <r>
    <x v="1"/>
    <m/>
    <x v="0"/>
    <m/>
    <n v="0"/>
    <m/>
    <m/>
    <m/>
    <m/>
    <m/>
    <m/>
    <m/>
    <m/>
    <m/>
    <n v="82137"/>
    <n v="58265502.416516997"/>
    <s v="EPER"/>
    <n v="7414000005"/>
  </r>
  <r>
    <x v="1"/>
    <m/>
    <x v="0"/>
    <m/>
    <n v="0"/>
    <m/>
    <m/>
    <m/>
    <m/>
    <m/>
    <m/>
    <m/>
    <m/>
    <m/>
    <n v="138946"/>
    <n v="96485656.788902"/>
    <s v="EPER"/>
    <n v="7414000005"/>
  </r>
  <r>
    <x v="1"/>
    <m/>
    <x v="0"/>
    <m/>
    <n v="0"/>
    <m/>
    <m/>
    <m/>
    <m/>
    <m/>
    <m/>
    <m/>
    <m/>
    <m/>
    <n v="73776247"/>
    <n v="178886372.744605"/>
    <s v="EPER"/>
    <n v="7414000005"/>
  </r>
  <r>
    <x v="1"/>
    <m/>
    <x v="0"/>
    <m/>
    <n v="0"/>
    <m/>
    <m/>
    <m/>
    <m/>
    <m/>
    <m/>
    <m/>
    <m/>
    <m/>
    <n v="113110"/>
    <n v="11315810.22897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795043"/>
    <n v="6097351.8011959996"/>
    <s v="EPER"/>
    <n v="7414000005"/>
  </r>
  <r>
    <x v="1"/>
    <m/>
    <x v="0"/>
    <m/>
    <n v="0"/>
    <m/>
    <m/>
    <m/>
    <m/>
    <m/>
    <m/>
    <m/>
    <m/>
    <m/>
    <n v="6987"/>
    <n v="66331.699355999997"/>
    <s v="EPER"/>
    <n v="7414000005"/>
  </r>
  <r>
    <x v="1"/>
    <m/>
    <x v="0"/>
    <m/>
    <n v="0"/>
    <m/>
    <m/>
    <m/>
    <m/>
    <m/>
    <m/>
    <m/>
    <m/>
    <m/>
    <n v="9530"/>
    <n v="88992.69339"/>
    <s v="EPER"/>
    <n v="7414000005"/>
  </r>
  <r>
    <x v="1"/>
    <m/>
    <x v="0"/>
    <m/>
    <n v="0"/>
    <m/>
    <m/>
    <m/>
    <m/>
    <m/>
    <m/>
    <m/>
    <m/>
    <m/>
    <n v="11810"/>
    <n v="108535.51797"/>
    <s v="EPER"/>
    <n v="7414000005"/>
  </r>
  <r>
    <x v="1"/>
    <m/>
    <x v="0"/>
    <m/>
    <n v="0"/>
    <m/>
    <m/>
    <m/>
    <m/>
    <m/>
    <m/>
    <m/>
    <m/>
    <m/>
    <n v="3060"/>
    <n v="25646.93406"/>
    <s v="EPER"/>
    <n v="7414000005"/>
  </r>
  <r>
    <x v="1"/>
    <m/>
    <x v="0"/>
    <m/>
    <n v="0"/>
    <m/>
    <m/>
    <m/>
    <m/>
    <m/>
    <m/>
    <m/>
    <m/>
    <m/>
    <n v="6190"/>
    <n v="51117.422350000001"/>
    <s v="EPER"/>
    <n v="7414000005"/>
  </r>
  <r>
    <x v="1"/>
    <m/>
    <x v="0"/>
    <m/>
    <n v="0"/>
    <m/>
    <m/>
    <m/>
    <m/>
    <m/>
    <m/>
    <m/>
    <m/>
    <m/>
    <n v="220"/>
    <n v="21720.676780000002"/>
    <s v="EPER"/>
    <n v="7414000005"/>
  </r>
  <r>
    <x v="1"/>
    <m/>
    <x v="0"/>
    <m/>
    <n v="0"/>
    <m/>
    <m/>
    <m/>
    <m/>
    <m/>
    <m/>
    <m/>
    <m/>
    <m/>
    <n v="368"/>
    <n v="36523.079264"/>
    <s v="EPER"/>
    <n v="7414000005"/>
  </r>
  <r>
    <x v="1"/>
    <m/>
    <x v="0"/>
    <m/>
    <n v="0"/>
    <m/>
    <m/>
    <m/>
    <m/>
    <m/>
    <m/>
    <m/>
    <m/>
    <m/>
    <n v="587"/>
    <n v="55749.237288999997"/>
    <s v="EPER"/>
    <n v="7414000005"/>
  </r>
  <r>
    <x v="1"/>
    <m/>
    <x v="0"/>
    <m/>
    <n v="0"/>
    <m/>
    <m/>
    <m/>
    <m/>
    <m/>
    <m/>
    <m/>
    <m/>
    <m/>
    <n v="349"/>
    <n v="32077.225528999999"/>
    <s v="EPER"/>
    <n v="7414000005"/>
  </r>
  <r>
    <x v="1"/>
    <m/>
    <x v="0"/>
    <m/>
    <n v="0"/>
    <m/>
    <m/>
    <m/>
    <m/>
    <m/>
    <m/>
    <m/>
    <m/>
    <m/>
    <n v="344"/>
    <n v="30512.154311999999"/>
    <s v="EPER"/>
    <n v="7414000005"/>
  </r>
  <r>
    <x v="1"/>
    <m/>
    <x v="0"/>
    <m/>
    <n v="0"/>
    <m/>
    <m/>
    <m/>
    <m/>
    <m/>
    <m/>
    <m/>
    <m/>
    <m/>
    <n v="457"/>
    <n v="42644.585744000004"/>
    <s v="EPER"/>
    <n v="7414000005"/>
  </r>
  <r>
    <x v="1"/>
    <m/>
    <x v="0"/>
    <m/>
    <n v="0"/>
    <m/>
    <m/>
    <m/>
    <m/>
    <m/>
    <m/>
    <m/>
    <m/>
    <m/>
    <n v="320"/>
    <n v="30356.533759999998"/>
    <s v="EPER"/>
    <n v="7414000005"/>
  </r>
  <r>
    <x v="1"/>
    <m/>
    <x v="0"/>
    <m/>
    <n v="0"/>
    <m/>
    <m/>
    <m/>
    <m/>
    <m/>
    <m/>
    <m/>
    <m/>
    <m/>
    <n v="153"/>
    <n v="14515.134021"/>
    <s v="EPER"/>
    <n v="7414000005"/>
  </r>
  <r>
    <x v="1"/>
    <m/>
    <x v="0"/>
    <m/>
    <n v="0"/>
    <m/>
    <m/>
    <m/>
    <m/>
    <m/>
    <m/>
    <m/>
    <m/>
    <m/>
    <n v="570"/>
    <n v="51008.995049999998"/>
    <s v="EPER"/>
    <n v="7414000005"/>
  </r>
  <r>
    <x v="1"/>
    <m/>
    <x v="0"/>
    <m/>
    <n v="0"/>
    <m/>
    <m/>
    <m/>
    <m/>
    <m/>
    <m/>
    <m/>
    <m/>
    <m/>
    <n v="360"/>
    <n v="31030.966079999998"/>
    <s v="EPER"/>
    <n v="7414000005"/>
  </r>
  <r>
    <x v="1"/>
    <m/>
    <x v="0"/>
    <m/>
    <n v="0"/>
    <m/>
    <m/>
    <m/>
    <m/>
    <m/>
    <m/>
    <m/>
    <m/>
    <m/>
    <n v="607"/>
    <n v="52486.897878000003"/>
    <s v="EPER"/>
    <n v="7414000005"/>
  </r>
  <r>
    <x v="1"/>
    <m/>
    <x v="0"/>
    <m/>
    <n v="0"/>
    <m/>
    <m/>
    <m/>
    <m/>
    <m/>
    <m/>
    <m/>
    <m/>
    <m/>
    <n v="12"/>
    <n v="1217.4115919999999"/>
    <s v="EPER"/>
    <n v="7414000005"/>
  </r>
  <r>
    <x v="1"/>
    <m/>
    <x v="0"/>
    <m/>
    <n v="0"/>
    <m/>
    <m/>
    <m/>
    <m/>
    <m/>
    <m/>
    <m/>
    <m/>
    <m/>
    <n v="76"/>
    <n v="6812.8810720000001"/>
    <s v="EPER"/>
    <n v="7414000005"/>
  </r>
  <r>
    <x v="1"/>
    <m/>
    <x v="0"/>
    <m/>
    <n v="0"/>
    <m/>
    <m/>
    <m/>
    <m/>
    <m/>
    <m/>
    <m/>
    <m/>
    <m/>
    <n v="634"/>
    <n v="51822.437239999999"/>
    <s v="EPER"/>
    <n v="7414000005"/>
  </r>
  <r>
    <x v="1"/>
    <m/>
    <x v="0"/>
    <m/>
    <n v="0"/>
    <m/>
    <m/>
    <m/>
    <m/>
    <m/>
    <m/>
    <m/>
    <m/>
    <m/>
    <n v="77"/>
    <n v="6406.4585969999998"/>
    <s v="EPER"/>
    <n v="7414000005"/>
  </r>
  <r>
    <x v="1"/>
    <m/>
    <x v="0"/>
    <m/>
    <n v="0"/>
    <m/>
    <m/>
    <m/>
    <m/>
    <m/>
    <m/>
    <m/>
    <m/>
    <m/>
    <n v="944"/>
    <n v="77558.952208000002"/>
    <s v="EPER"/>
    <n v="7414000005"/>
  </r>
  <r>
    <x v="1"/>
    <m/>
    <x v="0"/>
    <m/>
    <n v="0"/>
    <m/>
    <m/>
    <m/>
    <m/>
    <m/>
    <m/>
    <m/>
    <m/>
    <m/>
    <n v="640"/>
    <n v="62725.013760000002"/>
    <s v="EPER"/>
    <n v="7414000005"/>
  </r>
  <r>
    <x v="1"/>
    <m/>
    <x v="0"/>
    <m/>
    <n v="0"/>
    <m/>
    <m/>
    <m/>
    <m/>
    <m/>
    <m/>
    <m/>
    <m/>
    <m/>
    <n v="78547"/>
    <n v="266806.25028400001"/>
    <s v="EPER"/>
    <n v="7414000005"/>
  </r>
  <r>
    <x v="1"/>
    <m/>
    <x v="0"/>
    <m/>
    <n v="0"/>
    <m/>
    <m/>
    <m/>
    <m/>
    <m/>
    <m/>
    <m/>
    <m/>
    <m/>
    <n v="83091"/>
    <n v="322661.796294"/>
    <s v="EPER"/>
    <n v="7414000005"/>
  </r>
  <r>
    <x v="1"/>
    <m/>
    <x v="0"/>
    <m/>
    <n v="0"/>
    <m/>
    <m/>
    <m/>
    <m/>
    <m/>
    <m/>
    <m/>
    <m/>
    <m/>
    <n v="30"/>
    <n v="7681.5034500000002"/>
    <s v="EPER"/>
    <n v="7414000005"/>
  </r>
  <r>
    <x v="1"/>
    <m/>
    <x v="0"/>
    <m/>
    <n v="0"/>
    <m/>
    <m/>
    <m/>
    <m/>
    <m/>
    <m/>
    <m/>
    <m/>
    <m/>
    <n v="45"/>
    <n v="34906.130415"/>
    <s v="EPER"/>
    <n v="7414000005"/>
  </r>
  <r>
    <x v="1"/>
    <m/>
    <x v="0"/>
    <m/>
    <n v="0"/>
    <m/>
    <m/>
    <m/>
    <m/>
    <m/>
    <m/>
    <m/>
    <m/>
    <m/>
    <n v="70"/>
    <n v="52302.490239999999"/>
    <s v="EPER"/>
    <n v="7414000005"/>
  </r>
  <r>
    <x v="1"/>
    <m/>
    <x v="0"/>
    <m/>
    <n v="0"/>
    <m/>
    <m/>
    <m/>
    <m/>
    <m/>
    <m/>
    <m/>
    <m/>
    <m/>
    <n v="70"/>
    <n v="53614.67181"/>
    <s v="EPER"/>
    <n v="7414000005"/>
  </r>
  <r>
    <x v="1"/>
    <m/>
    <x v="0"/>
    <m/>
    <n v="0"/>
    <m/>
    <m/>
    <m/>
    <m/>
    <m/>
    <m/>
    <m/>
    <m/>
    <m/>
    <n v="288"/>
    <n v="197248.07750399999"/>
    <s v="EPER"/>
    <n v="7414000005"/>
  </r>
  <r>
    <x v="1"/>
    <m/>
    <x v="0"/>
    <m/>
    <n v="0"/>
    <m/>
    <m/>
    <m/>
    <m/>
    <m/>
    <m/>
    <m/>
    <m/>
    <m/>
    <n v="32"/>
    <n v="24733.66288"/>
    <s v="EPER"/>
    <n v="7414000005"/>
  </r>
  <r>
    <x v="1"/>
    <m/>
    <x v="0"/>
    <m/>
    <n v="0"/>
    <m/>
    <m/>
    <m/>
    <m/>
    <m/>
    <m/>
    <m/>
    <m/>
    <m/>
    <n v="39"/>
    <n v="28142.19096"/>
    <s v="EPER"/>
    <n v="7414000005"/>
  </r>
  <r>
    <x v="1"/>
    <m/>
    <x v="0"/>
    <m/>
    <n v="0"/>
    <m/>
    <m/>
    <m/>
    <m/>
    <m/>
    <m/>
    <m/>
    <m/>
    <m/>
    <n v="28"/>
    <n v="17806.967332"/>
    <s v="EPER"/>
    <n v="7414000005"/>
  </r>
  <r>
    <x v="1"/>
    <m/>
    <x v="0"/>
    <m/>
    <n v="0"/>
    <m/>
    <m/>
    <m/>
    <m/>
    <m/>
    <m/>
    <m/>
    <m/>
    <m/>
    <n v="48"/>
    <n v="34049.747567999999"/>
    <s v="EPER"/>
    <n v="7414000005"/>
  </r>
  <r>
    <x v="1"/>
    <m/>
    <x v="0"/>
    <m/>
    <n v="0"/>
    <m/>
    <m/>
    <m/>
    <m/>
    <m/>
    <m/>
    <m/>
    <m/>
    <m/>
    <n v="192"/>
    <n v="133326.947904"/>
    <s v="EPER"/>
    <n v="7414000005"/>
  </r>
  <r>
    <x v="1"/>
    <m/>
    <x v="0"/>
    <m/>
    <n v="0"/>
    <m/>
    <m/>
    <m/>
    <m/>
    <m/>
    <m/>
    <m/>
    <m/>
    <m/>
    <n v="224000"/>
    <n v="1027012.224"/>
    <s v="EPER"/>
    <n v="7414000005"/>
  </r>
  <r>
    <x v="1"/>
    <m/>
    <x v="0"/>
    <m/>
    <n v="0"/>
    <m/>
    <m/>
    <m/>
    <m/>
    <m/>
    <m/>
    <m/>
    <m/>
    <m/>
    <n v="11786"/>
    <n v="40034.354791999998"/>
    <s v="EPER"/>
    <n v="7414000005"/>
  </r>
  <r>
    <x v="1"/>
    <m/>
    <x v="0"/>
    <m/>
    <n v="0"/>
    <m/>
    <m/>
    <m/>
    <m/>
    <m/>
    <m/>
    <m/>
    <m/>
    <m/>
    <n v="110719"/>
    <n v="1051120.569772"/>
    <s v="EPER"/>
    <n v="7414000005"/>
  </r>
  <r>
    <x v="1"/>
    <m/>
    <x v="0"/>
    <m/>
    <n v="0"/>
    <m/>
    <m/>
    <m/>
    <m/>
    <m/>
    <m/>
    <m/>
    <m/>
    <m/>
    <n v="150830"/>
    <n v="1408475.1252900001"/>
    <s v="EPER"/>
    <n v="7414000005"/>
  </r>
  <r>
    <x v="1"/>
    <m/>
    <x v="0"/>
    <m/>
    <n v="0"/>
    <m/>
    <m/>
    <m/>
    <m/>
    <m/>
    <m/>
    <m/>
    <m/>
    <m/>
    <n v="193050"/>
    <n v="1774155.9478500001"/>
    <s v="EPER"/>
    <n v="7414000005"/>
  </r>
  <r>
    <x v="1"/>
    <m/>
    <x v="0"/>
    <m/>
    <n v="0"/>
    <m/>
    <m/>
    <m/>
    <m/>
    <m/>
    <m/>
    <m/>
    <m/>
    <m/>
    <n v="50830"/>
    <n v="426024.07133000001"/>
    <s v="EPER"/>
    <n v="7414000005"/>
  </r>
  <r>
    <x v="1"/>
    <m/>
    <x v="0"/>
    <m/>
    <n v="0"/>
    <m/>
    <m/>
    <m/>
    <m/>
    <m/>
    <m/>
    <m/>
    <m/>
    <m/>
    <n v="103700"/>
    <n v="856361.34050000005"/>
    <s v="EPER"/>
    <n v="7414000005"/>
  </r>
  <r>
    <x v="1"/>
    <m/>
    <x v="0"/>
    <m/>
    <n v="0"/>
    <m/>
    <m/>
    <m/>
    <m/>
    <m/>
    <m/>
    <m/>
    <m/>
    <m/>
    <n v="4310"/>
    <n v="425527.80419"/>
    <s v="EPER"/>
    <n v="7414000005"/>
  </r>
  <r>
    <x v="1"/>
    <m/>
    <x v="0"/>
    <m/>
    <n v="0"/>
    <m/>
    <m/>
    <m/>
    <m/>
    <m/>
    <m/>
    <m/>
    <m/>
    <m/>
    <n v="7887"/>
    <n v="782765.016726"/>
    <s v="EPER"/>
    <n v="7414000005"/>
  </r>
  <r>
    <x v="1"/>
    <m/>
    <x v="0"/>
    <m/>
    <n v="0"/>
    <m/>
    <m/>
    <m/>
    <m/>
    <m/>
    <m/>
    <m/>
    <m/>
    <m/>
    <n v="9342"/>
    <n v="887239.13927399996"/>
    <s v="EPER"/>
    <n v="7414000005"/>
  </r>
  <r>
    <x v="1"/>
    <m/>
    <x v="0"/>
    <m/>
    <n v="0"/>
    <m/>
    <m/>
    <m/>
    <m/>
    <m/>
    <m/>
    <m/>
    <m/>
    <m/>
    <n v="5288"/>
    <n v="486029.70944800001"/>
    <s v="EPER"/>
    <n v="7414000005"/>
  </r>
  <r>
    <x v="1"/>
    <m/>
    <x v="0"/>
    <m/>
    <n v="0"/>
    <m/>
    <m/>
    <m/>
    <m/>
    <m/>
    <m/>
    <m/>
    <m/>
    <m/>
    <n v="5670"/>
    <n v="502918.35741"/>
    <s v="EPER"/>
    <n v="7414000005"/>
  </r>
  <r>
    <x v="1"/>
    <m/>
    <x v="0"/>
    <m/>
    <n v="0"/>
    <m/>
    <m/>
    <m/>
    <m/>
    <m/>
    <m/>
    <m/>
    <m/>
    <m/>
    <n v="5049"/>
    <n v="471143.355408"/>
    <s v="EPER"/>
    <n v="7414000005"/>
  </r>
  <r>
    <x v="1"/>
    <m/>
    <x v="0"/>
    <m/>
    <n v="0"/>
    <m/>
    <m/>
    <m/>
    <m/>
    <m/>
    <m/>
    <m/>
    <m/>
    <m/>
    <n v="5250"/>
    <n v="498036.88199999998"/>
    <s v="EPER"/>
    <n v="7414000005"/>
  </r>
  <r>
    <x v="1"/>
    <m/>
    <x v="0"/>
    <m/>
    <n v="0"/>
    <m/>
    <m/>
    <m/>
    <m/>
    <m/>
    <m/>
    <m/>
    <m/>
    <m/>
    <n v="2037"/>
    <n v="193250.50980900001"/>
    <s v="EPER"/>
    <n v="7414000005"/>
  </r>
  <r>
    <x v="1"/>
    <m/>
    <x v="0"/>
    <m/>
    <n v="0"/>
    <m/>
    <m/>
    <m/>
    <m/>
    <m/>
    <m/>
    <m/>
    <m/>
    <m/>
    <n v="8702"/>
    <n v="778737.32443000004"/>
    <s v="EPER"/>
    <n v="7414000005"/>
  </r>
  <r>
    <x v="1"/>
    <m/>
    <x v="0"/>
    <m/>
    <n v="0"/>
    <m/>
    <m/>
    <m/>
    <m/>
    <m/>
    <m/>
    <m/>
    <m/>
    <m/>
    <n v="5760"/>
    <n v="496495.45727999997"/>
    <s v="EPER"/>
    <n v="7414000005"/>
  </r>
  <r>
    <x v="1"/>
    <m/>
    <x v="0"/>
    <m/>
    <n v="0"/>
    <m/>
    <m/>
    <m/>
    <m/>
    <m/>
    <m/>
    <m/>
    <m/>
    <m/>
    <n v="21055"/>
    <n v="1820612.24847"/>
    <s v="EPER"/>
    <n v="7414000005"/>
  </r>
  <r>
    <x v="1"/>
    <m/>
    <x v="0"/>
    <m/>
    <n v="0"/>
    <m/>
    <m/>
    <m/>
    <m/>
    <m/>
    <m/>
    <m/>
    <m/>
    <m/>
    <n v="403"/>
    <n v="40884.739298"/>
    <s v="EPER"/>
    <n v="7414000005"/>
  </r>
  <r>
    <x v="1"/>
    <m/>
    <x v="0"/>
    <m/>
    <n v="0"/>
    <m/>
    <m/>
    <m/>
    <m/>
    <m/>
    <m/>
    <m/>
    <m/>
    <m/>
    <n v="517"/>
    <n v="46345.519924"/>
    <s v="EPER"/>
    <n v="7414000005"/>
  </r>
  <r>
    <x v="1"/>
    <m/>
    <x v="0"/>
    <m/>
    <n v="0"/>
    <m/>
    <m/>
    <m/>
    <m/>
    <m/>
    <m/>
    <m/>
    <m/>
    <m/>
    <n v="10307"/>
    <n v="842482.43001999997"/>
    <s v="EPER"/>
    <n v="7414000005"/>
  </r>
  <r>
    <x v="1"/>
    <m/>
    <x v="0"/>
    <m/>
    <n v="0"/>
    <m/>
    <m/>
    <m/>
    <m/>
    <m/>
    <m/>
    <m/>
    <m/>
    <m/>
    <n v="2487"/>
    <n v="206920.29260700001"/>
    <s v="EPER"/>
    <n v="7414000005"/>
  </r>
  <r>
    <x v="1"/>
    <m/>
    <x v="0"/>
    <m/>
    <n v="0"/>
    <m/>
    <m/>
    <m/>
    <m/>
    <m/>
    <m/>
    <m/>
    <m/>
    <m/>
    <n v="15918"/>
    <n v="1307821.3996260001"/>
    <s v="EPER"/>
    <n v="7414000005"/>
  </r>
  <r>
    <x v="1"/>
    <m/>
    <x v="0"/>
    <m/>
    <n v="0"/>
    <m/>
    <m/>
    <m/>
    <m/>
    <m/>
    <m/>
    <m/>
    <m/>
    <m/>
    <n v="8580"/>
    <n v="840907.21571999998"/>
    <s v="EPER"/>
    <n v="7414000005"/>
  </r>
  <r>
    <x v="1"/>
    <m/>
    <x v="0"/>
    <m/>
    <n v="0"/>
    <m/>
    <m/>
    <m/>
    <m/>
    <m/>
    <m/>
    <m/>
    <m/>
    <m/>
    <n v="1231571"/>
    <n v="4183365.8888119999"/>
    <s v="EPER"/>
    <n v="7414000005"/>
  </r>
  <r>
    <x v="1"/>
    <m/>
    <x v="0"/>
    <m/>
    <n v="0"/>
    <m/>
    <m/>
    <m/>
    <m/>
    <m/>
    <m/>
    <m/>
    <m/>
    <m/>
    <n v="1572064"/>
    <n v="6104692.3749759998"/>
    <s v="EPER"/>
    <n v="7414000005"/>
  </r>
  <r>
    <x v="1"/>
    <m/>
    <x v="0"/>
    <m/>
    <n v="0"/>
    <m/>
    <m/>
    <m/>
    <m/>
    <m/>
    <m/>
    <m/>
    <m/>
    <m/>
    <n v="122"/>
    <n v="31238.114030000001"/>
    <s v="EPER"/>
    <n v="7414000005"/>
  </r>
  <r>
    <x v="1"/>
    <m/>
    <x v="0"/>
    <m/>
    <n v="0"/>
    <m/>
    <m/>
    <m/>
    <m/>
    <m/>
    <m/>
    <m/>
    <m/>
    <m/>
    <n v="704"/>
    <n v="546087.01804800006"/>
    <s v="EPER"/>
    <n v="7414000005"/>
  </r>
  <r>
    <x v="1"/>
    <m/>
    <x v="0"/>
    <m/>
    <n v="0"/>
    <m/>
    <m/>
    <m/>
    <m/>
    <m/>
    <m/>
    <m/>
    <m/>
    <m/>
    <n v="1080"/>
    <n v="806952.70655999996"/>
    <s v="EPER"/>
    <n v="7414000005"/>
  </r>
  <r>
    <x v="1"/>
    <m/>
    <x v="0"/>
    <m/>
    <n v="0"/>
    <m/>
    <m/>
    <m/>
    <m/>
    <m/>
    <m/>
    <m/>
    <m/>
    <m/>
    <n v="1134"/>
    <n v="868557.68332199997"/>
    <s v="EPER"/>
    <n v="7414000005"/>
  </r>
  <r>
    <x v="1"/>
    <m/>
    <x v="0"/>
    <m/>
    <n v="0"/>
    <m/>
    <m/>
    <m/>
    <m/>
    <m/>
    <m/>
    <m/>
    <m/>
    <m/>
    <n v="4695"/>
    <n v="3215554.59681"/>
    <s v="EPER"/>
    <n v="7414000005"/>
  </r>
  <r>
    <x v="1"/>
    <m/>
    <x v="0"/>
    <m/>
    <n v="0"/>
    <m/>
    <m/>
    <m/>
    <m/>
    <m/>
    <m/>
    <m/>
    <m/>
    <m/>
    <n v="473"/>
    <n v="365594.45444499998"/>
    <s v="EPER"/>
    <n v="7414000005"/>
  </r>
  <r>
    <x v="1"/>
    <m/>
    <x v="0"/>
    <m/>
    <n v="0"/>
    <m/>
    <m/>
    <m/>
    <m/>
    <m/>
    <m/>
    <m/>
    <m/>
    <m/>
    <n v="571"/>
    <n v="412030.53944000002"/>
    <s v="EPER"/>
    <n v="7414000005"/>
  </r>
  <r>
    <x v="1"/>
    <m/>
    <x v="0"/>
    <m/>
    <n v="0"/>
    <m/>
    <m/>
    <m/>
    <m/>
    <m/>
    <m/>
    <m/>
    <m/>
    <m/>
    <n v="469"/>
    <n v="298266.702811"/>
    <s v="EPER"/>
    <n v="7414000005"/>
  </r>
  <r>
    <x v="1"/>
    <m/>
    <x v="0"/>
    <m/>
    <n v="0"/>
    <m/>
    <m/>
    <m/>
    <m/>
    <m/>
    <m/>
    <m/>
    <m/>
    <m/>
    <n v="875"/>
    <n v="620698.52337499999"/>
    <s v="EPER"/>
    <n v="7414000005"/>
  </r>
  <r>
    <x v="1"/>
    <m/>
    <x v="0"/>
    <m/>
    <n v="0"/>
    <m/>
    <m/>
    <m/>
    <m/>
    <m/>
    <m/>
    <m/>
    <m/>
    <m/>
    <n v="2939"/>
    <n v="2040874.478593"/>
    <s v="EPER"/>
    <n v="7414000005"/>
  </r>
  <r>
    <x v="1"/>
    <m/>
    <x v="0"/>
    <m/>
    <n v="0"/>
    <m/>
    <m/>
    <m/>
    <m/>
    <m/>
    <m/>
    <m/>
    <m/>
    <m/>
    <n v="117241"/>
    <n v="1113037.750708"/>
    <s v="EPER"/>
    <n v="7414000005"/>
  </r>
  <r>
    <x v="1"/>
    <m/>
    <x v="0"/>
    <m/>
    <n v="0"/>
    <m/>
    <m/>
    <m/>
    <m/>
    <m/>
    <m/>
    <m/>
    <m/>
    <m/>
    <n v="159710"/>
    <n v="1491398.0127300001"/>
    <s v="EPER"/>
    <n v="7414000005"/>
  </r>
  <r>
    <x v="1"/>
    <m/>
    <x v="0"/>
    <m/>
    <n v="0"/>
    <m/>
    <m/>
    <m/>
    <m/>
    <m/>
    <m/>
    <m/>
    <m/>
    <m/>
    <n v="205170"/>
    <n v="1885540.4082899999"/>
    <s v="EPER"/>
    <n v="7414000005"/>
  </r>
  <r>
    <x v="1"/>
    <m/>
    <x v="0"/>
    <m/>
    <n v="0"/>
    <m/>
    <m/>
    <m/>
    <m/>
    <m/>
    <m/>
    <m/>
    <m/>
    <m/>
    <n v="56400"/>
    <n v="472708.19640000002"/>
    <s v="EPER"/>
    <n v="7414000005"/>
  </r>
  <r>
    <x v="1"/>
    <m/>
    <x v="0"/>
    <m/>
    <n v="0"/>
    <m/>
    <m/>
    <m/>
    <m/>
    <m/>
    <m/>
    <m/>
    <m/>
    <m/>
    <n v="115050"/>
    <n v="950090.37824999995"/>
    <s v="EPER"/>
    <n v="7414000005"/>
  </r>
  <r>
    <x v="1"/>
    <m/>
    <x v="0"/>
    <m/>
    <n v="0"/>
    <m/>
    <m/>
    <m/>
    <m/>
    <m/>
    <m/>
    <m/>
    <m/>
    <m/>
    <n v="3960"/>
    <n v="390972.18203999999"/>
    <s v="EPER"/>
    <n v="7414000005"/>
  </r>
  <r>
    <x v="1"/>
    <m/>
    <x v="0"/>
    <m/>
    <n v="0"/>
    <m/>
    <m/>
    <m/>
    <m/>
    <m/>
    <m/>
    <m/>
    <m/>
    <m/>
    <n v="7594"/>
    <n v="753685.49981199997"/>
    <s v="EPER"/>
    <n v="7414000005"/>
  </r>
  <r>
    <x v="1"/>
    <m/>
    <x v="0"/>
    <m/>
    <n v="0"/>
    <m/>
    <m/>
    <m/>
    <m/>
    <m/>
    <m/>
    <m/>
    <m/>
    <m/>
    <n v="9818"/>
    <n v="932446.35724599997"/>
    <s v="EPER"/>
    <n v="7414000005"/>
  </r>
  <r>
    <x v="1"/>
    <m/>
    <x v="0"/>
    <m/>
    <n v="0"/>
    <m/>
    <m/>
    <m/>
    <m/>
    <m/>
    <m/>
    <m/>
    <m/>
    <m/>
    <n v="5405"/>
    <n v="496783.392505"/>
    <s v="EPER"/>
    <n v="7414000005"/>
  </r>
  <r>
    <x v="1"/>
    <m/>
    <x v="0"/>
    <m/>
    <n v="0"/>
    <m/>
    <m/>
    <m/>
    <m/>
    <m/>
    <m/>
    <m/>
    <m/>
    <m/>
    <n v="9197"/>
    <n v="815756.637231"/>
    <s v="EPER"/>
    <n v="7414000005"/>
  </r>
  <r>
    <x v="1"/>
    <m/>
    <x v="0"/>
    <m/>
    <n v="0"/>
    <m/>
    <m/>
    <m/>
    <m/>
    <m/>
    <m/>
    <m/>
    <m/>
    <m/>
    <n v="6301"/>
    <n v="587972.72379199998"/>
    <s v="EPER"/>
    <n v="7414000005"/>
  </r>
  <r>
    <x v="1"/>
    <m/>
    <x v="0"/>
    <m/>
    <n v="0"/>
    <m/>
    <m/>
    <m/>
    <m/>
    <m/>
    <m/>
    <m/>
    <m/>
    <m/>
    <n v="5780"/>
    <n v="548314.89104000002"/>
    <s v="EPER"/>
    <n v="7414000005"/>
  </r>
  <r>
    <x v="1"/>
    <m/>
    <x v="0"/>
    <m/>
    <n v="0"/>
    <m/>
    <m/>
    <m/>
    <m/>
    <m/>
    <m/>
    <m/>
    <m/>
    <m/>
    <n v="2240"/>
    <n v="212509.15168000001"/>
    <s v="EPER"/>
    <n v="7414000005"/>
  </r>
  <r>
    <x v="1"/>
    <m/>
    <x v="0"/>
    <m/>
    <n v="0"/>
    <m/>
    <m/>
    <m/>
    <m/>
    <m/>
    <m/>
    <m/>
    <m/>
    <m/>
    <n v="9538"/>
    <n v="853550.51717000001"/>
    <s v="EPER"/>
    <n v="7414000005"/>
  </r>
  <r>
    <x v="1"/>
    <m/>
    <x v="0"/>
    <m/>
    <n v="0"/>
    <m/>
    <m/>
    <m/>
    <m/>
    <m/>
    <m/>
    <m/>
    <m/>
    <m/>
    <n v="6380"/>
    <n v="549937.67663999996"/>
    <s v="EPER"/>
    <n v="7414000005"/>
  </r>
  <r>
    <x v="1"/>
    <m/>
    <x v="0"/>
    <m/>
    <n v="0"/>
    <m/>
    <m/>
    <m/>
    <m/>
    <m/>
    <m/>
    <m/>
    <m/>
    <m/>
    <n v="30682"/>
    <n v="2653052.719428"/>
    <s v="EPER"/>
    <n v="7414000005"/>
  </r>
  <r>
    <x v="1"/>
    <m/>
    <x v="0"/>
    <m/>
    <n v="0"/>
    <m/>
    <m/>
    <m/>
    <m/>
    <m/>
    <m/>
    <m/>
    <m/>
    <m/>
    <n v="412"/>
    <n v="41797.797992"/>
    <s v="EPER"/>
    <n v="7414000005"/>
  </r>
  <r>
    <x v="1"/>
    <m/>
    <x v="0"/>
    <m/>
    <n v="0"/>
    <m/>
    <m/>
    <m/>
    <m/>
    <m/>
    <m/>
    <m/>
    <m/>
    <m/>
    <n v="442"/>
    <n v="39622.282024"/>
    <s v="EPER"/>
    <n v="7414000005"/>
  </r>
  <r>
    <x v="1"/>
    <m/>
    <x v="0"/>
    <m/>
    <n v="0"/>
    <m/>
    <m/>
    <m/>
    <m/>
    <m/>
    <m/>
    <m/>
    <m/>
    <m/>
    <n v="11371"/>
    <n v="929452.57706000004"/>
    <s v="EPER"/>
    <n v="7414000005"/>
  </r>
  <r>
    <x v="1"/>
    <m/>
    <x v="0"/>
    <m/>
    <n v="0"/>
    <m/>
    <m/>
    <m/>
    <m/>
    <m/>
    <m/>
    <m/>
    <m/>
    <m/>
    <n v="1576"/>
    <n v="131124.399336"/>
    <s v="EPER"/>
    <n v="7414000005"/>
  </r>
  <r>
    <x v="1"/>
    <m/>
    <x v="0"/>
    <m/>
    <n v="0"/>
    <m/>
    <m/>
    <m/>
    <m/>
    <m/>
    <m/>
    <m/>
    <m/>
    <m/>
    <n v="17408"/>
    <n v="1430239.661056"/>
    <s v="EPER"/>
    <n v="7414000005"/>
  </r>
  <r>
    <x v="1"/>
    <m/>
    <x v="0"/>
    <m/>
    <n v="0"/>
    <m/>
    <m/>
    <m/>
    <m/>
    <m/>
    <m/>
    <m/>
    <m/>
    <m/>
    <n v="7840"/>
    <n v="768381.41856000002"/>
    <s v="EPER"/>
    <n v="7414000005"/>
  </r>
  <r>
    <x v="1"/>
    <m/>
    <x v="0"/>
    <m/>
    <n v="0"/>
    <m/>
    <m/>
    <m/>
    <m/>
    <m/>
    <m/>
    <m/>
    <m/>
    <m/>
    <n v="1813682"/>
    <n v="6160664.2345040003"/>
    <s v="EPER"/>
    <n v="7414000005"/>
  </r>
  <r>
    <x v="1"/>
    <m/>
    <x v="0"/>
    <m/>
    <n v="0"/>
    <m/>
    <m/>
    <m/>
    <m/>
    <m/>
    <m/>
    <m/>
    <m/>
    <m/>
    <n v="1409220"/>
    <n v="5472331.0174799999"/>
    <s v="EPER"/>
    <n v="7414000005"/>
  </r>
  <r>
    <x v="1"/>
    <m/>
    <x v="0"/>
    <m/>
    <n v="0"/>
    <m/>
    <m/>
    <m/>
    <m/>
    <m/>
    <m/>
    <m/>
    <m/>
    <m/>
    <n v="103"/>
    <n v="26373.161844999999"/>
    <s v="EPER"/>
    <n v="7414000005"/>
  </r>
  <r>
    <x v="1"/>
    <m/>
    <x v="0"/>
    <m/>
    <n v="0"/>
    <m/>
    <m/>
    <m/>
    <m/>
    <m/>
    <m/>
    <m/>
    <m/>
    <m/>
    <n v="744"/>
    <n v="577114.68952799996"/>
    <s v="EPER"/>
    <n v="7414000005"/>
  </r>
  <r>
    <x v="1"/>
    <m/>
    <x v="0"/>
    <m/>
    <n v="0"/>
    <m/>
    <m/>
    <m/>
    <m/>
    <m/>
    <m/>
    <m/>
    <m/>
    <m/>
    <n v="1140"/>
    <n v="851783.41248000006"/>
    <s v="EPER"/>
    <n v="7414000005"/>
  </r>
  <r>
    <x v="1"/>
    <m/>
    <x v="0"/>
    <m/>
    <n v="0"/>
    <m/>
    <m/>
    <m/>
    <m/>
    <m/>
    <m/>
    <m/>
    <m/>
    <m/>
    <n v="1075"/>
    <n v="823368.17422499997"/>
    <s v="EPER"/>
    <n v="7414000005"/>
  </r>
  <r>
    <x v="1"/>
    <m/>
    <x v="0"/>
    <m/>
    <n v="0"/>
    <m/>
    <m/>
    <m/>
    <m/>
    <m/>
    <m/>
    <m/>
    <m/>
    <m/>
    <n v="5246"/>
    <n v="3592928.522868"/>
    <s v="EPER"/>
    <n v="7414000005"/>
  </r>
  <r>
    <x v="1"/>
    <m/>
    <x v="0"/>
    <m/>
    <n v="0"/>
    <m/>
    <m/>
    <m/>
    <m/>
    <m/>
    <m/>
    <m/>
    <m/>
    <m/>
    <n v="489"/>
    <n v="377961.28588500002"/>
    <s v="EPER"/>
    <n v="7414000005"/>
  </r>
  <r>
    <x v="1"/>
    <m/>
    <x v="0"/>
    <m/>
    <n v="0"/>
    <m/>
    <m/>
    <m/>
    <m/>
    <m/>
    <m/>
    <m/>
    <m/>
    <m/>
    <n v="549"/>
    <n v="396155.45736"/>
    <s v="EPER"/>
    <n v="7414000005"/>
  </r>
  <r>
    <x v="1"/>
    <m/>
    <x v="0"/>
    <m/>
    <n v="0"/>
    <m/>
    <m/>
    <m/>
    <m/>
    <m/>
    <m/>
    <m/>
    <m/>
    <m/>
    <n v="520"/>
    <n v="330700.82188"/>
    <s v="EPER"/>
    <n v="7414000005"/>
  </r>
  <r>
    <x v="1"/>
    <m/>
    <x v="0"/>
    <m/>
    <n v="0"/>
    <m/>
    <m/>
    <m/>
    <m/>
    <m/>
    <m/>
    <m/>
    <m/>
    <m/>
    <n v="853"/>
    <n v="605092.38907300006"/>
    <s v="EPER"/>
    <n v="7414000005"/>
  </r>
  <r>
    <x v="1"/>
    <m/>
    <x v="0"/>
    <m/>
    <n v="0"/>
    <m/>
    <m/>
    <m/>
    <m/>
    <m/>
    <m/>
    <m/>
    <m/>
    <m/>
    <n v="3208"/>
    <n v="2227671.0878960001"/>
    <s v="EPER"/>
    <n v="7414000005"/>
  </r>
  <r>
    <x v="1"/>
    <m/>
    <x v="0"/>
    <m/>
    <n v="0"/>
    <m/>
    <m/>
    <m/>
    <m/>
    <m/>
    <m/>
    <m/>
    <m/>
    <m/>
    <n v="2634000"/>
    <n v="12076563.384"/>
    <s v="EPER"/>
    <n v="7414000005"/>
  </r>
  <r>
    <x v="1"/>
    <m/>
    <x v="0"/>
    <m/>
    <n v="0"/>
    <m/>
    <m/>
    <m/>
    <m/>
    <m/>
    <m/>
    <m/>
    <m/>
    <m/>
    <n v="126592"/>
    <n v="430004.16102399997"/>
    <s v="EPER"/>
    <n v="7414000005"/>
  </r>
  <r>
    <x v="1"/>
    <m/>
    <x v="0"/>
    <m/>
    <n v="0"/>
    <m/>
    <m/>
    <m/>
    <m/>
    <m/>
    <m/>
    <m/>
    <m/>
    <m/>
    <n v="3579"/>
    <n v="13898.094486"/>
    <s v="EPER"/>
    <n v="7414000005"/>
  </r>
  <r>
    <x v="1"/>
    <m/>
    <x v="0"/>
    <m/>
    <n v="0"/>
    <m/>
    <m/>
    <m/>
    <m/>
    <m/>
    <m/>
    <m/>
    <m/>
    <m/>
    <n v="2810000"/>
    <n v="12883501.560000001"/>
    <s v="EPER"/>
    <n v="7414000005"/>
  </r>
  <r>
    <x v="1"/>
    <m/>
    <x v="0"/>
    <m/>
    <n v="0"/>
    <m/>
    <m/>
    <m/>
    <m/>
    <m/>
    <m/>
    <m/>
    <m/>
    <m/>
    <n v="147007"/>
    <n v="499349.26140399999"/>
    <s v="EPER"/>
    <n v="7414000005"/>
  </r>
  <r>
    <x v="1"/>
    <m/>
    <x v="0"/>
    <m/>
    <n v="0"/>
    <m/>
    <m/>
    <m/>
    <m/>
    <m/>
    <m/>
    <m/>
    <m/>
    <m/>
    <n v="0"/>
    <n v="136726683.61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88941"/>
    <n v="981466.69845200004"/>
    <s v="EPER"/>
    <n v="7414000005"/>
  </r>
  <r>
    <x v="1"/>
    <m/>
    <x v="0"/>
    <m/>
    <n v="0"/>
    <m/>
    <m/>
    <m/>
    <m/>
    <m/>
    <m/>
    <m/>
    <m/>
    <m/>
    <n v="1266664"/>
    <n v="4302568.8086080002"/>
    <s v="EPER"/>
    <n v="7414000005"/>
  </r>
  <r>
    <x v="1"/>
    <m/>
    <x v="0"/>
    <m/>
    <n v="0"/>
    <m/>
    <m/>
    <m/>
    <m/>
    <m/>
    <m/>
    <m/>
    <m/>
    <m/>
    <n v="2766884"/>
    <n v="9398474.0984480008"/>
    <s v="EPER"/>
    <n v="7414000005"/>
  </r>
  <r>
    <x v="1"/>
    <m/>
    <x v="0"/>
    <m/>
    <n v="0"/>
    <m/>
    <m/>
    <m/>
    <m/>
    <m/>
    <m/>
    <m/>
    <m/>
    <m/>
    <n v="180276"/>
    <n v="613029.25910400006"/>
    <s v="EPER"/>
    <n v="7414000005"/>
  </r>
  <r>
    <x v="1"/>
    <m/>
    <x v="0"/>
    <m/>
    <n v="0"/>
    <m/>
    <m/>
    <m/>
    <m/>
    <m/>
    <m/>
    <m/>
    <m/>
    <m/>
    <n v="0"/>
    <n v="2066083.19"/>
    <s v="EPER"/>
    <n v="7414000005"/>
  </r>
  <r>
    <x v="1"/>
    <m/>
    <x v="0"/>
    <m/>
    <n v="0"/>
    <m/>
    <m/>
    <m/>
    <m/>
    <m/>
    <m/>
    <m/>
    <m/>
    <m/>
    <n v="11271177"/>
    <n v="38285618.440644003"/>
    <s v="EPER"/>
    <n v="7414000005"/>
  </r>
  <r>
    <x v="1"/>
    <m/>
    <x v="0"/>
    <m/>
    <n v="0"/>
    <m/>
    <m/>
    <m/>
    <m/>
    <m/>
    <m/>
    <m/>
    <m/>
    <m/>
    <n v="0"/>
    <n v="4816735.47"/>
    <s v="EPER"/>
    <n v="7414000005"/>
  </r>
  <r>
    <x v="1"/>
    <m/>
    <x v="0"/>
    <m/>
    <n v="0"/>
    <m/>
    <m/>
    <m/>
    <m/>
    <m/>
    <m/>
    <m/>
    <m/>
    <m/>
    <n v="14901298"/>
    <n v="50616311.810056001"/>
    <s v="EPER"/>
    <n v="7414000005"/>
  </r>
  <r>
    <x v="1"/>
    <m/>
    <x v="0"/>
    <m/>
    <n v="0"/>
    <m/>
    <m/>
    <m/>
    <m/>
    <m/>
    <m/>
    <m/>
    <m/>
    <m/>
    <n v="5399"/>
    <n v="18359.321096"/>
    <s v="EPER"/>
    <n v="7414000005"/>
  </r>
  <r>
    <x v="1"/>
    <m/>
    <x v="0"/>
    <m/>
    <n v="0"/>
    <m/>
    <m/>
    <m/>
    <m/>
    <m/>
    <m/>
    <m/>
    <m/>
    <m/>
    <n v="0"/>
    <n v="720199.81"/>
    <s v="EPER"/>
    <n v="7414000005"/>
  </r>
  <r>
    <x v="1"/>
    <m/>
    <x v="0"/>
    <m/>
    <n v="0"/>
    <m/>
    <m/>
    <m/>
    <m/>
    <m/>
    <m/>
    <m/>
    <m/>
    <m/>
    <n v="4700479"/>
    <n v="15983997.641416"/>
    <s v="EPER"/>
    <n v="7414000005"/>
  </r>
  <r>
    <x v="1"/>
    <m/>
    <x v="0"/>
    <m/>
    <n v="0"/>
    <m/>
    <m/>
    <m/>
    <m/>
    <m/>
    <m/>
    <m/>
    <m/>
    <m/>
    <n v="1364000"/>
    <n v="4638287.4560000002"/>
    <s v="EPER"/>
    <n v="7414000005"/>
  </r>
  <r>
    <x v="1"/>
    <m/>
    <x v="0"/>
    <m/>
    <n v="0"/>
    <m/>
    <m/>
    <m/>
    <m/>
    <m/>
    <m/>
    <m/>
    <m/>
    <m/>
    <n v="1874444"/>
    <n v="6374054.3197760005"/>
    <s v="EPER"/>
    <n v="7414000005"/>
  </r>
  <r>
    <x v="1"/>
    <m/>
    <x v="0"/>
    <m/>
    <n v="0"/>
    <m/>
    <m/>
    <m/>
    <m/>
    <m/>
    <m/>
    <m/>
    <m/>
    <m/>
    <n v="0"/>
    <n v="2496246.89"/>
    <s v="EPER"/>
    <n v="7414000005"/>
  </r>
  <r>
    <x v="1"/>
    <m/>
    <x v="0"/>
    <m/>
    <n v="0"/>
    <m/>
    <m/>
    <m/>
    <m/>
    <m/>
    <m/>
    <m/>
    <m/>
    <m/>
    <n v="1617132"/>
    <n v="5493028.6979040001"/>
    <s v="EPER"/>
    <n v="7414000005"/>
  </r>
  <r>
    <x v="1"/>
    <m/>
    <x v="0"/>
    <m/>
    <n v="0"/>
    <m/>
    <m/>
    <m/>
    <m/>
    <m/>
    <m/>
    <m/>
    <m/>
    <m/>
    <n v="1192887"/>
    <n v="4051965.1607639999"/>
    <s v="EPER"/>
    <n v="7414000005"/>
  </r>
  <r>
    <x v="1"/>
    <m/>
    <x v="0"/>
    <m/>
    <n v="0"/>
    <m/>
    <m/>
    <m/>
    <m/>
    <m/>
    <m/>
    <m/>
    <m/>
    <m/>
    <n v="597515"/>
    <n v="2320290.5635099998"/>
    <s v="EPER"/>
    <n v="7414000005"/>
  </r>
  <r>
    <x v="1"/>
    <m/>
    <x v="0"/>
    <m/>
    <n v="0"/>
    <m/>
    <m/>
    <m/>
    <m/>
    <m/>
    <m/>
    <m/>
    <m/>
    <m/>
    <n v="1762362"/>
    <n v="4876247.6952839997"/>
    <s v="EPER"/>
    <n v="7414000005"/>
  </r>
  <r>
    <x v="1"/>
    <m/>
    <x v="0"/>
    <m/>
    <n v="0"/>
    <m/>
    <m/>
    <m/>
    <m/>
    <m/>
    <m/>
    <m/>
    <m/>
    <m/>
    <n v="0"/>
    <n v="411999.01"/>
    <s v="EPER"/>
    <n v="7414000005"/>
  </r>
  <r>
    <x v="1"/>
    <m/>
    <x v="0"/>
    <m/>
    <n v="0"/>
    <m/>
    <m/>
    <m/>
    <m/>
    <m/>
    <m/>
    <m/>
    <m/>
    <m/>
    <n v="2496183"/>
    <n v="8478964.5212760009"/>
    <s v="EPER"/>
    <n v="7414000005"/>
  </r>
  <r>
    <x v="1"/>
    <m/>
    <x v="0"/>
    <m/>
    <n v="0"/>
    <m/>
    <m/>
    <m/>
    <m/>
    <m/>
    <m/>
    <m/>
    <m/>
    <m/>
    <n v="0"/>
    <n v="1350374.65"/>
    <s v="EPER"/>
    <n v="7414000005"/>
  </r>
  <r>
    <x v="1"/>
    <m/>
    <x v="0"/>
    <m/>
    <n v="0"/>
    <m/>
    <m/>
    <m/>
    <m/>
    <m/>
    <m/>
    <m/>
    <m/>
    <m/>
    <n v="3941087"/>
    <n v="13386973.971163999"/>
    <s v="EPER"/>
    <n v="7414000005"/>
  </r>
  <r>
    <x v="1"/>
    <m/>
    <x v="0"/>
    <m/>
    <n v="0"/>
    <m/>
    <m/>
    <m/>
    <m/>
    <m/>
    <m/>
    <m/>
    <m/>
    <m/>
    <n v="916623"/>
    <n v="2875696.5890790001"/>
    <s v="EPER"/>
    <n v="7414000005"/>
  </r>
  <r>
    <x v="1"/>
    <m/>
    <x v="0"/>
    <m/>
    <n v="0"/>
    <m/>
    <m/>
    <m/>
    <m/>
    <m/>
    <m/>
    <m/>
    <m/>
    <m/>
    <n v="2500000"/>
    <n v="24656807.5"/>
    <s v="EPER"/>
    <n v="7414000005"/>
  </r>
  <r>
    <x v="1"/>
    <m/>
    <x v="0"/>
    <m/>
    <n v="0"/>
    <m/>
    <m/>
    <m/>
    <m/>
    <m/>
    <m/>
    <m/>
    <m/>
    <m/>
    <n v="1000000"/>
    <n v="9062164"/>
    <s v="EPER"/>
    <n v="7414000005"/>
  </r>
  <r>
    <x v="1"/>
    <m/>
    <x v="0"/>
    <m/>
    <n v="0"/>
    <m/>
    <m/>
    <m/>
    <m/>
    <m/>
    <m/>
    <m/>
    <m/>
    <m/>
    <n v="998432"/>
    <n v="3391445.8615040001"/>
    <s v="EPER"/>
    <n v="7414000005"/>
  </r>
  <r>
    <x v="1"/>
    <m/>
    <x v="0"/>
    <m/>
    <n v="0"/>
    <m/>
    <m/>
    <m/>
    <m/>
    <m/>
    <m/>
    <m/>
    <m/>
    <m/>
    <n v="140930"/>
    <n v="1316027.3115900001"/>
    <s v="EPER"/>
    <n v="7414000005"/>
  </r>
  <r>
    <x v="1"/>
    <m/>
    <x v="0"/>
    <m/>
    <n v="0"/>
    <m/>
    <m/>
    <m/>
    <m/>
    <m/>
    <m/>
    <m/>
    <m/>
    <m/>
    <n v="107960"/>
    <n v="992167.19051999995"/>
    <s v="EPER"/>
    <n v="7414000005"/>
  </r>
  <r>
    <x v="1"/>
    <m/>
    <x v="0"/>
    <m/>
    <n v="0"/>
    <m/>
    <m/>
    <m/>
    <m/>
    <m/>
    <m/>
    <m/>
    <m/>
    <m/>
    <n v="0"/>
    <n v="6761036.1500000004"/>
    <s v="EPER"/>
    <n v="7414000005"/>
  </r>
  <r>
    <x v="1"/>
    <m/>
    <x v="0"/>
    <m/>
    <n v="0"/>
    <m/>
    <m/>
    <m/>
    <m/>
    <m/>
    <m/>
    <m/>
    <m/>
    <m/>
    <n v="6330"/>
    <n v="624963.10916999995"/>
    <s v="EPER"/>
    <n v="7414000005"/>
  </r>
  <r>
    <x v="1"/>
    <m/>
    <x v="0"/>
    <m/>
    <n v="0"/>
    <m/>
    <m/>
    <m/>
    <m/>
    <m/>
    <m/>
    <m/>
    <m/>
    <m/>
    <n v="4639"/>
    <n v="460409.14322199998"/>
    <s v="EPER"/>
    <n v="7414000005"/>
  </r>
  <r>
    <x v="1"/>
    <m/>
    <x v="0"/>
    <m/>
    <n v="0"/>
    <m/>
    <m/>
    <m/>
    <m/>
    <m/>
    <m/>
    <m/>
    <m/>
    <m/>
    <n v="1360"/>
    <n v="129163.47992"/>
    <s v="EPER"/>
    <n v="7414000005"/>
  </r>
  <r>
    <x v="1"/>
    <m/>
    <x v="0"/>
    <m/>
    <n v="0"/>
    <m/>
    <m/>
    <m/>
    <m/>
    <m/>
    <m/>
    <m/>
    <m/>
    <m/>
    <n v="8055"/>
    <n v="740349.71815500001"/>
    <s v="EPER"/>
    <n v="7414000005"/>
  </r>
  <r>
    <x v="1"/>
    <m/>
    <x v="0"/>
    <m/>
    <n v="0"/>
    <m/>
    <m/>
    <m/>
    <m/>
    <m/>
    <m/>
    <m/>
    <m/>
    <m/>
    <n v="3380"/>
    <n v="299799.65574000002"/>
    <s v="EPER"/>
    <n v="7414000005"/>
  </r>
  <r>
    <x v="1"/>
    <m/>
    <x v="0"/>
    <m/>
    <n v="0"/>
    <m/>
    <m/>
    <m/>
    <m/>
    <m/>
    <m/>
    <m/>
    <m/>
    <m/>
    <n v="6880"/>
    <n v="642001.64095999999"/>
    <s v="EPER"/>
    <n v="7414000005"/>
  </r>
  <r>
    <x v="1"/>
    <m/>
    <x v="0"/>
    <m/>
    <n v="0"/>
    <m/>
    <m/>
    <m/>
    <m/>
    <m/>
    <m/>
    <m/>
    <m/>
    <m/>
    <n v="6256"/>
    <n v="593507.702192"/>
    <s v="EPER"/>
    <n v="7414000005"/>
  </r>
  <r>
    <x v="1"/>
    <m/>
    <x v="0"/>
    <m/>
    <n v="0"/>
    <m/>
    <m/>
    <m/>
    <m/>
    <m/>
    <m/>
    <m/>
    <m/>
    <m/>
    <n v="7471"/>
    <n v="668575.79301499994"/>
    <s v="EPER"/>
    <n v="7414000005"/>
  </r>
  <r>
    <x v="1"/>
    <m/>
    <x v="0"/>
    <m/>
    <n v="0"/>
    <m/>
    <m/>
    <m/>
    <m/>
    <m/>
    <m/>
    <m/>
    <m/>
    <m/>
    <n v="5030"/>
    <n v="433571.55384000001"/>
    <s v="EPER"/>
    <n v="7414000005"/>
  </r>
  <r>
    <x v="1"/>
    <m/>
    <x v="0"/>
    <m/>
    <n v="0"/>
    <m/>
    <m/>
    <m/>
    <m/>
    <m/>
    <m/>
    <m/>
    <m/>
    <m/>
    <n v="1960"/>
    <n v="169479.93384000001"/>
    <s v="EPER"/>
    <n v="7414000005"/>
  </r>
  <r>
    <x v="1"/>
    <m/>
    <x v="0"/>
    <m/>
    <n v="0"/>
    <m/>
    <m/>
    <m/>
    <m/>
    <m/>
    <m/>
    <m/>
    <m/>
    <m/>
    <n v="1050"/>
    <n v="106523.5143"/>
    <s v="EPER"/>
    <n v="7414000005"/>
  </r>
  <r>
    <x v="1"/>
    <m/>
    <x v="0"/>
    <m/>
    <n v="0"/>
    <m/>
    <m/>
    <m/>
    <m/>
    <m/>
    <m/>
    <m/>
    <m/>
    <m/>
    <n v="2717"/>
    <n v="243560.49832399999"/>
    <s v="EPER"/>
    <n v="7414000005"/>
  </r>
  <r>
    <x v="1"/>
    <m/>
    <x v="0"/>
    <m/>
    <n v="0"/>
    <m/>
    <m/>
    <m/>
    <m/>
    <m/>
    <m/>
    <m/>
    <m/>
    <m/>
    <n v="1980"/>
    <n v="164737.50678"/>
    <s v="EPER"/>
    <n v="7414000005"/>
  </r>
  <r>
    <x v="1"/>
    <m/>
    <x v="0"/>
    <m/>
    <n v="0"/>
    <m/>
    <m/>
    <m/>
    <m/>
    <m/>
    <m/>
    <m/>
    <m/>
    <m/>
    <n v="2255"/>
    <n v="185270.59028500001"/>
    <s v="EPER"/>
    <n v="7414000005"/>
  </r>
  <r>
    <x v="1"/>
    <m/>
    <x v="0"/>
    <m/>
    <n v="0"/>
    <m/>
    <m/>
    <m/>
    <m/>
    <m/>
    <m/>
    <m/>
    <m/>
    <m/>
    <n v="11638"/>
    <n v="1140615.172092"/>
    <s v="EPER"/>
    <n v="7414000005"/>
  </r>
  <r>
    <x v="1"/>
    <m/>
    <x v="0"/>
    <m/>
    <n v="0"/>
    <m/>
    <m/>
    <m/>
    <m/>
    <m/>
    <m/>
    <m/>
    <m/>
    <m/>
    <n v="970000"/>
    <n v="4418876.71"/>
    <s v="EPER"/>
    <n v="7414000005"/>
  </r>
  <r>
    <x v="1"/>
    <m/>
    <x v="0"/>
    <m/>
    <n v="0"/>
    <m/>
    <m/>
    <m/>
    <m/>
    <m/>
    <m/>
    <m/>
    <m/>
    <m/>
    <n v="1078"/>
    <n v="836195.74638599996"/>
    <s v="EPER"/>
    <n v="7414000005"/>
  </r>
  <r>
    <x v="1"/>
    <m/>
    <x v="0"/>
    <m/>
    <n v="0"/>
    <m/>
    <m/>
    <m/>
    <m/>
    <m/>
    <m/>
    <m/>
    <m/>
    <m/>
    <n v="710"/>
    <n v="530496.68672"/>
    <s v="EPER"/>
    <n v="7414000005"/>
  </r>
  <r>
    <x v="1"/>
    <m/>
    <x v="0"/>
    <m/>
    <n v="0"/>
    <m/>
    <m/>
    <m/>
    <m/>
    <m/>
    <m/>
    <m/>
    <m/>
    <m/>
    <n v="1548"/>
    <n v="1185650.1708839999"/>
    <s v="EPER"/>
    <n v="7414000005"/>
  </r>
  <r>
    <x v="1"/>
    <m/>
    <x v="0"/>
    <m/>
    <n v="0"/>
    <m/>
    <m/>
    <m/>
    <m/>
    <m/>
    <m/>
    <m/>
    <m/>
    <m/>
    <n v="910"/>
    <n v="623249.13378000003"/>
    <s v="EPER"/>
    <n v="7414000005"/>
  </r>
  <r>
    <x v="1"/>
    <m/>
    <x v="0"/>
    <m/>
    <n v="0"/>
    <m/>
    <m/>
    <m/>
    <m/>
    <m/>
    <m/>
    <m/>
    <m/>
    <m/>
    <n v="348"/>
    <n v="268978.58382"/>
    <s v="EPER"/>
    <n v="7414000005"/>
  </r>
  <r>
    <x v="1"/>
    <m/>
    <x v="0"/>
    <m/>
    <n v="0"/>
    <m/>
    <m/>
    <m/>
    <m/>
    <m/>
    <m/>
    <m/>
    <m/>
    <m/>
    <n v="1327"/>
    <n v="957556.08727999998"/>
    <s v="EPER"/>
    <n v="7414000005"/>
  </r>
  <r>
    <x v="1"/>
    <m/>
    <x v="0"/>
    <m/>
    <n v="0"/>
    <m/>
    <m/>
    <m/>
    <m/>
    <m/>
    <m/>
    <m/>
    <m/>
    <m/>
    <n v="383"/>
    <n v="243573.87457700001"/>
    <s v="EPER"/>
    <n v="7414000005"/>
  </r>
  <r>
    <x v="1"/>
    <m/>
    <x v="0"/>
    <m/>
    <n v="0"/>
    <m/>
    <m/>
    <m/>
    <m/>
    <m/>
    <m/>
    <m/>
    <m/>
    <m/>
    <n v="711"/>
    <n v="504361.88585100003"/>
    <s v="EPER"/>
    <n v="7414000005"/>
  </r>
  <r>
    <x v="1"/>
    <m/>
    <x v="0"/>
    <m/>
    <n v="0"/>
    <m/>
    <m/>
    <m/>
    <m/>
    <m/>
    <m/>
    <m/>
    <m/>
    <m/>
    <n v="2619"/>
    <n v="1818662.898753"/>
    <s v="EPER"/>
    <n v="7414000005"/>
  </r>
  <r>
    <x v="1"/>
    <m/>
    <x v="0"/>
    <m/>
    <n v="0"/>
    <m/>
    <m/>
    <m/>
    <m/>
    <m/>
    <m/>
    <m/>
    <m/>
    <m/>
    <n v="441341"/>
    <n v="1499134.751252"/>
    <s v="EPER"/>
    <n v="7414000005"/>
  </r>
  <r>
    <x v="1"/>
    <m/>
    <x v="0"/>
    <m/>
    <n v="0"/>
    <m/>
    <m/>
    <m/>
    <m/>
    <m/>
    <m/>
    <m/>
    <m/>
    <m/>
    <n v="450953"/>
    <n v="1531784.5237159999"/>
    <s v="EPER"/>
    <n v="7414000005"/>
  </r>
  <r>
    <x v="1"/>
    <m/>
    <x v="0"/>
    <m/>
    <n v="0"/>
    <m/>
    <m/>
    <m/>
    <m/>
    <m/>
    <m/>
    <m/>
    <m/>
    <m/>
    <n v="288953"/>
    <n v="982585.83231199998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31790"/>
    <n v="3179015.386359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626153"/>
    <n v="13829486.470107"/>
    <s v="EPER"/>
    <n v="7414000005"/>
  </r>
  <r>
    <x v="1"/>
    <m/>
    <x v="0"/>
    <m/>
    <n v="0"/>
    <m/>
    <m/>
    <m/>
    <m/>
    <m/>
    <m/>
    <m/>
    <m/>
    <m/>
    <n v="2668910"/>
    <n v="22369071.497409999"/>
    <s v="EPER"/>
    <n v="7414000005"/>
  </r>
  <r>
    <x v="1"/>
    <m/>
    <x v="0"/>
    <m/>
    <n v="0"/>
    <m/>
    <m/>
    <m/>
    <m/>
    <m/>
    <m/>
    <m/>
    <m/>
    <m/>
    <n v="3337377"/>
    <n v="27560276.195505001"/>
    <s v="EPER"/>
    <n v="7414000005"/>
  </r>
  <r>
    <x v="1"/>
    <m/>
    <x v="0"/>
    <m/>
    <n v="0"/>
    <m/>
    <m/>
    <m/>
    <m/>
    <m/>
    <m/>
    <m/>
    <m/>
    <m/>
    <n v="0"/>
    <n v="1098894.58"/>
    <s v="EPER"/>
    <n v="7414000005"/>
  </r>
  <r>
    <x v="1"/>
    <m/>
    <x v="0"/>
    <m/>
    <n v="0"/>
    <m/>
    <m/>
    <m/>
    <m/>
    <m/>
    <m/>
    <m/>
    <m/>
    <m/>
    <n v="56480"/>
    <n v="5576290.1115199998"/>
    <s v="EPER"/>
    <n v="7414000005"/>
  </r>
  <r>
    <x v="1"/>
    <m/>
    <x v="0"/>
    <m/>
    <n v="0"/>
    <m/>
    <m/>
    <m/>
    <m/>
    <m/>
    <m/>
    <m/>
    <m/>
    <m/>
    <n v="213840"/>
    <n v="21223084.972320002"/>
    <s v="EPER"/>
    <n v="7414000005"/>
  </r>
  <r>
    <x v="1"/>
    <m/>
    <x v="0"/>
    <m/>
    <n v="0"/>
    <m/>
    <m/>
    <m/>
    <m/>
    <m/>
    <m/>
    <m/>
    <m/>
    <m/>
    <n v="211730"/>
    <n v="20108664.414310001"/>
    <s v="EPER"/>
    <n v="7414000005"/>
  </r>
  <r>
    <x v="1"/>
    <m/>
    <x v="0"/>
    <m/>
    <n v="0"/>
    <m/>
    <m/>
    <m/>
    <m/>
    <m/>
    <m/>
    <m/>
    <m/>
    <m/>
    <n v="400098"/>
    <n v="36773735.758458003"/>
    <s v="EPER"/>
    <n v="7414000005"/>
  </r>
  <r>
    <x v="1"/>
    <m/>
    <x v="0"/>
    <m/>
    <n v="0"/>
    <m/>
    <m/>
    <m/>
    <m/>
    <m/>
    <m/>
    <m/>
    <m/>
    <m/>
    <n v="725550"/>
    <n v="67443139.651649997"/>
    <s v="EPER"/>
    <n v="7414000005"/>
  </r>
  <r>
    <x v="1"/>
    <m/>
    <x v="0"/>
    <m/>
    <n v="0"/>
    <m/>
    <m/>
    <m/>
    <m/>
    <m/>
    <m/>
    <m/>
    <m/>
    <m/>
    <n v="266639"/>
    <n v="23650378.818597"/>
    <s v="EPER"/>
    <n v="7414000005"/>
  </r>
  <r>
    <x v="1"/>
    <m/>
    <x v="0"/>
    <m/>
    <n v="0"/>
    <m/>
    <m/>
    <m/>
    <m/>
    <m/>
    <m/>
    <m/>
    <m/>
    <m/>
    <n v="260500"/>
    <n v="24308347.01599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0560"/>
    <n v="2015041.0670400001"/>
    <s v="EPER"/>
    <n v="7414000005"/>
  </r>
  <r>
    <x v="1"/>
    <m/>
    <x v="0"/>
    <m/>
    <n v="0"/>
    <m/>
    <m/>
    <m/>
    <m/>
    <m/>
    <m/>
    <m/>
    <m/>
    <m/>
    <n v="57960"/>
    <n v="5818540.9337999998"/>
    <s v="EPER"/>
    <n v="7414000005"/>
  </r>
  <r>
    <x v="1"/>
    <m/>
    <x v="0"/>
    <m/>
    <n v="0"/>
    <m/>
    <m/>
    <m/>
    <m/>
    <m/>
    <m/>
    <m/>
    <m/>
    <m/>
    <n v="11820000"/>
    <n v="48544267.200000003"/>
    <s v="EPER"/>
    <n v="7414000005"/>
  </r>
  <r>
    <x v="1"/>
    <m/>
    <x v="0"/>
    <m/>
    <n v="0"/>
    <m/>
    <m/>
    <m/>
    <m/>
    <m/>
    <m/>
    <m/>
    <m/>
    <m/>
    <n v="50"/>
    <n v="38784.589350000002"/>
    <s v="EPER"/>
    <n v="7414000005"/>
  </r>
  <r>
    <x v="1"/>
    <m/>
    <x v="0"/>
    <m/>
    <n v="0"/>
    <m/>
    <m/>
    <m/>
    <m/>
    <m/>
    <m/>
    <m/>
    <m/>
    <m/>
    <n v="15230"/>
    <n v="1523007.371319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69515"/>
    <n v="3992952.286785"/>
    <s v="EPER"/>
    <n v="7414000005"/>
  </r>
  <r>
    <x v="1"/>
    <m/>
    <x v="0"/>
    <m/>
    <n v="0"/>
    <m/>
    <m/>
    <m/>
    <m/>
    <m/>
    <m/>
    <m/>
    <m/>
    <m/>
    <n v="1299030"/>
    <n v="10887626.389529999"/>
    <s v="EPER"/>
    <n v="7414000005"/>
  </r>
  <r>
    <x v="1"/>
    <m/>
    <x v="0"/>
    <m/>
    <n v="0"/>
    <m/>
    <m/>
    <m/>
    <m/>
    <m/>
    <m/>
    <m/>
    <m/>
    <m/>
    <n v="1627532"/>
    <n v="13440265.04558"/>
    <s v="EPER"/>
    <n v="7414000005"/>
  </r>
  <r>
    <x v="1"/>
    <m/>
    <x v="0"/>
    <m/>
    <n v="0"/>
    <m/>
    <m/>
    <m/>
    <m/>
    <m/>
    <m/>
    <m/>
    <m/>
    <m/>
    <n v="0"/>
    <n v="1625075.07"/>
    <s v="EPER"/>
    <n v="7414000005"/>
  </r>
  <r>
    <x v="1"/>
    <m/>
    <x v="0"/>
    <m/>
    <n v="0"/>
    <m/>
    <m/>
    <m/>
    <m/>
    <m/>
    <m/>
    <m/>
    <m/>
    <m/>
    <n v="24937"/>
    <n v="2462038.7130129999"/>
    <s v="EPER"/>
    <n v="7414000005"/>
  </r>
  <r>
    <x v="1"/>
    <m/>
    <x v="0"/>
    <m/>
    <n v="0"/>
    <m/>
    <m/>
    <m/>
    <m/>
    <m/>
    <m/>
    <m/>
    <m/>
    <m/>
    <n v="42820"/>
    <n v="4249777.86436"/>
    <s v="EPER"/>
    <n v="7414000005"/>
  </r>
  <r>
    <x v="1"/>
    <m/>
    <x v="0"/>
    <m/>
    <n v="0"/>
    <m/>
    <m/>
    <m/>
    <m/>
    <m/>
    <m/>
    <m/>
    <m/>
    <m/>
    <n v="112281"/>
    <n v="10663679.918307001"/>
    <s v="EPER"/>
    <n v="7414000005"/>
  </r>
  <r>
    <x v="1"/>
    <m/>
    <x v="0"/>
    <m/>
    <n v="0"/>
    <m/>
    <m/>
    <m/>
    <m/>
    <m/>
    <m/>
    <m/>
    <m/>
    <m/>
    <n v="191488"/>
    <n v="17600010.779647999"/>
    <s v="EPER"/>
    <n v="7414000005"/>
  </r>
  <r>
    <x v="1"/>
    <m/>
    <x v="0"/>
    <m/>
    <n v="0"/>
    <m/>
    <m/>
    <m/>
    <m/>
    <m/>
    <m/>
    <m/>
    <m/>
    <m/>
    <n v="375550"/>
    <n v="34909063.60165"/>
    <s v="EPER"/>
    <n v="7414000005"/>
  </r>
  <r>
    <x v="1"/>
    <m/>
    <x v="0"/>
    <m/>
    <n v="0"/>
    <m/>
    <m/>
    <m/>
    <m/>
    <m/>
    <m/>
    <m/>
    <m/>
    <m/>
    <n v="140261"/>
    <n v="12440887.430103"/>
    <s v="EPER"/>
    <n v="7414000005"/>
  </r>
  <r>
    <x v="1"/>
    <m/>
    <x v="0"/>
    <m/>
    <n v="0"/>
    <m/>
    <m/>
    <m/>
    <m/>
    <m/>
    <m/>
    <m/>
    <m/>
    <m/>
    <n v="111630"/>
    <n v="10416663.25296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9590"/>
    <n v="939895.12806000002"/>
    <s v="EPER"/>
    <n v="7414000005"/>
  </r>
  <r>
    <x v="1"/>
    <m/>
    <x v="0"/>
    <m/>
    <n v="0"/>
    <m/>
    <m/>
    <m/>
    <m/>
    <m/>
    <m/>
    <m/>
    <m/>
    <m/>
    <n v="22830"/>
    <n v="2291878.7011500001"/>
    <s v="EPER"/>
    <n v="7414000005"/>
  </r>
  <r>
    <x v="1"/>
    <m/>
    <x v="0"/>
    <m/>
    <n v="0"/>
    <m/>
    <m/>
    <m/>
    <m/>
    <m/>
    <m/>
    <m/>
    <m/>
    <m/>
    <n v="5670000"/>
    <n v="23286463.199999999"/>
    <s v="EPER"/>
    <n v="7414000005"/>
  </r>
  <r>
    <x v="1"/>
    <m/>
    <x v="0"/>
    <m/>
    <n v="0"/>
    <m/>
    <m/>
    <m/>
    <m/>
    <m/>
    <m/>
    <m/>
    <m/>
    <m/>
    <n v="4"/>
    <n v="3102.7671479999999"/>
    <s v="EPER"/>
    <n v="7414000005"/>
  </r>
  <r>
    <x v="1"/>
    <m/>
    <x v="0"/>
    <m/>
    <n v="0"/>
    <m/>
    <m/>
    <m/>
    <m/>
    <m/>
    <m/>
    <m/>
    <m/>
    <m/>
    <n v="3"/>
    <n v="2241.535296"/>
    <s v="EPER"/>
    <n v="7414000005"/>
  </r>
  <r>
    <x v="1"/>
    <m/>
    <x v="0"/>
    <m/>
    <n v="0"/>
    <m/>
    <m/>
    <m/>
    <m/>
    <m/>
    <m/>
    <m/>
    <m/>
    <m/>
    <n v="21230"/>
    <n v="2123010.27532"/>
    <s v="EPER"/>
    <n v="7414000005"/>
  </r>
  <r>
    <x v="1"/>
    <m/>
    <x v="0"/>
    <m/>
    <n v="0"/>
    <m/>
    <m/>
    <m/>
    <m/>
    <m/>
    <m/>
    <m/>
    <m/>
    <m/>
    <n v="1700000"/>
    <n v="15560890.5"/>
    <s v="EPER"/>
    <n v="7414000005"/>
  </r>
  <r>
    <x v="1"/>
    <m/>
    <x v="0"/>
    <m/>
    <n v="0"/>
    <m/>
    <m/>
    <m/>
    <m/>
    <m/>
    <m/>
    <m/>
    <m/>
    <m/>
    <n v="140000"/>
    <n v="1173389.1399999999"/>
    <s v="EPER"/>
    <n v="7414000005"/>
  </r>
  <r>
    <x v="1"/>
    <m/>
    <x v="0"/>
    <m/>
    <n v="0"/>
    <m/>
    <m/>
    <m/>
    <m/>
    <m/>
    <m/>
    <m/>
    <m/>
    <m/>
    <n v="206800"/>
    <n v="1707767.8419999999"/>
    <s v="EPER"/>
    <n v="7414000005"/>
  </r>
  <r>
    <x v="1"/>
    <m/>
    <x v="0"/>
    <m/>
    <n v="0"/>
    <m/>
    <m/>
    <m/>
    <m/>
    <m/>
    <m/>
    <m/>
    <m/>
    <m/>
    <n v="6160"/>
    <n v="574410.30416000006"/>
    <s v="EPER"/>
    <n v="7414000005"/>
  </r>
  <r>
    <x v="1"/>
    <m/>
    <x v="0"/>
    <m/>
    <n v="0"/>
    <m/>
    <m/>
    <m/>
    <m/>
    <m/>
    <m/>
    <m/>
    <m/>
    <m/>
    <n v="0"/>
    <n v="61019763.859999999"/>
    <s v="EPER"/>
    <n v="7414000005"/>
  </r>
  <r>
    <x v="1"/>
    <m/>
    <x v="0"/>
    <m/>
    <n v="0"/>
    <m/>
    <m/>
    <m/>
    <m/>
    <m/>
    <m/>
    <m/>
    <m/>
    <m/>
    <n v="10923"/>
    <n v="1003952.820783"/>
    <s v="EPER"/>
    <n v="7414000005"/>
  </r>
  <r>
    <x v="1"/>
    <m/>
    <x v="0"/>
    <m/>
    <n v="0"/>
    <m/>
    <m/>
    <m/>
    <m/>
    <m/>
    <m/>
    <m/>
    <m/>
    <m/>
    <n v="51482"/>
    <n v="4566356.768286"/>
    <s v="EPER"/>
    <n v="7414000005"/>
  </r>
  <r>
    <x v="1"/>
    <m/>
    <x v="0"/>
    <m/>
    <n v="0"/>
    <m/>
    <m/>
    <m/>
    <m/>
    <m/>
    <m/>
    <m/>
    <m/>
    <m/>
    <n v="87876"/>
    <n v="8200077.9361920003"/>
    <s v="EPER"/>
    <n v="7414000005"/>
  </r>
  <r>
    <x v="1"/>
    <m/>
    <x v="0"/>
    <m/>
    <n v="0"/>
    <m/>
    <m/>
    <m/>
    <m/>
    <m/>
    <m/>
    <m/>
    <m/>
    <m/>
    <n v="35860"/>
    <n v="3401829.0644800002"/>
    <s v="EPER"/>
    <n v="7414000005"/>
  </r>
  <r>
    <x v="1"/>
    <m/>
    <x v="0"/>
    <m/>
    <n v="0"/>
    <m/>
    <m/>
    <m/>
    <m/>
    <m/>
    <m/>
    <m/>
    <m/>
    <m/>
    <n v="151300"/>
    <n v="14353854.7541"/>
    <s v="EPER"/>
    <n v="7414000005"/>
  </r>
  <r>
    <x v="1"/>
    <m/>
    <x v="0"/>
    <m/>
    <n v="0"/>
    <m/>
    <m/>
    <m/>
    <m/>
    <m/>
    <m/>
    <m/>
    <m/>
    <m/>
    <n v="199144"/>
    <n v="17821290.017960001"/>
    <s v="EPER"/>
    <n v="7414000005"/>
  </r>
  <r>
    <x v="1"/>
    <m/>
    <x v="0"/>
    <m/>
    <n v="0"/>
    <m/>
    <m/>
    <m/>
    <m/>
    <m/>
    <m/>
    <m/>
    <m/>
    <m/>
    <n v="144987"/>
    <n v="12497462.997336"/>
    <s v="EPER"/>
    <n v="7414000005"/>
  </r>
  <r>
    <x v="1"/>
    <m/>
    <x v="0"/>
    <m/>
    <n v="0"/>
    <m/>
    <m/>
    <m/>
    <m/>
    <m/>
    <m/>
    <m/>
    <m/>
    <m/>
    <n v="55189"/>
    <n v="4772157.1779060001"/>
    <s v="EPER"/>
    <n v="7414000005"/>
  </r>
  <r>
    <x v="1"/>
    <m/>
    <x v="0"/>
    <m/>
    <n v="0"/>
    <m/>
    <m/>
    <m/>
    <m/>
    <m/>
    <m/>
    <m/>
    <m/>
    <m/>
    <n v="11200"/>
    <n v="1097687.7408"/>
    <s v="EPER"/>
    <n v="7414000005"/>
  </r>
  <r>
    <x v="1"/>
    <m/>
    <x v="0"/>
    <m/>
    <n v="0"/>
    <m/>
    <m/>
    <m/>
    <m/>
    <m/>
    <m/>
    <m/>
    <m/>
    <m/>
    <n v="5690"/>
    <n v="571212.86945"/>
    <s v="EPER"/>
    <n v="7414000005"/>
  </r>
  <r>
    <x v="1"/>
    <m/>
    <x v="0"/>
    <m/>
    <n v="0"/>
    <m/>
    <m/>
    <m/>
    <m/>
    <m/>
    <m/>
    <m/>
    <m/>
    <m/>
    <n v="13600000"/>
    <n v="62354313.600000001"/>
    <s v="EPER"/>
    <n v="7414000005"/>
  </r>
  <r>
    <x v="1"/>
    <m/>
    <x v="0"/>
    <m/>
    <n v="0"/>
    <m/>
    <m/>
    <m/>
    <m/>
    <m/>
    <m/>
    <m/>
    <m/>
    <m/>
    <n v="331"/>
    <n v="256753.981497"/>
    <s v="EPER"/>
    <n v="7414000005"/>
  </r>
  <r>
    <x v="1"/>
    <m/>
    <x v="0"/>
    <m/>
    <n v="0"/>
    <m/>
    <m/>
    <m/>
    <m/>
    <m/>
    <m/>
    <m/>
    <m/>
    <m/>
    <n v="5"/>
    <n v="3829.6194150000001"/>
    <s v="EPER"/>
    <n v="7414000005"/>
  </r>
  <r>
    <x v="1"/>
    <m/>
    <x v="0"/>
    <m/>
    <n v="0"/>
    <m/>
    <m/>
    <m/>
    <m/>
    <m/>
    <m/>
    <m/>
    <m/>
    <m/>
    <n v="1770"/>
    <n v="1212253.80966"/>
    <s v="EPER"/>
    <n v="7414000005"/>
  </r>
  <r>
    <x v="1"/>
    <m/>
    <x v="0"/>
    <m/>
    <n v="0"/>
    <m/>
    <m/>
    <m/>
    <m/>
    <m/>
    <m/>
    <m/>
    <m/>
    <m/>
    <n v="3880"/>
    <n v="388001.87792"/>
    <s v="EPER"/>
    <n v="7414000005"/>
  </r>
  <r>
    <x v="1"/>
    <m/>
    <x v="0"/>
    <m/>
    <n v="0"/>
    <m/>
    <m/>
    <m/>
    <m/>
    <m/>
    <m/>
    <m/>
    <m/>
    <m/>
    <n v="300000"/>
    <n v="2746039.5"/>
    <s v="EPER"/>
    <n v="7414000005"/>
  </r>
  <r>
    <x v="1"/>
    <m/>
    <x v="0"/>
    <m/>
    <n v="0"/>
    <m/>
    <m/>
    <m/>
    <m/>
    <m/>
    <m/>
    <m/>
    <m/>
    <m/>
    <n v="25000"/>
    <n v="209533.77499999999"/>
    <s v="EPER"/>
    <n v="7414000005"/>
  </r>
  <r>
    <x v="1"/>
    <m/>
    <x v="0"/>
    <m/>
    <n v="0"/>
    <m/>
    <m/>
    <m/>
    <m/>
    <m/>
    <m/>
    <m/>
    <m/>
    <m/>
    <n v="37900"/>
    <n v="312980.66350000002"/>
    <s v="EPER"/>
    <n v="7414000005"/>
  </r>
  <r>
    <x v="1"/>
    <m/>
    <x v="0"/>
    <m/>
    <n v="0"/>
    <m/>
    <m/>
    <m/>
    <m/>
    <m/>
    <m/>
    <m/>
    <m/>
    <m/>
    <n v="940"/>
    <n v="87653.520439999993"/>
    <s v="EPER"/>
    <n v="7414000005"/>
  </r>
  <r>
    <x v="1"/>
    <m/>
    <x v="0"/>
    <m/>
    <n v="0"/>
    <m/>
    <m/>
    <m/>
    <m/>
    <m/>
    <m/>
    <m/>
    <m/>
    <m/>
    <n v="0"/>
    <n v="9580196.5500000007"/>
    <s v="EPER"/>
    <n v="7414000005"/>
  </r>
  <r>
    <x v="1"/>
    <m/>
    <x v="0"/>
    <m/>
    <n v="0"/>
    <m/>
    <m/>
    <m/>
    <m/>
    <m/>
    <m/>
    <m/>
    <m/>
    <m/>
    <n v="2160"/>
    <n v="198529.53336"/>
    <s v="EPER"/>
    <n v="7414000005"/>
  </r>
  <r>
    <x v="1"/>
    <m/>
    <x v="0"/>
    <m/>
    <n v="0"/>
    <m/>
    <m/>
    <m/>
    <m/>
    <m/>
    <m/>
    <m/>
    <m/>
    <m/>
    <n v="7849"/>
    <n v="696191.56742700003"/>
    <s v="EPER"/>
    <n v="7414000005"/>
  </r>
  <r>
    <x v="1"/>
    <m/>
    <x v="0"/>
    <m/>
    <n v="0"/>
    <m/>
    <m/>
    <m/>
    <m/>
    <m/>
    <m/>
    <m/>
    <m/>
    <m/>
    <n v="20165"/>
    <n v="1881680.6816799999"/>
    <s v="EPER"/>
    <n v="7414000005"/>
  </r>
  <r>
    <x v="1"/>
    <m/>
    <x v="0"/>
    <m/>
    <n v="0"/>
    <m/>
    <m/>
    <m/>
    <m/>
    <m/>
    <m/>
    <m/>
    <m/>
    <m/>
    <n v="5590"/>
    <n v="530290.69912"/>
    <s v="EPER"/>
    <n v="7414000005"/>
  </r>
  <r>
    <x v="1"/>
    <m/>
    <x v="0"/>
    <m/>
    <n v="0"/>
    <m/>
    <m/>
    <m/>
    <m/>
    <m/>
    <m/>
    <m/>
    <m/>
    <m/>
    <n v="26794"/>
    <n v="2541950.9866579999"/>
    <s v="EPER"/>
    <n v="7414000005"/>
  </r>
  <r>
    <x v="1"/>
    <m/>
    <x v="0"/>
    <m/>
    <n v="0"/>
    <m/>
    <m/>
    <m/>
    <m/>
    <m/>
    <m/>
    <m/>
    <m/>
    <m/>
    <n v="36807"/>
    <n v="3293838.7382550002"/>
    <s v="EPER"/>
    <n v="7414000005"/>
  </r>
  <r>
    <x v="1"/>
    <m/>
    <x v="0"/>
    <m/>
    <n v="0"/>
    <m/>
    <m/>
    <m/>
    <m/>
    <m/>
    <m/>
    <m/>
    <m/>
    <m/>
    <n v="27601"/>
    <n v="2379126.9299280001"/>
    <s v="EPER"/>
    <n v="7414000005"/>
  </r>
  <r>
    <x v="1"/>
    <m/>
    <x v="0"/>
    <m/>
    <n v="0"/>
    <m/>
    <m/>
    <m/>
    <m/>
    <m/>
    <m/>
    <m/>
    <m/>
    <m/>
    <n v="7712"/>
    <n v="666851.65804799995"/>
    <s v="EPER"/>
    <n v="7414000005"/>
  </r>
  <r>
    <x v="1"/>
    <m/>
    <x v="0"/>
    <m/>
    <n v="0"/>
    <m/>
    <m/>
    <m/>
    <m/>
    <m/>
    <m/>
    <m/>
    <m/>
    <m/>
    <n v="2220"/>
    <n v="217577.39147999999"/>
    <s v="EPER"/>
    <n v="7414000005"/>
  </r>
  <r>
    <x v="1"/>
    <m/>
    <x v="0"/>
    <m/>
    <n v="0"/>
    <m/>
    <m/>
    <m/>
    <m/>
    <m/>
    <m/>
    <m/>
    <m/>
    <m/>
    <n v="860"/>
    <n v="86334.458299999998"/>
    <s v="EPER"/>
    <n v="7414000005"/>
  </r>
  <r>
    <x v="1"/>
    <m/>
    <x v="0"/>
    <m/>
    <n v="0"/>
    <m/>
    <m/>
    <m/>
    <m/>
    <m/>
    <m/>
    <m/>
    <m/>
    <m/>
    <n v="2330000"/>
    <n v="10682761.08"/>
    <s v="EPER"/>
    <n v="7414000005"/>
  </r>
  <r>
    <x v="1"/>
    <m/>
    <x v="0"/>
    <m/>
    <n v="0"/>
    <m/>
    <m/>
    <m/>
    <m/>
    <m/>
    <m/>
    <m/>
    <m/>
    <m/>
    <n v="26"/>
    <n v="20167.986462000001"/>
    <s v="EPER"/>
    <n v="7414000005"/>
  </r>
  <r>
    <x v="1"/>
    <m/>
    <x v="0"/>
    <m/>
    <n v="0"/>
    <m/>
    <m/>
    <m/>
    <m/>
    <m/>
    <m/>
    <m/>
    <m/>
    <m/>
    <n v="9"/>
    <n v="6893.3149469999998"/>
    <s v="EPER"/>
    <n v="7414000005"/>
  </r>
  <r>
    <x v="1"/>
    <m/>
    <x v="0"/>
    <m/>
    <n v="0"/>
    <m/>
    <m/>
    <m/>
    <m/>
    <m/>
    <m/>
    <m/>
    <m/>
    <m/>
    <n v="320"/>
    <n v="219164.53056000001"/>
    <s v="EPER"/>
    <n v="7414000005"/>
  </r>
  <r>
    <x v="1"/>
    <m/>
    <x v="0"/>
    <m/>
    <n v="0"/>
    <m/>
    <m/>
    <m/>
    <m/>
    <m/>
    <m/>
    <m/>
    <m/>
    <m/>
    <n v="2820"/>
    <n v="282001.36488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71975"/>
    <n v="1462547.457525"/>
    <s v="EPER"/>
    <n v="7414000005"/>
  </r>
  <r>
    <x v="1"/>
    <m/>
    <x v="0"/>
    <m/>
    <n v="0"/>
    <m/>
    <m/>
    <m/>
    <m/>
    <m/>
    <m/>
    <m/>
    <m/>
    <m/>
    <n v="237940"/>
    <n v="1994258.6569399999"/>
    <s v="EPER"/>
    <n v="7414000005"/>
  </r>
  <r>
    <x v="1"/>
    <m/>
    <x v="0"/>
    <m/>
    <n v="0"/>
    <m/>
    <m/>
    <m/>
    <m/>
    <m/>
    <m/>
    <m/>
    <m/>
    <m/>
    <n v="133000"/>
    <n v="1098322.645"/>
    <s v="EPER"/>
    <n v="7414000005"/>
  </r>
  <r>
    <x v="1"/>
    <m/>
    <x v="0"/>
    <m/>
    <n v="0"/>
    <m/>
    <m/>
    <m/>
    <m/>
    <m/>
    <m/>
    <m/>
    <m/>
    <m/>
    <n v="0"/>
    <n v="488325.78"/>
    <s v="EPER"/>
    <n v="7414000005"/>
  </r>
  <r>
    <x v="1"/>
    <m/>
    <x v="0"/>
    <m/>
    <n v="0"/>
    <m/>
    <m/>
    <m/>
    <m/>
    <m/>
    <m/>
    <m/>
    <m/>
    <m/>
    <n v="2736"/>
    <n v="270126.234864"/>
    <s v="EPER"/>
    <n v="7414000005"/>
  </r>
  <r>
    <x v="1"/>
    <m/>
    <x v="0"/>
    <m/>
    <n v="0"/>
    <m/>
    <m/>
    <m/>
    <m/>
    <m/>
    <m/>
    <m/>
    <m/>
    <m/>
    <n v="17830"/>
    <n v="1769582.88934"/>
    <s v="EPER"/>
    <n v="7414000005"/>
  </r>
  <r>
    <x v="1"/>
    <m/>
    <x v="0"/>
    <m/>
    <n v="0"/>
    <m/>
    <m/>
    <m/>
    <m/>
    <m/>
    <m/>
    <m/>
    <m/>
    <m/>
    <n v="7071"/>
    <n v="671555.12243700004"/>
    <s v="EPER"/>
    <n v="7414000005"/>
  </r>
  <r>
    <x v="1"/>
    <m/>
    <x v="0"/>
    <m/>
    <n v="0"/>
    <m/>
    <m/>
    <m/>
    <m/>
    <m/>
    <m/>
    <m/>
    <m/>
    <m/>
    <n v="37048"/>
    <n v="3405149.1444080002"/>
    <s v="EPER"/>
    <n v="7414000005"/>
  </r>
  <r>
    <x v="1"/>
    <m/>
    <x v="0"/>
    <m/>
    <n v="0"/>
    <m/>
    <m/>
    <m/>
    <m/>
    <m/>
    <m/>
    <m/>
    <m/>
    <m/>
    <n v="69530"/>
    <n v="6463126.5935899997"/>
    <s v="EPER"/>
    <n v="7414000005"/>
  </r>
  <r>
    <x v="1"/>
    <m/>
    <x v="0"/>
    <m/>
    <n v="0"/>
    <m/>
    <m/>
    <m/>
    <m/>
    <m/>
    <m/>
    <m/>
    <m/>
    <m/>
    <n v="26275"/>
    <n v="2330543.1818249999"/>
    <s v="EPER"/>
    <n v="7414000005"/>
  </r>
  <r>
    <x v="1"/>
    <m/>
    <x v="0"/>
    <m/>
    <n v="0"/>
    <m/>
    <m/>
    <m/>
    <m/>
    <m/>
    <m/>
    <m/>
    <m/>
    <m/>
    <n v="23960"/>
    <n v="2235808.04032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530"/>
    <n v="149951.98602000001"/>
    <s v="EPER"/>
    <n v="7414000005"/>
  </r>
  <r>
    <x v="1"/>
    <m/>
    <x v="0"/>
    <m/>
    <n v="0"/>
    <m/>
    <m/>
    <m/>
    <m/>
    <m/>
    <m/>
    <m/>
    <m/>
    <m/>
    <n v="6200"/>
    <n v="622411.21100000001"/>
    <s v="EPER"/>
    <n v="7414000005"/>
  </r>
  <r>
    <x v="1"/>
    <m/>
    <x v="0"/>
    <m/>
    <n v="0"/>
    <m/>
    <m/>
    <m/>
    <m/>
    <m/>
    <m/>
    <m/>
    <m/>
    <m/>
    <n v="1050000"/>
    <n v="4312308"/>
    <s v="EPER"/>
    <n v="7414000005"/>
  </r>
  <r>
    <x v="1"/>
    <m/>
    <x v="0"/>
    <m/>
    <n v="0"/>
    <m/>
    <m/>
    <m/>
    <m/>
    <m/>
    <m/>
    <m/>
    <m/>
    <m/>
    <n v="3"/>
    <n v="2241.535296"/>
    <s v="EPER"/>
    <n v="7414000005"/>
  </r>
  <r>
    <x v="1"/>
    <m/>
    <x v="0"/>
    <m/>
    <n v="0"/>
    <m/>
    <m/>
    <m/>
    <m/>
    <m/>
    <m/>
    <m/>
    <m/>
    <m/>
    <n v="147110"/>
    <n v="14711071.20123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5348712"/>
    <n v="45487687.958328001"/>
    <s v="EPER"/>
    <n v="7414000005"/>
  </r>
  <r>
    <x v="1"/>
    <m/>
    <x v="0"/>
    <m/>
    <n v="0"/>
    <m/>
    <m/>
    <m/>
    <m/>
    <m/>
    <m/>
    <m/>
    <m/>
    <m/>
    <n v="9698110"/>
    <n v="81283263.946610004"/>
    <s v="EPER"/>
    <n v="7414000005"/>
  </r>
  <r>
    <x v="1"/>
    <m/>
    <x v="0"/>
    <m/>
    <n v="0"/>
    <m/>
    <m/>
    <m/>
    <m/>
    <m/>
    <m/>
    <m/>
    <m/>
    <m/>
    <n v="19087857"/>
    <n v="157628763.81670499"/>
    <s v="EPER"/>
    <n v="7414000005"/>
  </r>
  <r>
    <x v="1"/>
    <m/>
    <x v="0"/>
    <m/>
    <n v="0"/>
    <m/>
    <m/>
    <m/>
    <m/>
    <m/>
    <m/>
    <m/>
    <m/>
    <m/>
    <n v="0"/>
    <n v="6899159.6799999997"/>
    <s v="EPER"/>
    <n v="7414000005"/>
  </r>
  <r>
    <x v="1"/>
    <m/>
    <x v="0"/>
    <m/>
    <n v="0"/>
    <m/>
    <m/>
    <m/>
    <m/>
    <m/>
    <m/>
    <m/>
    <m/>
    <m/>
    <n v="186808"/>
    <n v="18443619.035992"/>
    <s v="EPER"/>
    <n v="7414000005"/>
  </r>
  <r>
    <x v="1"/>
    <m/>
    <x v="0"/>
    <m/>
    <n v="0"/>
    <m/>
    <m/>
    <m/>
    <m/>
    <m/>
    <m/>
    <m/>
    <m/>
    <m/>
    <n v="1036770"/>
    <n v="102896828.50146"/>
    <s v="EPER"/>
    <n v="7414000005"/>
  </r>
  <r>
    <x v="1"/>
    <m/>
    <x v="0"/>
    <m/>
    <n v="0"/>
    <m/>
    <m/>
    <m/>
    <m/>
    <m/>
    <m/>
    <m/>
    <m/>
    <m/>
    <n v="1004142"/>
    <n v="95366525.774874002"/>
    <s v="EPER"/>
    <n v="7414000005"/>
  </r>
  <r>
    <x v="1"/>
    <m/>
    <x v="0"/>
    <m/>
    <n v="0"/>
    <m/>
    <m/>
    <m/>
    <m/>
    <m/>
    <m/>
    <m/>
    <m/>
    <m/>
    <n v="1855916"/>
    <n v="170580619.183036"/>
    <s v="EPER"/>
    <n v="7414000005"/>
  </r>
  <r>
    <x v="1"/>
    <m/>
    <x v="0"/>
    <m/>
    <n v="0"/>
    <m/>
    <m/>
    <m/>
    <m/>
    <m/>
    <m/>
    <m/>
    <m/>
    <m/>
    <n v="3388950"/>
    <n v="315018162.94185001"/>
    <s v="EPER"/>
    <n v="7414000005"/>
  </r>
  <r>
    <x v="1"/>
    <m/>
    <x v="0"/>
    <m/>
    <n v="0"/>
    <m/>
    <m/>
    <m/>
    <m/>
    <m/>
    <m/>
    <m/>
    <m/>
    <m/>
    <n v="1246014"/>
    <n v="110519103.03172199"/>
    <s v="EPER"/>
    <n v="7414000005"/>
  </r>
  <r>
    <x v="1"/>
    <m/>
    <x v="0"/>
    <m/>
    <n v="0"/>
    <m/>
    <m/>
    <m/>
    <m/>
    <m/>
    <m/>
    <m/>
    <m/>
    <m/>
    <n v="1252910"/>
    <n v="116914284.29872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70103"/>
    <n v="6870643.1869019996"/>
    <s v="EPER"/>
    <n v="7414000005"/>
  </r>
  <r>
    <x v="1"/>
    <m/>
    <x v="0"/>
    <m/>
    <n v="0"/>
    <m/>
    <m/>
    <m/>
    <m/>
    <m/>
    <m/>
    <m/>
    <m/>
    <m/>
    <n v="291840"/>
    <n v="29297498.0352"/>
    <s v="EPER"/>
    <n v="7414000005"/>
  </r>
  <r>
    <x v="1"/>
    <m/>
    <x v="0"/>
    <m/>
    <n v="0"/>
    <m/>
    <m/>
    <m/>
    <m/>
    <m/>
    <m/>
    <m/>
    <m/>
    <m/>
    <n v="54700000"/>
    <n v="224650712"/>
    <s v="EPER"/>
    <n v="7414000005"/>
  </r>
  <r>
    <x v="1"/>
    <m/>
    <x v="0"/>
    <m/>
    <n v="0"/>
    <m/>
    <m/>
    <m/>
    <m/>
    <m/>
    <m/>
    <m/>
    <m/>
    <m/>
    <n v="90"/>
    <n v="69812.260829999999"/>
    <s v="EPER"/>
    <n v="7414000005"/>
  </r>
  <r>
    <x v="1"/>
    <m/>
    <x v="0"/>
    <m/>
    <n v="0"/>
    <m/>
    <m/>
    <m/>
    <m/>
    <m/>
    <m/>
    <m/>
    <m/>
    <m/>
    <n v="564"/>
    <n v="421408.635648"/>
    <s v="EPER"/>
    <n v="7414000005"/>
  </r>
  <r>
    <x v="1"/>
    <m/>
    <x v="0"/>
    <m/>
    <n v="0"/>
    <m/>
    <m/>
    <m/>
    <m/>
    <m/>
    <m/>
    <m/>
    <m/>
    <m/>
    <n v="510092"/>
    <n v="1600297.859115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96371"/>
    <n v="616069.43628300005"/>
    <s v="EPER"/>
    <n v="7414000005"/>
  </r>
  <r>
    <x v="1"/>
    <m/>
    <x v="0"/>
    <m/>
    <n v="0"/>
    <m/>
    <m/>
    <m/>
    <m/>
    <m/>
    <m/>
    <m/>
    <m/>
    <m/>
    <n v="10703021"/>
    <n v="41810752.167323999"/>
    <s v="EPER"/>
    <n v="7414000005"/>
  </r>
  <r>
    <x v="1"/>
    <m/>
    <x v="0"/>
    <m/>
    <n v="0"/>
    <m/>
    <m/>
    <m/>
    <m/>
    <m/>
    <m/>
    <m/>
    <m/>
    <m/>
    <n v="7091577"/>
    <n v="21394557.376568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46155"/>
    <n v="1387535.35414"/>
    <s v="EPER"/>
    <n v="7414000005"/>
  </r>
  <r>
    <x v="1"/>
    <m/>
    <x v="0"/>
    <m/>
    <n v="0"/>
    <m/>
    <m/>
    <m/>
    <m/>
    <m/>
    <m/>
    <m/>
    <m/>
    <m/>
    <n v="199060"/>
    <n v="1858854.7267799999"/>
    <s v="EPER"/>
    <n v="7414000005"/>
  </r>
  <r>
    <x v="1"/>
    <m/>
    <x v="0"/>
    <m/>
    <n v="0"/>
    <m/>
    <m/>
    <m/>
    <m/>
    <m/>
    <m/>
    <m/>
    <m/>
    <m/>
    <n v="249960"/>
    <n v="2297166.6445200001"/>
    <s v="EPER"/>
    <n v="7414000005"/>
  </r>
  <r>
    <x v="1"/>
    <m/>
    <x v="0"/>
    <m/>
    <n v="0"/>
    <m/>
    <m/>
    <m/>
    <m/>
    <m/>
    <m/>
    <m/>
    <m/>
    <m/>
    <n v="69270"/>
    <n v="580576.18377"/>
    <s v="EPER"/>
    <n v="7414000005"/>
  </r>
  <r>
    <x v="1"/>
    <m/>
    <x v="0"/>
    <m/>
    <n v="0"/>
    <m/>
    <m/>
    <m/>
    <m/>
    <m/>
    <m/>
    <m/>
    <m/>
    <m/>
    <n v="141260"/>
    <n v="1166534.2619"/>
    <s v="EPER"/>
    <n v="7414000005"/>
  </r>
  <r>
    <x v="1"/>
    <m/>
    <x v="0"/>
    <m/>
    <n v="0"/>
    <m/>
    <m/>
    <m/>
    <m/>
    <m/>
    <m/>
    <m/>
    <m/>
    <m/>
    <n v="5490"/>
    <n v="542029.61601"/>
    <s v="EPER"/>
    <n v="7414000005"/>
  </r>
  <r>
    <x v="1"/>
    <m/>
    <x v="0"/>
    <m/>
    <n v="0"/>
    <m/>
    <m/>
    <m/>
    <m/>
    <m/>
    <m/>
    <m/>
    <m/>
    <m/>
    <n v="9056"/>
    <n v="898785.34188800002"/>
    <s v="EPER"/>
    <n v="7414000005"/>
  </r>
  <r>
    <x v="1"/>
    <m/>
    <x v="0"/>
    <m/>
    <n v="0"/>
    <m/>
    <m/>
    <m/>
    <m/>
    <m/>
    <m/>
    <m/>
    <m/>
    <m/>
    <n v="11816"/>
    <n v="1122202.7049519999"/>
    <s v="EPER"/>
    <n v="7414000005"/>
  </r>
  <r>
    <x v="1"/>
    <m/>
    <x v="0"/>
    <m/>
    <n v="0"/>
    <m/>
    <m/>
    <m/>
    <m/>
    <m/>
    <m/>
    <m/>
    <m/>
    <m/>
    <n v="6578"/>
    <n v="604595.95853800001"/>
    <s v="EPER"/>
    <n v="7414000005"/>
  </r>
  <r>
    <x v="1"/>
    <m/>
    <x v="0"/>
    <m/>
    <n v="0"/>
    <m/>
    <m/>
    <m/>
    <m/>
    <m/>
    <m/>
    <m/>
    <m/>
    <m/>
    <n v="9566"/>
    <n v="848486.244618"/>
    <s v="EPER"/>
    <n v="7414000005"/>
  </r>
  <r>
    <x v="1"/>
    <m/>
    <x v="0"/>
    <m/>
    <n v="0"/>
    <m/>
    <m/>
    <m/>
    <m/>
    <m/>
    <m/>
    <m/>
    <m/>
    <m/>
    <n v="8296"/>
    <n v="774134.53683200001"/>
    <s v="EPER"/>
    <n v="7414000005"/>
  </r>
  <r>
    <x v="1"/>
    <m/>
    <x v="0"/>
    <m/>
    <n v="0"/>
    <m/>
    <m/>
    <m/>
    <m/>
    <m/>
    <m/>
    <m/>
    <m/>
    <m/>
    <n v="7200"/>
    <n v="683022.00959999999"/>
    <s v="EPER"/>
    <n v="7414000005"/>
  </r>
  <r>
    <x v="1"/>
    <m/>
    <x v="0"/>
    <m/>
    <n v="0"/>
    <m/>
    <m/>
    <m/>
    <m/>
    <m/>
    <m/>
    <m/>
    <m/>
    <m/>
    <n v="2953"/>
    <n v="280151.57362099999"/>
    <s v="EPER"/>
    <n v="7414000005"/>
  </r>
  <r>
    <x v="1"/>
    <m/>
    <x v="0"/>
    <m/>
    <n v="0"/>
    <m/>
    <m/>
    <m/>
    <m/>
    <m/>
    <m/>
    <m/>
    <m/>
    <m/>
    <n v="11334"/>
    <n v="1014273.5963100001"/>
    <s v="EPER"/>
    <n v="7414000005"/>
  </r>
  <r>
    <x v="1"/>
    <m/>
    <x v="0"/>
    <m/>
    <n v="0"/>
    <m/>
    <m/>
    <m/>
    <m/>
    <m/>
    <m/>
    <m/>
    <m/>
    <m/>
    <n v="7760"/>
    <n v="668889.71328000003"/>
    <s v="EPER"/>
    <n v="7414000005"/>
  </r>
  <r>
    <x v="1"/>
    <m/>
    <x v="0"/>
    <m/>
    <n v="0"/>
    <m/>
    <m/>
    <m/>
    <m/>
    <m/>
    <m/>
    <m/>
    <m/>
    <m/>
    <n v="39629"/>
    <n v="3426694.029666"/>
    <s v="EPER"/>
    <n v="7414000005"/>
  </r>
  <r>
    <x v="1"/>
    <m/>
    <x v="0"/>
    <m/>
    <n v="0"/>
    <m/>
    <m/>
    <m/>
    <m/>
    <m/>
    <m/>
    <m/>
    <m/>
    <m/>
    <n v="507"/>
    <n v="51435.639761999999"/>
    <s v="EPER"/>
    <n v="7414000005"/>
  </r>
  <r>
    <x v="1"/>
    <m/>
    <x v="0"/>
    <m/>
    <n v="0"/>
    <m/>
    <m/>
    <m/>
    <m/>
    <m/>
    <m/>
    <m/>
    <m/>
    <m/>
    <n v="657"/>
    <n v="58895.564004"/>
    <s v="EPER"/>
    <n v="7414000005"/>
  </r>
  <r>
    <x v="1"/>
    <m/>
    <x v="0"/>
    <m/>
    <n v="0"/>
    <m/>
    <m/>
    <m/>
    <m/>
    <m/>
    <m/>
    <m/>
    <m/>
    <m/>
    <n v="14007"/>
    <n v="1144916.21202"/>
    <s v="EPER"/>
    <n v="7414000005"/>
  </r>
  <r>
    <x v="1"/>
    <m/>
    <x v="0"/>
    <m/>
    <n v="0"/>
    <m/>
    <m/>
    <m/>
    <m/>
    <m/>
    <m/>
    <m/>
    <m/>
    <m/>
    <n v="2080"/>
    <n v="173057.58288"/>
    <s v="EPER"/>
    <n v="7414000005"/>
  </r>
  <r>
    <x v="1"/>
    <m/>
    <x v="0"/>
    <m/>
    <n v="0"/>
    <m/>
    <m/>
    <m/>
    <m/>
    <m/>
    <m/>
    <m/>
    <m/>
    <m/>
    <n v="21201"/>
    <n v="1741872.1883070001"/>
    <s v="EPER"/>
    <n v="7414000005"/>
  </r>
  <r>
    <x v="1"/>
    <m/>
    <x v="0"/>
    <m/>
    <n v="0"/>
    <m/>
    <m/>
    <m/>
    <m/>
    <m/>
    <m/>
    <m/>
    <m/>
    <m/>
    <n v="10290"/>
    <n v="1008500.6118599999"/>
    <s v="EPER"/>
    <n v="7414000005"/>
  </r>
  <r>
    <x v="1"/>
    <m/>
    <x v="0"/>
    <m/>
    <n v="0"/>
    <m/>
    <m/>
    <m/>
    <m/>
    <m/>
    <m/>
    <m/>
    <m/>
    <m/>
    <n v="2085150"/>
    <n v="7082779.1358000003"/>
    <s v="EPER"/>
    <n v="7414000005"/>
  </r>
  <r>
    <x v="1"/>
    <m/>
    <x v="0"/>
    <m/>
    <n v="0"/>
    <m/>
    <m/>
    <m/>
    <m/>
    <m/>
    <m/>
    <m/>
    <m/>
    <m/>
    <n v="1858513"/>
    <n v="7217040.8710420001"/>
    <s v="EPER"/>
    <n v="7414000005"/>
  </r>
  <r>
    <x v="1"/>
    <m/>
    <x v="0"/>
    <m/>
    <n v="0"/>
    <m/>
    <m/>
    <m/>
    <m/>
    <m/>
    <m/>
    <m/>
    <m/>
    <m/>
    <n v="152"/>
    <n v="38919.617480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878"/>
    <n v="681057.38898599998"/>
    <s v="EPER"/>
    <n v="7414000005"/>
  </r>
  <r>
    <x v="1"/>
    <m/>
    <x v="0"/>
    <m/>
    <n v="0"/>
    <m/>
    <m/>
    <m/>
    <m/>
    <m/>
    <m/>
    <m/>
    <m/>
    <m/>
    <n v="1360"/>
    <n v="1016162.66752"/>
    <s v="EPER"/>
    <n v="7414000005"/>
  </r>
  <r>
    <x v="1"/>
    <m/>
    <x v="0"/>
    <m/>
    <n v="0"/>
    <m/>
    <m/>
    <m/>
    <m/>
    <m/>
    <m/>
    <m/>
    <m/>
    <m/>
    <n v="1328"/>
    <n v="1017146.9166239999"/>
    <s v="EPER"/>
    <n v="7414000005"/>
  </r>
  <r>
    <x v="1"/>
    <m/>
    <x v="0"/>
    <m/>
    <n v="0"/>
    <m/>
    <m/>
    <m/>
    <m/>
    <m/>
    <m/>
    <m/>
    <m/>
    <m/>
    <n v="6375"/>
    <n v="4366168.3822499998"/>
    <s v="EPER"/>
    <n v="7414000005"/>
  </r>
  <r>
    <x v="1"/>
    <m/>
    <x v="0"/>
    <m/>
    <n v="0"/>
    <m/>
    <m/>
    <m/>
    <m/>
    <m/>
    <m/>
    <m/>
    <m/>
    <m/>
    <n v="616"/>
    <n v="476123.01043999998"/>
    <s v="EPER"/>
    <n v="7414000005"/>
  </r>
  <r>
    <x v="1"/>
    <m/>
    <x v="0"/>
    <m/>
    <n v="0"/>
    <m/>
    <m/>
    <m/>
    <m/>
    <m/>
    <m/>
    <m/>
    <m/>
    <m/>
    <n v="679"/>
    <n v="489962.76056000002"/>
    <s v="EPER"/>
    <n v="7414000005"/>
  </r>
  <r>
    <x v="1"/>
    <m/>
    <x v="0"/>
    <m/>
    <n v="0"/>
    <m/>
    <m/>
    <m/>
    <m/>
    <m/>
    <m/>
    <m/>
    <m/>
    <m/>
    <n v="638"/>
    <n v="405744.46992200002"/>
    <s v="EPER"/>
    <n v="7414000005"/>
  </r>
  <r>
    <x v="1"/>
    <m/>
    <x v="0"/>
    <m/>
    <n v="0"/>
    <m/>
    <m/>
    <m/>
    <m/>
    <m/>
    <m/>
    <m/>
    <m/>
    <m/>
    <n v="1046"/>
    <n v="742000.74908600003"/>
    <s v="EPER"/>
    <n v="7414000005"/>
  </r>
  <r>
    <x v="1"/>
    <m/>
    <x v="0"/>
    <m/>
    <n v="0"/>
    <m/>
    <m/>
    <m/>
    <m/>
    <m/>
    <m/>
    <m/>
    <m/>
    <m/>
    <n v="3818"/>
    <n v="2651261.9119660002"/>
    <s v="EPER"/>
    <n v="7414000005"/>
  </r>
  <r>
    <x v="1"/>
    <m/>
    <x v="0"/>
    <m/>
    <n v="0"/>
    <m/>
    <m/>
    <m/>
    <m/>
    <m/>
    <m/>
    <m/>
    <m/>
    <m/>
    <n v="136379"/>
    <n v="1294726.037852"/>
    <s v="EPER"/>
    <n v="7414000005"/>
  </r>
  <r>
    <x v="1"/>
    <m/>
    <x v="0"/>
    <m/>
    <n v="0"/>
    <m/>
    <m/>
    <m/>
    <m/>
    <m/>
    <m/>
    <m/>
    <m/>
    <m/>
    <n v="185740"/>
    <n v="1734470.3956200001"/>
    <s v="EPER"/>
    <n v="7414000005"/>
  </r>
  <r>
    <x v="1"/>
    <m/>
    <x v="0"/>
    <m/>
    <n v="0"/>
    <m/>
    <m/>
    <m/>
    <m/>
    <m/>
    <m/>
    <m/>
    <m/>
    <m/>
    <n v="234160"/>
    <n v="2151962.4799199998"/>
    <s v="EPER"/>
    <n v="7414000005"/>
  </r>
  <r>
    <x v="1"/>
    <m/>
    <x v="0"/>
    <m/>
    <n v="0"/>
    <m/>
    <m/>
    <m/>
    <m/>
    <m/>
    <m/>
    <m/>
    <m/>
    <m/>
    <n v="64920"/>
    <n v="544117.30692"/>
    <s v="EPER"/>
    <n v="7414000005"/>
  </r>
  <r>
    <x v="1"/>
    <m/>
    <x v="0"/>
    <m/>
    <n v="0"/>
    <m/>
    <m/>
    <m/>
    <m/>
    <m/>
    <m/>
    <m/>
    <m/>
    <m/>
    <n v="132650"/>
    <n v="1095432.32225"/>
    <s v="EPER"/>
    <n v="7414000005"/>
  </r>
  <r>
    <x v="1"/>
    <m/>
    <x v="0"/>
    <m/>
    <n v="0"/>
    <m/>
    <m/>
    <m/>
    <m/>
    <m/>
    <m/>
    <m/>
    <m/>
    <m/>
    <n v="4530"/>
    <n v="447248.48096999998"/>
    <s v="EPER"/>
    <n v="7414000005"/>
  </r>
  <r>
    <x v="1"/>
    <m/>
    <x v="0"/>
    <m/>
    <n v="0"/>
    <m/>
    <m/>
    <m/>
    <m/>
    <m/>
    <m/>
    <m/>
    <m/>
    <m/>
    <n v="7978"/>
    <n v="791796.53904399998"/>
    <s v="EPER"/>
    <n v="7414000005"/>
  </r>
  <r>
    <x v="1"/>
    <m/>
    <x v="0"/>
    <m/>
    <n v="0"/>
    <m/>
    <m/>
    <m/>
    <m/>
    <m/>
    <m/>
    <m/>
    <m/>
    <m/>
    <n v="11009"/>
    <n v="1045559.375323"/>
    <s v="EPER"/>
    <n v="7414000005"/>
  </r>
  <r>
    <x v="1"/>
    <m/>
    <x v="0"/>
    <m/>
    <n v="0"/>
    <m/>
    <m/>
    <m/>
    <m/>
    <m/>
    <m/>
    <m/>
    <m/>
    <m/>
    <n v="6022"/>
    <n v="553492.98606200004"/>
    <s v="EPER"/>
    <n v="7414000005"/>
  </r>
  <r>
    <x v="1"/>
    <m/>
    <x v="0"/>
    <m/>
    <n v="0"/>
    <m/>
    <m/>
    <m/>
    <m/>
    <m/>
    <m/>
    <m/>
    <m/>
    <m/>
    <n v="8895"/>
    <n v="788969.80408499995"/>
    <s v="EPER"/>
    <n v="7414000005"/>
  </r>
  <r>
    <x v="1"/>
    <m/>
    <x v="0"/>
    <m/>
    <n v="0"/>
    <m/>
    <m/>
    <m/>
    <m/>
    <m/>
    <m/>
    <m/>
    <m/>
    <m/>
    <n v="7218"/>
    <n v="673541.83785600006"/>
    <s v="EPER"/>
    <n v="7414000005"/>
  </r>
  <r>
    <x v="1"/>
    <m/>
    <x v="0"/>
    <m/>
    <n v="0"/>
    <m/>
    <m/>
    <m/>
    <m/>
    <m/>
    <m/>
    <m/>
    <m/>
    <m/>
    <n v="6710"/>
    <n v="636538.56727999996"/>
    <s v="EPER"/>
    <n v="7414000005"/>
  </r>
  <r>
    <x v="1"/>
    <m/>
    <x v="0"/>
    <m/>
    <n v="0"/>
    <m/>
    <m/>
    <m/>
    <m/>
    <m/>
    <m/>
    <m/>
    <m/>
    <m/>
    <n v="2625"/>
    <n v="249034.162125"/>
    <s v="EPER"/>
    <n v="7414000005"/>
  </r>
  <r>
    <x v="1"/>
    <m/>
    <x v="0"/>
    <m/>
    <n v="0"/>
    <m/>
    <m/>
    <m/>
    <m/>
    <m/>
    <m/>
    <m/>
    <m/>
    <m/>
    <n v="10540"/>
    <n v="943218.96109999996"/>
    <s v="EPER"/>
    <n v="7414000005"/>
  </r>
  <r>
    <x v="1"/>
    <m/>
    <x v="0"/>
    <m/>
    <n v="0"/>
    <m/>
    <m/>
    <m/>
    <m/>
    <m/>
    <m/>
    <m/>
    <m/>
    <m/>
    <n v="7270"/>
    <n v="626653.12055999995"/>
    <s v="EPER"/>
    <n v="7414000005"/>
  </r>
  <r>
    <x v="1"/>
    <m/>
    <x v="0"/>
    <m/>
    <n v="0"/>
    <m/>
    <m/>
    <m/>
    <m/>
    <m/>
    <m/>
    <m/>
    <m/>
    <m/>
    <n v="41347"/>
    <n v="3575248.3798380001"/>
    <s v="EPER"/>
    <n v="7414000005"/>
  </r>
  <r>
    <x v="1"/>
    <m/>
    <x v="0"/>
    <m/>
    <n v="0"/>
    <m/>
    <m/>
    <m/>
    <m/>
    <m/>
    <m/>
    <m/>
    <m/>
    <m/>
    <n v="468"/>
    <n v="47479.052087999997"/>
    <s v="EPER"/>
    <n v="7414000005"/>
  </r>
  <r>
    <x v="1"/>
    <m/>
    <x v="0"/>
    <m/>
    <n v="0"/>
    <m/>
    <m/>
    <m/>
    <m/>
    <m/>
    <m/>
    <m/>
    <m/>
    <m/>
    <n v="568"/>
    <n v="50917.321695999999"/>
    <s v="EPER"/>
    <n v="7414000005"/>
  </r>
  <r>
    <x v="1"/>
    <m/>
    <x v="0"/>
    <m/>
    <n v="0"/>
    <m/>
    <m/>
    <m/>
    <m/>
    <m/>
    <m/>
    <m/>
    <m/>
    <m/>
    <n v="13071"/>
    <n v="1068408.63906"/>
    <s v="EPER"/>
    <n v="7414000005"/>
  </r>
  <r>
    <x v="1"/>
    <m/>
    <x v="0"/>
    <m/>
    <n v="0"/>
    <m/>
    <m/>
    <m/>
    <m/>
    <m/>
    <m/>
    <m/>
    <m/>
    <m/>
    <n v="1883"/>
    <n v="156667.03296300001"/>
    <s v="EPER"/>
    <n v="7414000005"/>
  </r>
  <r>
    <x v="1"/>
    <m/>
    <x v="0"/>
    <m/>
    <n v="0"/>
    <m/>
    <m/>
    <m/>
    <m/>
    <m/>
    <m/>
    <m/>
    <m/>
    <m/>
    <n v="19880"/>
    <n v="1633338.9511599999"/>
    <s v="EPER"/>
    <n v="7414000005"/>
  </r>
  <r>
    <x v="1"/>
    <m/>
    <x v="0"/>
    <m/>
    <n v="0"/>
    <m/>
    <m/>
    <m/>
    <m/>
    <m/>
    <m/>
    <m/>
    <m/>
    <m/>
    <n v="8710"/>
    <n v="853648.23413999996"/>
    <s v="EPER"/>
    <n v="7414000005"/>
  </r>
  <r>
    <x v="1"/>
    <m/>
    <x v="0"/>
    <m/>
    <n v="0"/>
    <m/>
    <m/>
    <m/>
    <m/>
    <m/>
    <m/>
    <m/>
    <m/>
    <m/>
    <n v="2175395"/>
    <n v="7389320.8249399997"/>
    <s v="EPER"/>
    <n v="7414000005"/>
  </r>
  <r>
    <x v="1"/>
    <m/>
    <x v="0"/>
    <m/>
    <n v="0"/>
    <m/>
    <m/>
    <m/>
    <m/>
    <m/>
    <m/>
    <m/>
    <m/>
    <m/>
    <n v="1618546"/>
    <n v="6285192.8577640001"/>
    <s v="EPER"/>
    <n v="7414000005"/>
  </r>
  <r>
    <x v="1"/>
    <m/>
    <x v="0"/>
    <m/>
    <n v="0"/>
    <m/>
    <m/>
    <m/>
    <m/>
    <m/>
    <m/>
    <m/>
    <m/>
    <m/>
    <n v="120"/>
    <n v="30726.013800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820"/>
    <n v="636067.26534000004"/>
    <s v="EPER"/>
    <n v="7414000005"/>
  </r>
  <r>
    <x v="1"/>
    <m/>
    <x v="0"/>
    <m/>
    <n v="0"/>
    <m/>
    <m/>
    <m/>
    <m/>
    <m/>
    <m/>
    <m/>
    <m/>
    <m/>
    <n v="1260"/>
    <n v="941444.82432000001"/>
    <s v="EPER"/>
    <n v="7414000005"/>
  </r>
  <r>
    <x v="1"/>
    <m/>
    <x v="0"/>
    <m/>
    <n v="0"/>
    <m/>
    <m/>
    <m/>
    <m/>
    <m/>
    <m/>
    <m/>
    <m/>
    <m/>
    <n v="1156"/>
    <n v="885408.00874800002"/>
    <s v="EPER"/>
    <n v="7414000005"/>
  </r>
  <r>
    <x v="1"/>
    <m/>
    <x v="0"/>
    <m/>
    <n v="0"/>
    <m/>
    <m/>
    <m/>
    <m/>
    <m/>
    <m/>
    <m/>
    <m/>
    <m/>
    <n v="5956"/>
    <n v="4079199.8250480001"/>
    <s v="EPER"/>
    <n v="7414000005"/>
  </r>
  <r>
    <x v="1"/>
    <m/>
    <x v="0"/>
    <m/>
    <n v="0"/>
    <m/>
    <m/>
    <m/>
    <m/>
    <m/>
    <m/>
    <m/>
    <m/>
    <m/>
    <n v="554"/>
    <n v="428201.53860999999"/>
    <s v="EPER"/>
    <n v="7414000005"/>
  </r>
  <r>
    <x v="1"/>
    <m/>
    <x v="0"/>
    <m/>
    <n v="0"/>
    <m/>
    <m/>
    <m/>
    <m/>
    <m/>
    <m/>
    <m/>
    <m/>
    <m/>
    <n v="575"/>
    <n v="414916.91800000001"/>
    <s v="EPER"/>
    <n v="7414000005"/>
  </r>
  <r>
    <x v="1"/>
    <m/>
    <x v="0"/>
    <m/>
    <n v="0"/>
    <m/>
    <m/>
    <m/>
    <m/>
    <m/>
    <m/>
    <m/>
    <m/>
    <m/>
    <n v="598"/>
    <n v="380305.94516200002"/>
    <s v="EPER"/>
    <n v="7414000005"/>
  </r>
  <r>
    <x v="1"/>
    <m/>
    <x v="0"/>
    <m/>
    <n v="0"/>
    <m/>
    <m/>
    <m/>
    <m/>
    <m/>
    <m/>
    <m/>
    <m/>
    <m/>
    <n v="909"/>
    <n v="644817.09456899995"/>
    <s v="EPER"/>
    <n v="7414000005"/>
  </r>
  <r>
    <x v="1"/>
    <m/>
    <x v="0"/>
    <m/>
    <n v="0"/>
    <m/>
    <m/>
    <m/>
    <m/>
    <m/>
    <m/>
    <m/>
    <m/>
    <m/>
    <n v="3577"/>
    <n v="2483908.8158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930000"/>
    <n v="13433686.68"/>
    <s v="EPER"/>
    <n v="7414000005"/>
  </r>
  <r>
    <x v="1"/>
    <m/>
    <x v="0"/>
    <m/>
    <n v="0"/>
    <m/>
    <m/>
    <m/>
    <m/>
    <m/>
    <m/>
    <m/>
    <m/>
    <m/>
    <n v="158340"/>
    <n v="537844.87847999996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977000"/>
    <n v="13649175.852"/>
    <s v="EPER"/>
    <n v="7414000005"/>
  </r>
  <r>
    <x v="1"/>
    <m/>
    <x v="0"/>
    <m/>
    <n v="0"/>
    <m/>
    <m/>
    <m/>
    <m/>
    <m/>
    <m/>
    <m/>
    <m/>
    <m/>
    <n v="170295"/>
    <n v="578453.28774000006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4681"/>
    <n v="139375.36542799999"/>
    <s v="EPER"/>
    <n v="7414000005"/>
  </r>
  <r>
    <x v="1"/>
    <m/>
    <x v="0"/>
    <m/>
    <n v="0"/>
    <m/>
    <m/>
    <m/>
    <m/>
    <m/>
    <m/>
    <m/>
    <m/>
    <m/>
    <n v="20030"/>
    <n v="187043.40489000001"/>
    <s v="EPER"/>
    <n v="7414000005"/>
  </r>
  <r>
    <x v="1"/>
    <m/>
    <x v="0"/>
    <m/>
    <n v="0"/>
    <m/>
    <m/>
    <m/>
    <m/>
    <m/>
    <m/>
    <m/>
    <m/>
    <m/>
    <n v="24750"/>
    <n v="227455.89074999999"/>
    <s v="EPER"/>
    <n v="7414000005"/>
  </r>
  <r>
    <x v="1"/>
    <m/>
    <x v="0"/>
    <m/>
    <n v="0"/>
    <m/>
    <m/>
    <m/>
    <m/>
    <m/>
    <m/>
    <m/>
    <m/>
    <m/>
    <n v="6270"/>
    <n v="52551.070769999998"/>
    <s v="EPER"/>
    <n v="7414000005"/>
  </r>
  <r>
    <x v="1"/>
    <m/>
    <x v="0"/>
    <m/>
    <n v="0"/>
    <m/>
    <m/>
    <m/>
    <m/>
    <m/>
    <m/>
    <m/>
    <m/>
    <m/>
    <n v="12680"/>
    <n v="104712.26420000001"/>
    <s v="EPER"/>
    <n v="7414000005"/>
  </r>
  <r>
    <x v="1"/>
    <m/>
    <x v="0"/>
    <m/>
    <n v="0"/>
    <m/>
    <m/>
    <m/>
    <m/>
    <m/>
    <m/>
    <m/>
    <m/>
    <m/>
    <n v="900"/>
    <n v="88857.314100000003"/>
    <s v="EPER"/>
    <n v="7414000005"/>
  </r>
  <r>
    <x v="1"/>
    <m/>
    <x v="0"/>
    <m/>
    <n v="0"/>
    <m/>
    <m/>
    <m/>
    <m/>
    <m/>
    <m/>
    <m/>
    <m/>
    <m/>
    <n v="800"/>
    <n v="79397.998399999997"/>
    <s v="EPER"/>
    <n v="7414000005"/>
  </r>
  <r>
    <x v="1"/>
    <m/>
    <x v="0"/>
    <m/>
    <n v="0"/>
    <m/>
    <m/>
    <m/>
    <m/>
    <m/>
    <m/>
    <m/>
    <m/>
    <m/>
    <n v="1251"/>
    <n v="118811.40689699999"/>
    <s v="EPER"/>
    <n v="7414000005"/>
  </r>
  <r>
    <x v="1"/>
    <m/>
    <x v="0"/>
    <m/>
    <n v="0"/>
    <m/>
    <m/>
    <m/>
    <m/>
    <m/>
    <m/>
    <m/>
    <m/>
    <m/>
    <n v="785"/>
    <n v="72150.779485000006"/>
    <s v="EPER"/>
    <n v="7414000005"/>
  </r>
  <r>
    <x v="1"/>
    <m/>
    <x v="0"/>
    <m/>
    <n v="0"/>
    <m/>
    <m/>
    <m/>
    <m/>
    <m/>
    <m/>
    <m/>
    <m/>
    <m/>
    <n v="1027"/>
    <n v="91092.972320999994"/>
    <s v="EPER"/>
    <n v="7414000005"/>
  </r>
  <r>
    <x v="1"/>
    <m/>
    <x v="0"/>
    <m/>
    <n v="0"/>
    <m/>
    <m/>
    <m/>
    <m/>
    <m/>
    <m/>
    <m/>
    <m/>
    <m/>
    <n v="1099"/>
    <n v="102552.29700799999"/>
    <s v="EPER"/>
    <n v="7414000005"/>
  </r>
  <r>
    <x v="1"/>
    <m/>
    <x v="0"/>
    <m/>
    <n v="0"/>
    <m/>
    <m/>
    <m/>
    <m/>
    <m/>
    <m/>
    <m/>
    <m/>
    <m/>
    <n v="730"/>
    <n v="69250.842640000003"/>
    <s v="EPER"/>
    <n v="7414000005"/>
  </r>
  <r>
    <x v="1"/>
    <m/>
    <x v="0"/>
    <m/>
    <n v="0"/>
    <m/>
    <m/>
    <m/>
    <m/>
    <m/>
    <m/>
    <m/>
    <m/>
    <m/>
    <n v="491"/>
    <n v="46581.247087000003"/>
    <s v="EPER"/>
    <n v="7414000005"/>
  </r>
  <r>
    <x v="1"/>
    <m/>
    <x v="0"/>
    <m/>
    <n v="0"/>
    <m/>
    <m/>
    <m/>
    <m/>
    <m/>
    <m/>
    <m/>
    <m/>
    <m/>
    <n v="1151"/>
    <n v="103002.374215"/>
    <s v="EPER"/>
    <n v="7414000005"/>
  </r>
  <r>
    <x v="1"/>
    <m/>
    <x v="0"/>
    <m/>
    <n v="0"/>
    <m/>
    <m/>
    <m/>
    <m/>
    <m/>
    <m/>
    <m/>
    <m/>
    <m/>
    <n v="740"/>
    <n v="63785.87472"/>
    <s v="EPER"/>
    <n v="7414000005"/>
  </r>
  <r>
    <x v="1"/>
    <m/>
    <x v="0"/>
    <m/>
    <n v="0"/>
    <m/>
    <m/>
    <m/>
    <m/>
    <m/>
    <m/>
    <m/>
    <m/>
    <m/>
    <n v="857"/>
    <n v="74104.236378000001"/>
    <s v="EPER"/>
    <n v="7414000005"/>
  </r>
  <r>
    <x v="1"/>
    <m/>
    <x v="0"/>
    <m/>
    <n v="0"/>
    <m/>
    <m/>
    <m/>
    <m/>
    <m/>
    <m/>
    <m/>
    <m/>
    <m/>
    <n v="51"/>
    <n v="5173.9992659999998"/>
    <s v="EPER"/>
    <n v="7414000005"/>
  </r>
  <r>
    <x v="1"/>
    <m/>
    <x v="0"/>
    <m/>
    <n v="0"/>
    <m/>
    <m/>
    <m/>
    <m/>
    <m/>
    <m/>
    <m/>
    <m/>
    <m/>
    <n v="61"/>
    <n v="5468.2334920000003"/>
    <s v="EPER"/>
    <n v="7414000005"/>
  </r>
  <r>
    <x v="1"/>
    <m/>
    <x v="0"/>
    <m/>
    <n v="0"/>
    <m/>
    <m/>
    <m/>
    <m/>
    <m/>
    <m/>
    <m/>
    <m/>
    <m/>
    <n v="1304"/>
    <n v="106587.47344"/>
    <s v="EPER"/>
    <n v="7414000005"/>
  </r>
  <r>
    <x v="1"/>
    <m/>
    <x v="0"/>
    <m/>
    <n v="0"/>
    <m/>
    <m/>
    <m/>
    <m/>
    <m/>
    <m/>
    <m/>
    <m/>
    <m/>
    <n v="344"/>
    <n v="28621.061784000001"/>
    <s v="EPER"/>
    <n v="7414000005"/>
  </r>
  <r>
    <x v="1"/>
    <m/>
    <x v="0"/>
    <m/>
    <n v="0"/>
    <m/>
    <m/>
    <m/>
    <m/>
    <m/>
    <m/>
    <m/>
    <m/>
    <m/>
    <n v="1952"/>
    <n v="160376.13846399999"/>
    <s v="EPER"/>
    <n v="7414000005"/>
  </r>
  <r>
    <x v="1"/>
    <m/>
    <x v="0"/>
    <m/>
    <n v="0"/>
    <m/>
    <m/>
    <m/>
    <m/>
    <m/>
    <m/>
    <m/>
    <m/>
    <m/>
    <n v="1440"/>
    <n v="141131.28096"/>
    <s v="EPER"/>
    <n v="7414000005"/>
  </r>
  <r>
    <x v="1"/>
    <m/>
    <x v="0"/>
    <m/>
    <n v="0"/>
    <m/>
    <m/>
    <m/>
    <m/>
    <m/>
    <m/>
    <m/>
    <m/>
    <m/>
    <n v="211039"/>
    <n v="716851.36610800005"/>
    <s v="EPER"/>
    <n v="7414000005"/>
  </r>
  <r>
    <x v="1"/>
    <m/>
    <x v="0"/>
    <m/>
    <n v="0"/>
    <m/>
    <m/>
    <m/>
    <m/>
    <m/>
    <m/>
    <m/>
    <m/>
    <m/>
    <n v="80994"/>
    <n v="314518.65459599998"/>
    <s v="EPER"/>
    <n v="7414000005"/>
  </r>
  <r>
    <x v="1"/>
    <m/>
    <x v="0"/>
    <m/>
    <n v="0"/>
    <m/>
    <m/>
    <m/>
    <m/>
    <m/>
    <m/>
    <m/>
    <m/>
    <m/>
    <n v="38"/>
    <n v="9729.9043700000002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97"/>
    <n v="75242.103338999994"/>
    <s v="EPER"/>
    <n v="7414000005"/>
  </r>
  <r>
    <x v="1"/>
    <m/>
    <x v="0"/>
    <m/>
    <n v="0"/>
    <m/>
    <m/>
    <m/>
    <m/>
    <m/>
    <m/>
    <m/>
    <m/>
    <m/>
    <n v="150"/>
    <n v="112076.7648"/>
    <s v="EPER"/>
    <n v="7414000005"/>
  </r>
  <r>
    <x v="1"/>
    <m/>
    <x v="0"/>
    <m/>
    <n v="0"/>
    <m/>
    <m/>
    <m/>
    <m/>
    <m/>
    <m/>
    <m/>
    <m/>
    <m/>
    <n v="168"/>
    <n v="128675.212344"/>
    <s v="EPER"/>
    <n v="7414000005"/>
  </r>
  <r>
    <x v="1"/>
    <m/>
    <x v="0"/>
    <m/>
    <n v="0"/>
    <m/>
    <m/>
    <m/>
    <m/>
    <m/>
    <m/>
    <m/>
    <m/>
    <m/>
    <n v="584"/>
    <n v="399975.26827200002"/>
    <s v="EPER"/>
    <n v="7414000005"/>
  </r>
  <r>
    <x v="1"/>
    <m/>
    <x v="0"/>
    <m/>
    <n v="0"/>
    <m/>
    <m/>
    <m/>
    <m/>
    <m/>
    <m/>
    <m/>
    <m/>
    <m/>
    <n v="67"/>
    <n v="51786.106655000003"/>
    <s v="EPER"/>
    <n v="7414000005"/>
  </r>
  <r>
    <x v="1"/>
    <m/>
    <x v="0"/>
    <m/>
    <n v="0"/>
    <m/>
    <m/>
    <m/>
    <m/>
    <m/>
    <m/>
    <m/>
    <m/>
    <m/>
    <n v="90"/>
    <n v="64943.517599999999"/>
    <s v="EPER"/>
    <n v="7414000005"/>
  </r>
  <r>
    <x v="1"/>
    <m/>
    <x v="0"/>
    <m/>
    <n v="0"/>
    <m/>
    <m/>
    <m/>
    <m/>
    <m/>
    <m/>
    <m/>
    <m/>
    <m/>
    <n v="57"/>
    <n v="36249.897783"/>
    <s v="EPER"/>
    <n v="7414000005"/>
  </r>
  <r>
    <x v="1"/>
    <m/>
    <x v="0"/>
    <m/>
    <n v="0"/>
    <m/>
    <m/>
    <m/>
    <m/>
    <m/>
    <m/>
    <m/>
    <m/>
    <m/>
    <n v="110"/>
    <n v="78030.67151"/>
    <s v="EPER"/>
    <n v="7414000005"/>
  </r>
  <r>
    <x v="1"/>
    <m/>
    <x v="0"/>
    <m/>
    <n v="0"/>
    <m/>
    <m/>
    <m/>
    <m/>
    <m/>
    <m/>
    <m/>
    <m/>
    <m/>
    <n v="366"/>
    <n v="254154.494442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91000"/>
    <n v="875711.31599999999"/>
    <s v="EPER"/>
    <n v="7414000005"/>
  </r>
  <r>
    <x v="1"/>
    <m/>
    <x v="0"/>
    <m/>
    <n v="0"/>
    <m/>
    <m/>
    <m/>
    <m/>
    <m/>
    <m/>
    <m/>
    <m/>
    <m/>
    <n v="6844"/>
    <n v="23247.507568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57088534"/>
    <n v="203705476.38309199"/>
    <s v="EPER"/>
    <n v="7414000005"/>
  </r>
  <r>
    <x v="1"/>
    <m/>
    <x v="0"/>
    <m/>
    <n v="0"/>
    <m/>
    <m/>
    <m/>
    <m/>
    <m/>
    <m/>
    <m/>
    <m/>
    <m/>
    <n v="56295"/>
    <n v="176612.783535"/>
    <s v="EPER"/>
    <n v="7414000005"/>
  </r>
  <r>
    <x v="1"/>
    <m/>
    <x v="0"/>
    <m/>
    <n v="0"/>
    <m/>
    <m/>
    <m/>
    <m/>
    <m/>
    <m/>
    <m/>
    <m/>
    <m/>
    <n v="3734855"/>
    <n v="13498322.463395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743597"/>
    <n v="5922601.4688839996"/>
    <s v="EPER"/>
    <n v="7414000005"/>
  </r>
  <r>
    <x v="1"/>
    <m/>
    <x v="0"/>
    <m/>
    <n v="0"/>
    <m/>
    <m/>
    <m/>
    <m/>
    <m/>
    <m/>
    <m/>
    <m/>
    <m/>
    <n v="85100000"/>
    <n v="179300423.80000001"/>
    <s v="EPER"/>
    <n v="7414000005"/>
  </r>
  <r>
    <x v="1"/>
    <m/>
    <x v="0"/>
    <m/>
    <n v="0"/>
    <m/>
    <m/>
    <m/>
    <m/>
    <m/>
    <m/>
    <m/>
    <m/>
    <m/>
    <n v="6007055"/>
    <n v="20404596.226459999"/>
    <s v="EPER"/>
    <n v="7414000005"/>
  </r>
  <r>
    <x v="1"/>
    <m/>
    <x v="0"/>
    <m/>
    <n v="0"/>
    <m/>
    <m/>
    <m/>
    <m/>
    <m/>
    <m/>
    <m/>
    <m/>
    <m/>
    <n v="1003693"/>
    <n v="3897574.7831620001"/>
    <s v="EPER"/>
    <n v="7414000005"/>
  </r>
  <r>
    <x v="1"/>
    <m/>
    <x v="0"/>
    <m/>
    <n v="0"/>
    <m/>
    <m/>
    <m/>
    <m/>
    <m/>
    <m/>
    <m/>
    <m/>
    <m/>
    <n v="3046859"/>
    <n v="8430299.3236379996"/>
    <s v="EPER"/>
    <n v="7414000005"/>
  </r>
  <r>
    <x v="1"/>
    <m/>
    <x v="0"/>
    <m/>
    <n v="0"/>
    <m/>
    <m/>
    <m/>
    <m/>
    <m/>
    <m/>
    <m/>
    <m/>
    <m/>
    <n v="8733529"/>
    <n v="30554888.754117001"/>
    <s v="EPER"/>
    <n v="7414000005"/>
  </r>
  <r>
    <x v="1"/>
    <m/>
    <x v="0"/>
    <m/>
    <n v="0"/>
    <m/>
    <m/>
    <m/>
    <m/>
    <m/>
    <m/>
    <m/>
    <m/>
    <m/>
    <n v="31744931"/>
    <n v="114693832.549311"/>
    <s v="EPER"/>
    <n v="7414000005"/>
  </r>
  <r>
    <x v="1"/>
    <m/>
    <x v="0"/>
    <m/>
    <n v="0"/>
    <m/>
    <m/>
    <m/>
    <m/>
    <m/>
    <m/>
    <m/>
    <m/>
    <m/>
    <n v="8590349"/>
    <n v="29211516.135896001"/>
    <s v="EPER"/>
    <n v="7414000005"/>
  </r>
  <r>
    <x v="1"/>
    <m/>
    <x v="0"/>
    <m/>
    <n v="0"/>
    <m/>
    <m/>
    <m/>
    <m/>
    <m/>
    <m/>
    <m/>
    <m/>
    <m/>
    <n v="41156258"/>
    <n v="142354598.82729799"/>
    <s v="EPER"/>
    <n v="7414000005"/>
  </r>
  <r>
    <x v="1"/>
    <m/>
    <x v="0"/>
    <m/>
    <n v="0"/>
    <m/>
    <m/>
    <m/>
    <m/>
    <m/>
    <m/>
    <m/>
    <m/>
    <m/>
    <n v="7566899"/>
    <n v="25703030.650028002"/>
    <s v="EPER"/>
    <n v="7414000005"/>
  </r>
  <r>
    <x v="1"/>
    <m/>
    <x v="0"/>
    <m/>
    <n v="0"/>
    <m/>
    <m/>
    <m/>
    <m/>
    <m/>
    <m/>
    <m/>
    <m/>
    <m/>
    <n v="482045523"/>
    <n v="1667338100.6397631"/>
    <s v="EPER"/>
    <n v="7414000005"/>
  </r>
  <r>
    <x v="1"/>
    <m/>
    <x v="0"/>
    <m/>
    <n v="0"/>
    <m/>
    <m/>
    <m/>
    <m/>
    <m/>
    <m/>
    <m/>
    <m/>
    <m/>
    <n v="79330"/>
    <n v="7903647.6620100001"/>
    <s v="EPER"/>
    <n v="7414000005"/>
  </r>
  <r>
    <x v="1"/>
    <m/>
    <x v="0"/>
    <m/>
    <n v="0"/>
    <m/>
    <m/>
    <m/>
    <m/>
    <m/>
    <m/>
    <m/>
    <m/>
    <m/>
    <n v="101210"/>
    <n v="9992498.6222900003"/>
    <s v="EPER"/>
    <n v="7414000005"/>
  </r>
  <r>
    <x v="1"/>
    <m/>
    <x v="0"/>
    <m/>
    <n v="0"/>
    <m/>
    <m/>
    <m/>
    <m/>
    <m/>
    <m/>
    <m/>
    <m/>
    <m/>
    <n v="87888"/>
    <n v="8722664.1042240001"/>
    <s v="EPER"/>
    <n v="7414000005"/>
  </r>
  <r>
    <x v="1"/>
    <m/>
    <x v="0"/>
    <m/>
    <n v="0"/>
    <m/>
    <m/>
    <m/>
    <m/>
    <m/>
    <m/>
    <m/>
    <m/>
    <m/>
    <n v="39705"/>
    <n v="3649358.8528049998"/>
    <s v="EPER"/>
    <n v="7414000005"/>
  </r>
  <r>
    <x v="1"/>
    <m/>
    <x v="0"/>
    <m/>
    <n v="0"/>
    <m/>
    <m/>
    <m/>
    <m/>
    <m/>
    <m/>
    <m/>
    <m/>
    <m/>
    <n v="82833"/>
    <n v="7729494.4659360005"/>
    <s v="EPER"/>
    <n v="7414000005"/>
  </r>
  <r>
    <x v="1"/>
    <m/>
    <x v="0"/>
    <m/>
    <n v="0"/>
    <m/>
    <m/>
    <m/>
    <m/>
    <m/>
    <m/>
    <m/>
    <m/>
    <m/>
    <n v="251593"/>
    <n v="23868667.410101"/>
    <s v="EPER"/>
    <n v="7414000005"/>
  </r>
  <r>
    <x v="1"/>
    <m/>
    <x v="0"/>
    <m/>
    <n v="0"/>
    <m/>
    <m/>
    <m/>
    <m/>
    <m/>
    <m/>
    <m/>
    <m/>
    <m/>
    <n v="1396890"/>
    <n v="125006938.76385"/>
    <s v="EPER"/>
    <n v="7414000005"/>
  </r>
  <r>
    <x v="1"/>
    <m/>
    <x v="0"/>
    <m/>
    <n v="0"/>
    <m/>
    <m/>
    <m/>
    <m/>
    <m/>
    <m/>
    <m/>
    <m/>
    <m/>
    <n v="1215270"/>
    <n v="104752783.74456"/>
    <s v="EPER"/>
    <n v="7414000005"/>
  </r>
  <r>
    <x v="1"/>
    <m/>
    <x v="0"/>
    <m/>
    <n v="0"/>
    <m/>
    <m/>
    <m/>
    <m/>
    <m/>
    <m/>
    <m/>
    <m/>
    <m/>
    <n v="201516"/>
    <n v="17424958.340663999"/>
    <s v="EPER"/>
    <n v="7414000005"/>
  </r>
  <r>
    <x v="1"/>
    <m/>
    <x v="0"/>
    <m/>
    <n v="0"/>
    <m/>
    <m/>
    <m/>
    <m/>
    <m/>
    <m/>
    <m/>
    <m/>
    <m/>
    <n v="37130"/>
    <n v="3766874.3675799998"/>
    <s v="EPER"/>
    <n v="7414000005"/>
  </r>
  <r>
    <x v="1"/>
    <m/>
    <x v="0"/>
    <m/>
    <n v="0"/>
    <m/>
    <m/>
    <m/>
    <m/>
    <m/>
    <m/>
    <m/>
    <m/>
    <m/>
    <n v="109154"/>
    <n v="9784910.7964880001"/>
    <s v="EPER"/>
    <n v="7414000005"/>
  </r>
  <r>
    <x v="1"/>
    <m/>
    <x v="0"/>
    <m/>
    <n v="0"/>
    <m/>
    <m/>
    <m/>
    <m/>
    <m/>
    <m/>
    <m/>
    <m/>
    <m/>
    <n v="14461203"/>
    <n v="66302822.565828003"/>
    <s v="EPER"/>
    <n v="7414000005"/>
  </r>
  <r>
    <x v="1"/>
    <m/>
    <x v="0"/>
    <m/>
    <n v="0"/>
    <m/>
    <m/>
    <m/>
    <m/>
    <m/>
    <m/>
    <m/>
    <m/>
    <m/>
    <n v="3464902"/>
    <n v="11769482.096344"/>
    <s v="EPER"/>
    <n v="7414000005"/>
  </r>
  <r>
    <x v="1"/>
    <m/>
    <x v="0"/>
    <m/>
    <n v="0"/>
    <m/>
    <m/>
    <m/>
    <m/>
    <m/>
    <m/>
    <m/>
    <m/>
    <m/>
    <n v="27598227"/>
    <n v="107170373.426118"/>
    <s v="EPER"/>
    <n v="7414000005"/>
  </r>
  <r>
    <x v="1"/>
    <m/>
    <x v="0"/>
    <m/>
    <n v="0"/>
    <m/>
    <m/>
    <m/>
    <m/>
    <m/>
    <m/>
    <m/>
    <m/>
    <m/>
    <n v="27623"/>
    <n v="21426934.232301001"/>
    <s v="EPER"/>
    <n v="7414000005"/>
  </r>
  <r>
    <x v="1"/>
    <m/>
    <x v="0"/>
    <m/>
    <n v="0"/>
    <m/>
    <m/>
    <m/>
    <m/>
    <m/>
    <m/>
    <m/>
    <m/>
    <m/>
    <n v="27534"/>
    <n v="20572810.946688"/>
    <s v="EPER"/>
    <n v="7414000005"/>
  </r>
  <r>
    <x v="1"/>
    <m/>
    <x v="0"/>
    <m/>
    <n v="0"/>
    <m/>
    <m/>
    <m/>
    <m/>
    <m/>
    <m/>
    <m/>
    <m/>
    <m/>
    <n v="24410"/>
    <n v="18696201.984030001"/>
    <s v="EPER"/>
    <n v="7414000005"/>
  </r>
  <r>
    <x v="1"/>
    <m/>
    <x v="0"/>
    <m/>
    <n v="0"/>
    <m/>
    <m/>
    <m/>
    <m/>
    <m/>
    <m/>
    <m/>
    <m/>
    <m/>
    <n v="80570"/>
    <n v="55181519.46006"/>
    <s v="EPER"/>
    <n v="7414000005"/>
  </r>
  <r>
    <x v="1"/>
    <m/>
    <x v="0"/>
    <m/>
    <n v="0"/>
    <m/>
    <m/>
    <m/>
    <m/>
    <m/>
    <m/>
    <m/>
    <m/>
    <m/>
    <n v="15354"/>
    <n v="11867520.620610001"/>
    <s v="EPER"/>
    <n v="7414000005"/>
  </r>
  <r>
    <x v="1"/>
    <m/>
    <x v="0"/>
    <m/>
    <n v="0"/>
    <m/>
    <m/>
    <m/>
    <m/>
    <m/>
    <m/>
    <m/>
    <m/>
    <m/>
    <n v="34797"/>
    <n v="25109328.688080002"/>
    <s v="EPER"/>
    <n v="7414000005"/>
  </r>
  <r>
    <x v="1"/>
    <m/>
    <x v="0"/>
    <m/>
    <n v="0"/>
    <m/>
    <m/>
    <m/>
    <m/>
    <m/>
    <m/>
    <m/>
    <m/>
    <m/>
    <n v="9908"/>
    <n v="7028435.3938279999"/>
    <s v="EPER"/>
    <n v="7414000005"/>
  </r>
  <r>
    <x v="1"/>
    <m/>
    <x v="0"/>
    <m/>
    <n v="0"/>
    <m/>
    <m/>
    <m/>
    <m/>
    <m/>
    <m/>
    <m/>
    <m/>
    <m/>
    <n v="26173"/>
    <n v="18174823.997350998"/>
    <s v="EPER"/>
    <n v="7414000005"/>
  </r>
  <r>
    <x v="1"/>
    <m/>
    <x v="0"/>
    <m/>
    <n v="0"/>
    <m/>
    <m/>
    <m/>
    <m/>
    <m/>
    <m/>
    <m/>
    <m/>
    <m/>
    <n v="2655745"/>
    <n v="9020960.2551399991"/>
    <s v="EPER"/>
    <n v="7414000005"/>
  </r>
  <r>
    <x v="1"/>
    <m/>
    <x v="0"/>
    <m/>
    <n v="0"/>
    <m/>
    <m/>
    <m/>
    <m/>
    <m/>
    <m/>
    <m/>
    <m/>
    <m/>
    <n v="1056796"/>
    <n v="4103786.158264"/>
    <s v="EPER"/>
    <n v="7414000005"/>
  </r>
  <r>
    <x v="1"/>
    <m/>
    <x v="0"/>
    <m/>
    <n v="0"/>
    <m/>
    <m/>
    <m/>
    <m/>
    <m/>
    <m/>
    <m/>
    <m/>
    <m/>
    <n v="3111042"/>
    <n v="8607886.1110440008"/>
    <s v="EPER"/>
    <n v="7414000005"/>
  </r>
  <r>
    <x v="1"/>
    <m/>
    <x v="0"/>
    <m/>
    <n v="0"/>
    <m/>
    <m/>
    <m/>
    <m/>
    <m/>
    <m/>
    <m/>
    <m/>
    <m/>
    <n v="29051667"/>
    <n v="104963120.889327"/>
    <s v="EPER"/>
    <n v="7414000005"/>
  </r>
  <r>
    <x v="1"/>
    <m/>
    <x v="0"/>
    <m/>
    <n v="0"/>
    <m/>
    <m/>
    <m/>
    <m/>
    <m/>
    <m/>
    <m/>
    <m/>
    <m/>
    <n v="0"/>
    <n v="10978925.859999999"/>
    <s v="EPER"/>
    <n v="7414000005"/>
  </r>
  <r>
    <x v="1"/>
    <m/>
    <x v="0"/>
    <m/>
    <n v="0"/>
    <m/>
    <m/>
    <m/>
    <m/>
    <m/>
    <m/>
    <m/>
    <m/>
    <m/>
    <n v="51099"/>
    <n v="5008102.3095659995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52715089"/>
    <n v="179061138.29270801"/>
    <s v="EPER"/>
    <n v="7414000005"/>
  </r>
  <r>
    <x v="1"/>
    <m/>
    <x v="0"/>
    <m/>
    <n v="0"/>
    <m/>
    <m/>
    <m/>
    <m/>
    <m/>
    <m/>
    <m/>
    <m/>
    <m/>
    <n v="58014462"/>
    <n v="209605148.93122199"/>
    <s v="EPER"/>
    <n v="7414000005"/>
  </r>
  <r>
    <x v="1"/>
    <m/>
    <x v="0"/>
    <m/>
    <n v="0"/>
    <m/>
    <m/>
    <m/>
    <m/>
    <m/>
    <m/>
    <m/>
    <m/>
    <m/>
    <n v="1503"/>
    <n v="4715.3213189999997"/>
    <s v="EPER"/>
    <n v="7414000005"/>
  </r>
  <r>
    <x v="1"/>
    <m/>
    <x v="0"/>
    <m/>
    <n v="0"/>
    <m/>
    <m/>
    <m/>
    <m/>
    <m/>
    <m/>
    <m/>
    <m/>
    <m/>
    <n v="167258"/>
    <n v="568137.29117600003"/>
    <s v="EPER"/>
    <n v="7414000005"/>
  </r>
  <r>
    <x v="1"/>
    <m/>
    <x v="0"/>
    <m/>
    <n v="0"/>
    <m/>
    <m/>
    <m/>
    <m/>
    <m/>
    <m/>
    <m/>
    <m/>
    <m/>
    <n v="1098"/>
    <n v="2881.5637499999998"/>
    <s v="EPER"/>
    <n v="7414000005"/>
  </r>
  <r>
    <x v="1"/>
    <m/>
    <x v="0"/>
    <m/>
    <n v="0"/>
    <m/>
    <m/>
    <m/>
    <m/>
    <m/>
    <m/>
    <m/>
    <m/>
    <m/>
    <n v="4312941"/>
    <n v="14666173.122264"/>
    <s v="EPER"/>
    <n v="7414000005"/>
  </r>
  <r>
    <x v="1"/>
    <m/>
    <x v="0"/>
    <m/>
    <n v="0"/>
    <m/>
    <m/>
    <m/>
    <m/>
    <m/>
    <m/>
    <m/>
    <m/>
    <m/>
    <n v="25603"/>
    <n v="92503.152543000004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75762"/>
    <n v="257628.98404800001"/>
    <s v="EPER"/>
    <n v="7414000005"/>
  </r>
  <r>
    <x v="1"/>
    <m/>
    <x v="0"/>
    <m/>
    <n v="0"/>
    <m/>
    <m/>
    <m/>
    <m/>
    <m/>
    <m/>
    <m/>
    <m/>
    <m/>
    <n v="905405"/>
    <n v="3075454.3526599999"/>
    <s v="EPER"/>
    <n v="7414000005"/>
  </r>
  <r>
    <x v="1"/>
    <m/>
    <x v="0"/>
    <m/>
    <n v="0"/>
    <m/>
    <m/>
    <m/>
    <m/>
    <m/>
    <m/>
    <m/>
    <m/>
    <m/>
    <n v="46557518"/>
    <n v="98093803.859883994"/>
    <s v="EPER"/>
    <n v="7414000005"/>
  </r>
  <r>
    <x v="1"/>
    <m/>
    <x v="0"/>
    <m/>
    <n v="0"/>
    <m/>
    <m/>
    <m/>
    <m/>
    <m/>
    <m/>
    <m/>
    <m/>
    <m/>
    <n v="36294819"/>
    <n v="101052942.43027499"/>
    <s v="EPER"/>
    <n v="7414000005"/>
  </r>
  <r>
    <x v="1"/>
    <m/>
    <x v="0"/>
    <m/>
    <n v="0"/>
    <m/>
    <m/>
    <m/>
    <m/>
    <m/>
    <m/>
    <m/>
    <m/>
    <m/>
    <n v="0"/>
    <n v="-4494.99"/>
    <s v="EPER"/>
    <n v="7414000005"/>
  </r>
  <r>
    <x v="1"/>
    <m/>
    <x v="0"/>
    <m/>
    <n v="0"/>
    <m/>
    <m/>
    <m/>
    <m/>
    <m/>
    <m/>
    <m/>
    <m/>
    <m/>
    <n v="13163"/>
    <n v="44711.709836000002"/>
    <s v="EPER"/>
    <n v="7414000005"/>
  </r>
  <r>
    <x v="1"/>
    <m/>
    <x v="0"/>
    <m/>
    <n v="0"/>
    <m/>
    <m/>
    <m/>
    <m/>
    <m/>
    <m/>
    <m/>
    <m/>
    <m/>
    <n v="14492"/>
    <n v="1999156.7630799999"/>
    <s v="EPER"/>
    <n v="7414000005"/>
  </r>
  <r>
    <x v="1"/>
    <m/>
    <x v="0"/>
    <m/>
    <n v="0"/>
    <m/>
    <m/>
    <m/>
    <m/>
    <m/>
    <m/>
    <m/>
    <m/>
    <m/>
    <n v="7411197"/>
    <n v="26751545.625564002"/>
    <s v="EPER"/>
    <n v="7414000005"/>
  </r>
  <r>
    <x v="1"/>
    <m/>
    <x v="0"/>
    <m/>
    <n v="0"/>
    <m/>
    <m/>
    <m/>
    <m/>
    <m/>
    <m/>
    <m/>
    <m/>
    <m/>
    <n v="3975555"/>
    <n v="8705662.3878899999"/>
    <s v="EPER"/>
    <n v="7414000005"/>
  </r>
  <r>
    <x v="1"/>
    <m/>
    <x v="0"/>
    <m/>
    <n v="0"/>
    <m/>
    <m/>
    <m/>
    <m/>
    <m/>
    <m/>
    <m/>
    <m/>
    <m/>
    <n v="53678"/>
    <n v="148520.69199600001"/>
    <s v="EPER"/>
    <n v="7414000005"/>
  </r>
  <r>
    <x v="1"/>
    <m/>
    <x v="0"/>
    <m/>
    <n v="0"/>
    <m/>
    <m/>
    <m/>
    <m/>
    <m/>
    <m/>
    <m/>
    <m/>
    <m/>
    <n v="2326612"/>
    <n v="7911653.4124480002"/>
    <s v="EPER"/>
    <n v="7414000005"/>
  </r>
  <r>
    <x v="1"/>
    <m/>
    <x v="0"/>
    <m/>
    <n v="0"/>
    <m/>
    <m/>
    <m/>
    <m/>
    <m/>
    <m/>
    <m/>
    <m/>
    <m/>
    <n v="1617553"/>
    <n v="5074705.3529690001"/>
    <s v="EPER"/>
    <n v="7414000005"/>
  </r>
  <r>
    <x v="1"/>
    <m/>
    <x v="0"/>
    <m/>
    <n v="0"/>
    <m/>
    <m/>
    <m/>
    <m/>
    <m/>
    <m/>
    <m/>
    <m/>
    <m/>
    <n v="2272024"/>
    <n v="7726026.700096"/>
    <s v="EPER"/>
    <n v="7414000005"/>
  </r>
  <r>
    <x v="1"/>
    <m/>
    <x v="0"/>
    <m/>
    <n v="0"/>
    <m/>
    <m/>
    <m/>
    <m/>
    <m/>
    <m/>
    <m/>
    <m/>
    <m/>
    <n v="235705"/>
    <n v="739470.93246499996"/>
    <s v="EPER"/>
    <n v="7414000005"/>
  </r>
  <r>
    <x v="1"/>
    <m/>
    <x v="0"/>
    <m/>
    <n v="0"/>
    <m/>
    <m/>
    <m/>
    <m/>
    <m/>
    <m/>
    <m/>
    <m/>
    <m/>
    <n v="149673"/>
    <n v="469565.06172900001"/>
    <s v="EPER"/>
    <n v="7414000005"/>
  </r>
  <r>
    <x v="1"/>
    <m/>
    <x v="0"/>
    <m/>
    <n v="0"/>
    <m/>
    <m/>
    <m/>
    <m/>
    <m/>
    <m/>
    <m/>
    <m/>
    <m/>
    <n v="94563"/>
    <n v="296669.94669900002"/>
    <s v="EPER"/>
    <n v="7414000005"/>
  </r>
  <r>
    <x v="1"/>
    <m/>
    <x v="0"/>
    <m/>
    <n v="0"/>
    <m/>
    <m/>
    <m/>
    <m/>
    <m/>
    <m/>
    <m/>
    <m/>
    <m/>
    <n v="498833"/>
    <n v="45724912.881577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16884"/>
    <n v="19559189.261364002"/>
    <s v="EPER"/>
    <n v="7414000005"/>
  </r>
  <r>
    <x v="1"/>
    <m/>
    <x v="0"/>
    <m/>
    <n v="0"/>
    <m/>
    <m/>
    <m/>
    <m/>
    <m/>
    <m/>
    <m/>
    <m/>
    <m/>
    <n v="1251"/>
    <n v="11846531.030355001"/>
    <s v="EPER"/>
    <n v="7414000005"/>
  </r>
  <r>
    <x v="1"/>
    <m/>
    <x v="0"/>
    <m/>
    <n v="0"/>
    <m/>
    <m/>
    <m/>
    <m/>
    <m/>
    <m/>
    <m/>
    <m/>
    <m/>
    <n v="361643"/>
    <n v="35567036.459495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15371"/>
    <n v="3943361.141148"/>
    <s v="EPER"/>
    <n v="7414000005"/>
  </r>
  <r>
    <x v="1"/>
    <m/>
    <x v="0"/>
    <m/>
    <n v="0"/>
    <m/>
    <m/>
    <m/>
    <m/>
    <m/>
    <m/>
    <m/>
    <m/>
    <m/>
    <n v="15133840"/>
    <n v="139082062.93608001"/>
    <s v="EPER"/>
    <n v="7414000005"/>
  </r>
  <r>
    <x v="1"/>
    <m/>
    <x v="0"/>
    <m/>
    <n v="0"/>
    <m/>
    <m/>
    <m/>
    <m/>
    <m/>
    <m/>
    <m/>
    <m/>
    <m/>
    <n v="2500000"/>
    <n v="22709925"/>
    <s v="EPER"/>
    <n v="7414000005"/>
  </r>
  <r>
    <x v="1"/>
    <m/>
    <x v="0"/>
    <m/>
    <n v="0"/>
    <m/>
    <m/>
    <m/>
    <m/>
    <m/>
    <m/>
    <m/>
    <m/>
    <m/>
    <n v="2829590"/>
    <n v="23715786.976089999"/>
    <s v="EPER"/>
    <n v="7414000005"/>
  </r>
  <r>
    <x v="1"/>
    <m/>
    <x v="0"/>
    <m/>
    <n v="0"/>
    <m/>
    <m/>
    <m/>
    <m/>
    <m/>
    <m/>
    <m/>
    <m/>
    <m/>
    <n v="332340"/>
    <n v="30990181.896839999"/>
    <s v="EPER"/>
    <n v="7414000005"/>
  </r>
  <r>
    <x v="1"/>
    <m/>
    <x v="0"/>
    <m/>
    <n v="0"/>
    <m/>
    <m/>
    <m/>
    <m/>
    <m/>
    <m/>
    <m/>
    <m/>
    <m/>
    <n v="289179"/>
    <n v="26003904.233769"/>
    <s v="EPER"/>
    <n v="7414000005"/>
  </r>
  <r>
    <x v="1"/>
    <m/>
    <x v="0"/>
    <m/>
    <n v="0"/>
    <m/>
    <m/>
    <m/>
    <m/>
    <m/>
    <m/>
    <m/>
    <m/>
    <m/>
    <n v="88561"/>
    <n v="8076428.7051029997"/>
    <s v="EPER"/>
    <n v="7414000005"/>
  </r>
  <r>
    <x v="1"/>
    <m/>
    <x v="0"/>
    <m/>
    <n v="0"/>
    <m/>
    <m/>
    <m/>
    <m/>
    <m/>
    <m/>
    <m/>
    <m/>
    <m/>
    <n v="0"/>
    <n v="70548482.469999999"/>
    <s v="EPER"/>
    <n v="7414000005"/>
  </r>
  <r>
    <x v="1"/>
    <m/>
    <x v="0"/>
    <m/>
    <n v="0"/>
    <m/>
    <m/>
    <m/>
    <m/>
    <m/>
    <m/>
    <m/>
    <m/>
    <m/>
    <n v="451511"/>
    <n v="41750638.817787997"/>
    <s v="EPER"/>
    <n v="7414000005"/>
  </r>
  <r>
    <x v="1"/>
    <m/>
    <x v="0"/>
    <m/>
    <n v="0"/>
    <m/>
    <m/>
    <m/>
    <m/>
    <m/>
    <m/>
    <m/>
    <m/>
    <m/>
    <n v="413372"/>
    <n v="37825725.564623997"/>
    <s v="EPER"/>
    <n v="7414000005"/>
  </r>
  <r>
    <x v="1"/>
    <m/>
    <x v="0"/>
    <m/>
    <n v="0"/>
    <m/>
    <m/>
    <m/>
    <m/>
    <m/>
    <m/>
    <m/>
    <m/>
    <m/>
    <n v="608050"/>
    <n v="56739694.445600003"/>
    <s v="EPER"/>
    <n v="7414000005"/>
  </r>
  <r>
    <x v="1"/>
    <m/>
    <x v="0"/>
    <m/>
    <n v="0"/>
    <m/>
    <m/>
    <m/>
    <m/>
    <m/>
    <m/>
    <m/>
    <m/>
    <m/>
    <n v="3359452"/>
    <n v="318711738.67396402"/>
    <s v="EPER"/>
    <n v="7414000005"/>
  </r>
  <r>
    <x v="1"/>
    <m/>
    <x v="0"/>
    <m/>
    <n v="0"/>
    <m/>
    <m/>
    <m/>
    <m/>
    <m/>
    <m/>
    <m/>
    <m/>
    <m/>
    <n v="3987641"/>
    <n v="356851859.70206499"/>
    <s v="EPER"/>
    <n v="7414000005"/>
  </r>
  <r>
    <x v="1"/>
    <m/>
    <x v="0"/>
    <m/>
    <n v="0"/>
    <m/>
    <m/>
    <m/>
    <m/>
    <m/>
    <m/>
    <m/>
    <m/>
    <m/>
    <n v="2950940"/>
    <n v="254362552.90031999"/>
    <s v="EPER"/>
    <n v="7414000005"/>
  </r>
  <r>
    <x v="1"/>
    <m/>
    <x v="0"/>
    <m/>
    <n v="0"/>
    <m/>
    <m/>
    <m/>
    <m/>
    <m/>
    <m/>
    <m/>
    <m/>
    <m/>
    <n v="455830"/>
    <n v="39415325.633819997"/>
    <s v="EPER"/>
    <n v="7414000005"/>
  </r>
  <r>
    <x v="1"/>
    <m/>
    <x v="0"/>
    <m/>
    <n v="0"/>
    <m/>
    <m/>
    <m/>
    <m/>
    <m/>
    <m/>
    <m/>
    <m/>
    <m/>
    <n v="372066"/>
    <n v="34633294.062707998"/>
    <s v="EPER"/>
    <n v="7414000005"/>
  </r>
  <r>
    <x v="1"/>
    <m/>
    <x v="0"/>
    <m/>
    <n v="0"/>
    <m/>
    <m/>
    <m/>
    <m/>
    <m/>
    <m/>
    <m/>
    <m/>
    <m/>
    <n v="186033"/>
    <n v="17174781.242082"/>
    <s v="EPER"/>
    <n v="7414000005"/>
  </r>
  <r>
    <x v="1"/>
    <m/>
    <x v="0"/>
    <m/>
    <n v="0"/>
    <m/>
    <m/>
    <m/>
    <m/>
    <m/>
    <m/>
    <m/>
    <m/>
    <m/>
    <n v="957110"/>
    <n v="93804277.999740005"/>
    <s v="EPER"/>
    <n v="7414000005"/>
  </r>
  <r>
    <x v="1"/>
    <m/>
    <x v="0"/>
    <m/>
    <n v="0"/>
    <m/>
    <m/>
    <m/>
    <m/>
    <m/>
    <m/>
    <m/>
    <m/>
    <m/>
    <n v="161365"/>
    <n v="12940645.681645"/>
    <s v="EPER"/>
    <n v="7414000005"/>
  </r>
  <r>
    <x v="1"/>
    <m/>
    <x v="0"/>
    <m/>
    <n v="0"/>
    <m/>
    <m/>
    <m/>
    <m/>
    <m/>
    <m/>
    <m/>
    <m/>
    <m/>
    <n v="96866"/>
    <n v="75138160.639541999"/>
    <s v="EPER"/>
    <n v="7414000005"/>
  </r>
  <r>
    <x v="1"/>
    <m/>
    <x v="0"/>
    <m/>
    <n v="0"/>
    <m/>
    <m/>
    <m/>
    <m/>
    <m/>
    <m/>
    <m/>
    <m/>
    <m/>
    <n v="315757"/>
    <n v="241845827.52443099"/>
    <s v="EPER"/>
    <n v="7414000005"/>
  </r>
  <r>
    <x v="1"/>
    <m/>
    <x v="0"/>
    <m/>
    <n v="0"/>
    <m/>
    <m/>
    <m/>
    <m/>
    <m/>
    <m/>
    <m/>
    <m/>
    <m/>
    <n v="1303272"/>
    <n v="892596862.72497594"/>
    <s v="EPER"/>
    <n v="7414000005"/>
  </r>
  <r>
    <x v="1"/>
    <m/>
    <x v="0"/>
    <m/>
    <n v="0"/>
    <m/>
    <m/>
    <m/>
    <m/>
    <m/>
    <m/>
    <m/>
    <m/>
    <m/>
    <n v="64582159"/>
    <n v="219370869.39074799"/>
    <s v="EPER"/>
    <n v="7414000005"/>
  </r>
  <r>
    <x v="1"/>
    <m/>
    <x v="0"/>
    <m/>
    <n v="0"/>
    <m/>
    <m/>
    <m/>
    <m/>
    <m/>
    <m/>
    <m/>
    <m/>
    <m/>
    <n v="130000"/>
    <n v="382727.02"/>
    <s v="EPER"/>
    <n v="7414000005"/>
  </r>
  <r>
    <x v="1"/>
    <m/>
    <x v="0"/>
    <m/>
    <n v="0"/>
    <m/>
    <m/>
    <m/>
    <m/>
    <m/>
    <m/>
    <m/>
    <m/>
    <m/>
    <n v="532955"/>
    <n v="2443532.5885800002"/>
    <s v="EPER"/>
    <n v="7414000005"/>
  </r>
  <r>
    <x v="1"/>
    <m/>
    <x v="0"/>
    <m/>
    <n v="0"/>
    <m/>
    <m/>
    <m/>
    <m/>
    <m/>
    <m/>
    <m/>
    <m/>
    <m/>
    <n v="1432577"/>
    <n v="4866137.4414440002"/>
    <s v="EPER"/>
    <n v="7414000005"/>
  </r>
  <r>
    <x v="1"/>
    <m/>
    <x v="0"/>
    <m/>
    <n v="0"/>
    <m/>
    <m/>
    <m/>
    <m/>
    <m/>
    <m/>
    <m/>
    <m/>
    <m/>
    <n v="4983656"/>
    <n v="13789188.080592001"/>
    <s v="EPER"/>
    <n v="7414000005"/>
  </r>
  <r>
    <x v="1"/>
    <m/>
    <x v="0"/>
    <m/>
    <n v="0"/>
    <m/>
    <m/>
    <m/>
    <m/>
    <m/>
    <m/>
    <m/>
    <m/>
    <m/>
    <n v="285498"/>
    <n v="1308972.9282480001"/>
    <s v="EPER"/>
    <n v="7414000005"/>
  </r>
  <r>
    <x v="0"/>
    <m/>
    <x v="0"/>
    <m/>
    <m/>
    <m/>
    <m/>
    <m/>
    <m/>
    <m/>
    <m/>
    <m/>
    <m/>
    <m/>
    <n v="827180"/>
    <n v="2809741.8629600001"/>
    <s v="EPER"/>
    <n v="7414000005"/>
  </r>
  <r>
    <x v="0"/>
    <m/>
    <x v="0"/>
    <m/>
    <m/>
    <m/>
    <m/>
    <m/>
    <m/>
    <m/>
    <m/>
    <m/>
    <m/>
    <m/>
    <n v="2667938"/>
    <n v="7381869.6293160003"/>
    <s v="EPER"/>
    <n v="7414000005"/>
  </r>
  <r>
    <x v="0"/>
    <m/>
    <x v="0"/>
    <m/>
    <m/>
    <m/>
    <m/>
    <m/>
    <m/>
    <m/>
    <m/>
    <m/>
    <m/>
    <m/>
    <n v="2802321"/>
    <n v="12848294.297196001"/>
    <s v="EPER"/>
    <n v="7414000005"/>
  </r>
  <r>
    <x v="0"/>
    <m/>
    <x v="0"/>
    <m/>
    <m/>
    <m/>
    <m/>
    <m/>
    <m/>
    <m/>
    <m/>
    <m/>
    <m/>
    <m/>
    <n v="7999846"/>
    <n v="27173652.897112001"/>
    <s v="EPER"/>
    <n v="7414000005"/>
  </r>
  <r>
    <x v="0"/>
    <m/>
    <x v="0"/>
    <m/>
    <m/>
    <m/>
    <m/>
    <m/>
    <m/>
    <m/>
    <m/>
    <m/>
    <m/>
    <m/>
    <n v="26007587"/>
    <n v="71959924.333734006"/>
    <s v="EPER"/>
    <n v="7414000005"/>
  </r>
  <r>
    <x v="0"/>
    <m/>
    <x v="0"/>
    <m/>
    <m/>
    <m/>
    <m/>
    <m/>
    <m/>
    <m/>
    <m/>
    <m/>
    <m/>
    <m/>
    <n v="1387386"/>
    <n v="6360992.7741360003"/>
    <s v="EPER"/>
    <n v="7414000005"/>
  </r>
  <r>
    <x v="0"/>
    <m/>
    <x v="0"/>
    <m/>
    <m/>
    <m/>
    <m/>
    <m/>
    <m/>
    <m/>
    <m/>
    <m/>
    <m/>
    <m/>
    <n v="3959730"/>
    <n v="13450299.991560001"/>
    <s v="EPER"/>
    <n v="7414000005"/>
  </r>
  <r>
    <x v="0"/>
    <m/>
    <x v="0"/>
    <m/>
    <m/>
    <m/>
    <m/>
    <m/>
    <m/>
    <m/>
    <m/>
    <m/>
    <m/>
    <m/>
    <n v="12874573"/>
    <n v="35622424.291386001"/>
    <s v="EPER"/>
    <n v="7414000005"/>
  </r>
  <r>
    <x v="0"/>
    <m/>
    <x v="0"/>
    <m/>
    <m/>
    <m/>
    <m/>
    <m/>
    <m/>
    <m/>
    <m/>
    <m/>
    <m/>
    <m/>
    <n v="1831441"/>
    <n v="8396929.8863159996"/>
    <s v="EPER"/>
    <n v="7414000005"/>
  </r>
  <r>
    <x v="0"/>
    <m/>
    <x v="0"/>
    <m/>
    <m/>
    <m/>
    <m/>
    <m/>
    <m/>
    <m/>
    <m/>
    <m/>
    <m/>
    <m/>
    <n v="5271949"/>
    <n v="17907608.748628002"/>
    <s v="EPER"/>
    <n v="7414000005"/>
  </r>
  <r>
    <x v="0"/>
    <m/>
    <x v="0"/>
    <m/>
    <m/>
    <m/>
    <m/>
    <m/>
    <m/>
    <m/>
    <m/>
    <m/>
    <m/>
    <m/>
    <n v="17064907"/>
    <n v="47216584.009974003"/>
    <s v="EPER"/>
    <n v="7414000005"/>
  </r>
  <r>
    <x v="0"/>
    <m/>
    <x v="0"/>
    <m/>
    <m/>
    <m/>
    <m/>
    <m/>
    <m/>
    <m/>
    <m/>
    <m/>
    <m/>
    <m/>
    <n v="11635107"/>
    <n v="53345522.841732003"/>
    <s v="EPER"/>
    <n v="7414000005"/>
  </r>
  <r>
    <x v="0"/>
    <m/>
    <x v="0"/>
    <m/>
    <m/>
    <m/>
    <m/>
    <m/>
    <m/>
    <m/>
    <m/>
    <m/>
    <m/>
    <m/>
    <n v="33209896"/>
    <n v="112806444.855712"/>
    <s v="EPER"/>
    <n v="7414000005"/>
  </r>
  <r>
    <x v="0"/>
    <m/>
    <x v="0"/>
    <m/>
    <m/>
    <m/>
    <m/>
    <m/>
    <m/>
    <m/>
    <m/>
    <m/>
    <m/>
    <m/>
    <n v="107976322"/>
    <n v="298757741.768004"/>
    <s v="EPER"/>
    <n v="7414000005"/>
  </r>
  <r>
    <x v="0"/>
    <m/>
    <x v="0"/>
    <m/>
    <m/>
    <m/>
    <m/>
    <m/>
    <m/>
    <m/>
    <m/>
    <m/>
    <m/>
    <m/>
    <n v="879732"/>
    <n v="2988249.0251039998"/>
    <s v="EPER"/>
    <n v="7414000005"/>
  </r>
  <r>
    <x v="0"/>
    <m/>
    <x v="0"/>
    <m/>
    <m/>
    <m/>
    <m/>
    <m/>
    <m/>
    <m/>
    <m/>
    <m/>
    <m/>
    <m/>
    <n v="1552"/>
    <n v="4869.0476959999996"/>
    <s v="EPER"/>
    <n v="7414000005"/>
  </r>
  <r>
    <x v="0"/>
    <m/>
    <x v="0"/>
    <m/>
    <m/>
    <m/>
    <m/>
    <m/>
    <m/>
    <m/>
    <m/>
    <m/>
    <m/>
    <m/>
    <n v="419"/>
    <n v="54208.889256000002"/>
    <s v="EPER"/>
    <n v="7414000005"/>
  </r>
  <r>
    <x v="0"/>
    <m/>
    <x v="0"/>
    <m/>
    <m/>
    <m/>
    <m/>
    <m/>
    <m/>
    <m/>
    <m/>
    <m/>
    <m/>
    <m/>
    <n v="1068227"/>
    <n v="3711057.9859449998"/>
    <s v="EPER"/>
    <n v="7414000005"/>
  </r>
  <r>
    <x v="0"/>
    <m/>
    <x v="0"/>
    <m/>
    <m/>
    <m/>
    <m/>
    <m/>
    <m/>
    <m/>
    <m/>
    <m/>
    <m/>
    <m/>
    <n v="789642"/>
    <n v="1608076.716246"/>
    <s v="EPER"/>
    <n v="7414000005"/>
  </r>
  <r>
    <x v="0"/>
    <m/>
    <x v="0"/>
    <m/>
    <m/>
    <m/>
    <m/>
    <m/>
    <m/>
    <m/>
    <m/>
    <m/>
    <m/>
    <m/>
    <n v="173600"/>
    <n v="469816.11040000001"/>
    <s v="EPER"/>
    <n v="7414000005"/>
  </r>
  <r>
    <x v="0"/>
    <m/>
    <x v="0"/>
    <m/>
    <m/>
    <m/>
    <m/>
    <m/>
    <m/>
    <m/>
    <m/>
    <m/>
    <m/>
    <m/>
    <n v="57965254"/>
    <n v="196894751.760088"/>
    <s v="EPER"/>
    <n v="7414000005"/>
  </r>
  <r>
    <x v="0"/>
    <m/>
    <x v="0"/>
    <m/>
    <m/>
    <m/>
    <m/>
    <m/>
    <m/>
    <m/>
    <m/>
    <m/>
    <m/>
    <m/>
    <n v="450176"/>
    <n v="1529145.231872"/>
    <s v="EPER"/>
    <n v="7414000005"/>
  </r>
  <r>
    <x v="0"/>
    <m/>
    <x v="0"/>
    <m/>
    <m/>
    <m/>
    <m/>
    <m/>
    <m/>
    <m/>
    <m/>
    <m/>
    <m/>
    <m/>
    <n v="28406006"/>
    <n v="96488725.812631994"/>
    <s v="EPER"/>
    <n v="7414000005"/>
  </r>
  <r>
    <x v="0"/>
    <m/>
    <x v="0"/>
    <m/>
    <m/>
    <m/>
    <m/>
    <m/>
    <m/>
    <m/>
    <m/>
    <m/>
    <m/>
    <m/>
    <n v="445515"/>
    <n v="1513312.8775800001"/>
    <s v="EPER"/>
    <n v="7414000005"/>
  </r>
  <r>
    <x v="0"/>
    <m/>
    <x v="0"/>
    <m/>
    <m/>
    <m/>
    <m/>
    <m/>
    <m/>
    <m/>
    <m/>
    <m/>
    <m/>
    <m/>
    <n v="16916396"/>
    <n v="57461140.273712002"/>
    <s v="EPER"/>
    <n v="7414000005"/>
  </r>
  <r>
    <x v="0"/>
    <m/>
    <x v="0"/>
    <m/>
    <m/>
    <m/>
    <m/>
    <m/>
    <m/>
    <m/>
    <m/>
    <m/>
    <m/>
    <m/>
    <n v="16882061"/>
    <n v="57344512.107092001"/>
    <s v="EPER"/>
    <n v="7414000005"/>
  </r>
  <r>
    <x v="0"/>
    <m/>
    <x v="0"/>
    <m/>
    <m/>
    <m/>
    <m/>
    <m/>
    <m/>
    <m/>
    <m/>
    <m/>
    <m/>
    <m/>
    <n v="64153"/>
    <n v="217913.11411600001"/>
    <s v="EPER"/>
    <n v="7414000005"/>
  </r>
  <r>
    <x v="0"/>
    <m/>
    <x v="0"/>
    <m/>
    <m/>
    <m/>
    <m/>
    <m/>
    <m/>
    <m/>
    <m/>
    <m/>
    <m/>
    <m/>
    <n v="175118"/>
    <n v="594835.91909600003"/>
    <s v="EPER"/>
    <n v="7414000005"/>
  </r>
  <r>
    <x v="0"/>
    <m/>
    <x v="0"/>
    <m/>
    <m/>
    <m/>
    <m/>
    <m/>
    <m/>
    <m/>
    <m/>
    <m/>
    <m/>
    <m/>
    <n v="376064"/>
    <n v="1277403.6654079999"/>
    <s v="EPER"/>
    <n v="7414000005"/>
  </r>
  <r>
    <x v="0"/>
    <m/>
    <x v="0"/>
    <m/>
    <m/>
    <m/>
    <m/>
    <m/>
    <m/>
    <m/>
    <m/>
    <m/>
    <m/>
    <m/>
    <n v="2498775"/>
    <n v="8487768.9542999994"/>
    <s v="EPER"/>
    <n v="7414000005"/>
  </r>
  <r>
    <x v="0"/>
    <m/>
    <x v="0"/>
    <m/>
    <m/>
    <m/>
    <m/>
    <m/>
    <m/>
    <m/>
    <m/>
    <m/>
    <m/>
    <m/>
    <n v="48461742"/>
    <n v="164613488.29682401"/>
    <s v="EPER"/>
    <n v="7414000005"/>
  </r>
  <r>
    <x v="0"/>
    <m/>
    <x v="0"/>
    <m/>
    <m/>
    <m/>
    <m/>
    <m/>
    <m/>
    <m/>
    <m/>
    <m/>
    <m/>
    <m/>
    <n v="1810947"/>
    <n v="6151374.0630839998"/>
    <s v="EPER"/>
    <n v="7414000005"/>
  </r>
  <r>
    <x v="0"/>
    <m/>
    <x v="0"/>
    <m/>
    <m/>
    <m/>
    <m/>
    <m/>
    <m/>
    <m/>
    <m/>
    <m/>
    <m/>
    <m/>
    <n v="1974510"/>
    <n v="6706960.2817200003"/>
    <s v="EPER"/>
    <n v="7414000005"/>
  </r>
  <r>
    <x v="0"/>
    <m/>
    <x v="0"/>
    <m/>
    <m/>
    <m/>
    <m/>
    <m/>
    <m/>
    <m/>
    <m/>
    <m/>
    <m/>
    <m/>
    <n v="600"/>
    <n v="9961180.3734000009"/>
    <s v="EPER"/>
    <n v="7414000005"/>
  </r>
  <r>
    <x v="0"/>
    <m/>
    <x v="0"/>
    <m/>
    <m/>
    <m/>
    <m/>
    <m/>
    <m/>
    <m/>
    <m/>
    <m/>
    <m/>
    <m/>
    <n v="253805"/>
    <n v="3910720.5864349999"/>
    <s v="EPER"/>
    <n v="7414000005"/>
  </r>
  <r>
    <x v="0"/>
    <m/>
    <x v="0"/>
    <m/>
    <m/>
    <m/>
    <m/>
    <m/>
    <m/>
    <m/>
    <m/>
    <m/>
    <m/>
    <m/>
    <n v="0"/>
    <n v="8938949.8599999994"/>
    <s v="EPER"/>
    <n v="7414000005"/>
  </r>
  <r>
    <x v="0"/>
    <m/>
    <x v="0"/>
    <m/>
    <m/>
    <m/>
    <m/>
    <m/>
    <m/>
    <m/>
    <m/>
    <m/>
    <m/>
    <m/>
    <n v="0"/>
    <n v="30469637.100000001"/>
    <s v="EPER"/>
    <n v="7414000005"/>
  </r>
  <r>
    <x v="0"/>
    <m/>
    <x v="0"/>
    <m/>
    <m/>
    <m/>
    <m/>
    <m/>
    <m/>
    <m/>
    <m/>
    <m/>
    <m/>
    <m/>
    <n v="0"/>
    <n v="2673834.7000000002"/>
    <s v="EPER"/>
    <n v="7414000005"/>
  </r>
  <r>
    <x v="0"/>
    <m/>
    <x v="0"/>
    <m/>
    <m/>
    <m/>
    <m/>
    <m/>
    <m/>
    <m/>
    <m/>
    <m/>
    <m/>
    <m/>
    <n v="0"/>
    <n v="4309.26"/>
    <s v="EPER"/>
    <n v="7414000005"/>
  </r>
  <r>
    <x v="0"/>
    <m/>
    <x v="0"/>
    <m/>
    <m/>
    <m/>
    <m/>
    <m/>
    <m/>
    <m/>
    <m/>
    <m/>
    <m/>
    <m/>
    <n v="0"/>
    <n v="59838.68"/>
    <s v="EPER"/>
    <n v="7414000005"/>
  </r>
  <r>
    <x v="0"/>
    <m/>
    <x v="0"/>
    <m/>
    <m/>
    <m/>
    <m/>
    <m/>
    <m/>
    <m/>
    <m/>
    <m/>
    <m/>
    <m/>
    <n v="0"/>
    <n v="2957355.92"/>
    <s v="EPER"/>
    <n v="7414000005"/>
  </r>
  <r>
    <x v="0"/>
    <m/>
    <x v="0"/>
    <m/>
    <m/>
    <m/>
    <m/>
    <m/>
    <m/>
    <m/>
    <m/>
    <m/>
    <m/>
    <m/>
    <n v="0"/>
    <n v="1058388.8999999999"/>
    <s v="EPER"/>
    <n v="7414000005"/>
  </r>
  <r>
    <x v="0"/>
    <m/>
    <x v="0"/>
    <m/>
    <m/>
    <m/>
    <m/>
    <m/>
    <m/>
    <m/>
    <m/>
    <m/>
    <m/>
    <m/>
    <n v="0"/>
    <n v="208796.14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061"/>
    <n v="7446.3538410000001"/>
    <s v="EPER"/>
    <n v="7414000005"/>
  </r>
  <r>
    <x v="0"/>
    <m/>
    <x v="0"/>
    <m/>
    <m/>
    <m/>
    <m/>
    <m/>
    <m/>
    <m/>
    <m/>
    <m/>
    <m/>
    <m/>
    <n v="1741"/>
    <n v="4900.7844249999998"/>
    <s v="EPER"/>
    <n v="7414000005"/>
  </r>
  <r>
    <x v="0"/>
    <m/>
    <x v="0"/>
    <m/>
    <m/>
    <m/>
    <m/>
    <m/>
    <m/>
    <m/>
    <m/>
    <m/>
    <m/>
    <m/>
    <n v="20082"/>
    <n v="72555.884441999995"/>
    <s v="EPER"/>
    <n v="7414000005"/>
  </r>
  <r>
    <x v="0"/>
    <m/>
    <x v="0"/>
    <m/>
    <m/>
    <m/>
    <m/>
    <m/>
    <m/>
    <m/>
    <m/>
    <m/>
    <m/>
    <m/>
    <n v="38519"/>
    <n v="5278910.0803659996"/>
    <s v="EPER"/>
    <n v="7414000005"/>
  </r>
  <r>
    <x v="0"/>
    <m/>
    <x v="0"/>
    <m/>
    <m/>
    <m/>
    <m/>
    <m/>
    <m/>
    <m/>
    <m/>
    <m/>
    <m/>
    <m/>
    <n v="1960672"/>
    <n v="7129975.8853120003"/>
    <s v="EPER"/>
    <n v="7414000005"/>
  </r>
  <r>
    <x v="0"/>
    <m/>
    <x v="0"/>
    <m/>
    <m/>
    <m/>
    <m/>
    <m/>
    <m/>
    <m/>
    <m/>
    <m/>
    <m/>
    <m/>
    <n v="10838422"/>
    <n v="23102139.846687999"/>
    <s v="EPER"/>
    <n v="7414000005"/>
  </r>
  <r>
    <x v="0"/>
    <m/>
    <x v="0"/>
    <m/>
    <m/>
    <m/>
    <m/>
    <m/>
    <m/>
    <m/>
    <m/>
    <m/>
    <m/>
    <m/>
    <n v="263563"/>
    <n v="741910.07777500001"/>
    <s v="EPER"/>
    <n v="7414000005"/>
  </r>
  <r>
    <x v="0"/>
    <m/>
    <x v="0"/>
    <m/>
    <m/>
    <m/>
    <m/>
    <m/>
    <m/>
    <m/>
    <m/>
    <m/>
    <m/>
    <m/>
    <n v="1599852"/>
    <n v="5780234.8788120002"/>
    <s v="EPER"/>
    <n v="7414000005"/>
  </r>
  <r>
    <x v="0"/>
    <m/>
    <x v="0"/>
    <m/>
    <m/>
    <m/>
    <m/>
    <m/>
    <m/>
    <m/>
    <m/>
    <m/>
    <m/>
    <m/>
    <n v="252109277"/>
    <n v="916794377.37339199"/>
    <s v="EPER"/>
    <n v="7414000005"/>
  </r>
  <r>
    <x v="0"/>
    <m/>
    <x v="0"/>
    <m/>
    <m/>
    <m/>
    <m/>
    <m/>
    <m/>
    <m/>
    <m/>
    <m/>
    <m/>
    <m/>
    <n v="464463"/>
    <n v="1678095.9942030001"/>
    <s v="EPER"/>
    <n v="7414000005"/>
  </r>
  <r>
    <x v="0"/>
    <m/>
    <x v="0"/>
    <m/>
    <m/>
    <m/>
    <m/>
    <m/>
    <m/>
    <m/>
    <m/>
    <m/>
    <m/>
    <m/>
    <n v="123442237"/>
    <n v="263117621.934448"/>
    <s v="EPER"/>
    <n v="7414000005"/>
  </r>
  <r>
    <x v="0"/>
    <m/>
    <x v="0"/>
    <m/>
    <m/>
    <m/>
    <m/>
    <m/>
    <m/>
    <m/>
    <m/>
    <m/>
    <m/>
    <m/>
    <n v="182031"/>
    <n v="657674.54441099998"/>
    <s v="EPER"/>
    <n v="7414000005"/>
  </r>
  <r>
    <x v="0"/>
    <m/>
    <x v="0"/>
    <m/>
    <m/>
    <m/>
    <m/>
    <m/>
    <m/>
    <m/>
    <m/>
    <m/>
    <m/>
    <m/>
    <n v="55059379"/>
    <n v="154988022.431575"/>
    <s v="EPER"/>
    <n v="7414000005"/>
  </r>
  <r>
    <x v="0"/>
    <m/>
    <x v="0"/>
    <m/>
    <m/>
    <m/>
    <m/>
    <m/>
    <m/>
    <m/>
    <m/>
    <m/>
    <m/>
    <m/>
    <n v="651583020"/>
    <n v="2369479045.8979201"/>
    <s v="EPER"/>
    <n v="7414000005"/>
  </r>
  <r>
    <x v="0"/>
    <m/>
    <x v="0"/>
    <m/>
    <m/>
    <m/>
    <m/>
    <m/>
    <m/>
    <m/>
    <m/>
    <m/>
    <m/>
    <m/>
    <n v="103618"/>
    <n v="374369.86525799998"/>
    <s v="EPER"/>
    <n v="7414000005"/>
  </r>
  <r>
    <x v="0"/>
    <m/>
    <x v="0"/>
    <m/>
    <m/>
    <m/>
    <m/>
    <m/>
    <m/>
    <m/>
    <m/>
    <m/>
    <m/>
    <m/>
    <n v="314923089"/>
    <n v="671259823.89585602"/>
    <s v="EPER"/>
    <n v="7414000005"/>
  </r>
  <r>
    <x v="0"/>
    <m/>
    <x v="0"/>
    <m/>
    <m/>
    <m/>
    <m/>
    <m/>
    <m/>
    <m/>
    <m/>
    <m/>
    <m/>
    <m/>
    <n v="619170"/>
    <n v="2237049.4457700001"/>
    <s v="EPER"/>
    <n v="7414000005"/>
  </r>
  <r>
    <x v="0"/>
    <m/>
    <x v="0"/>
    <m/>
    <m/>
    <m/>
    <m/>
    <m/>
    <m/>
    <m/>
    <m/>
    <m/>
    <m/>
    <m/>
    <n v="140047631"/>
    <n v="394223577.692674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364499"/>
    <n v="1316927.9615189999"/>
    <s v="EPER"/>
    <n v="7414000005"/>
  </r>
  <r>
    <x v="0"/>
    <m/>
    <x v="0"/>
    <m/>
    <m/>
    <m/>
    <m/>
    <m/>
    <m/>
    <m/>
    <m/>
    <m/>
    <m/>
    <m/>
    <n v="277356"/>
    <n v="942115.09483199997"/>
    <s v="EPER"/>
    <n v="7414000005"/>
  </r>
  <r>
    <x v="0"/>
    <m/>
    <x v="0"/>
    <m/>
    <m/>
    <m/>
    <m/>
    <m/>
    <m/>
    <m/>
    <m/>
    <m/>
    <m/>
    <m/>
    <n v="20088"/>
    <n v="78006.404592000006"/>
    <s v="EPER"/>
    <n v="7414000005"/>
  </r>
  <r>
    <x v="0"/>
    <m/>
    <x v="0"/>
    <m/>
    <m/>
    <m/>
    <m/>
    <m/>
    <m/>
    <m/>
    <m/>
    <m/>
    <m/>
    <m/>
    <n v="1844"/>
    <n v="6662.3369640000001"/>
    <s v="EPER"/>
    <n v="7414000005"/>
  </r>
  <r>
    <x v="0"/>
    <m/>
    <x v="0"/>
    <m/>
    <m/>
    <m/>
    <m/>
    <m/>
    <m/>
    <m/>
    <m/>
    <m/>
    <m/>
    <m/>
    <n v="4583"/>
    <n v="628086.00686199998"/>
    <s v="EPER"/>
    <n v="7414000005"/>
  </r>
  <r>
    <x v="0"/>
    <m/>
    <x v="0"/>
    <m/>
    <m/>
    <m/>
    <m/>
    <m/>
    <m/>
    <m/>
    <m/>
    <m/>
    <m/>
    <m/>
    <n v="315137"/>
    <n v="1145994.439952"/>
    <s v="EPER"/>
    <n v="7414000005"/>
  </r>
  <r>
    <x v="0"/>
    <m/>
    <x v="0"/>
    <m/>
    <m/>
    <m/>
    <m/>
    <m/>
    <m/>
    <m/>
    <m/>
    <m/>
    <m/>
    <m/>
    <n v="144"/>
    <n v="306.936576"/>
    <s v="EPER"/>
    <n v="7414000005"/>
  </r>
  <r>
    <x v="0"/>
    <m/>
    <x v="0"/>
    <m/>
    <m/>
    <m/>
    <m/>
    <m/>
    <m/>
    <m/>
    <m/>
    <m/>
    <m/>
    <m/>
    <n v="37927"/>
    <n v="106761.660475"/>
    <s v="EPER"/>
    <n v="7414000005"/>
  </r>
  <r>
    <x v="0"/>
    <m/>
    <x v="0"/>
    <m/>
    <m/>
    <m/>
    <m/>
    <m/>
    <m/>
    <m/>
    <m/>
    <m/>
    <m/>
    <m/>
    <n v="2269"/>
    <n v="8197.853889"/>
    <s v="EPER"/>
    <n v="7414000005"/>
  </r>
  <r>
    <x v="0"/>
    <m/>
    <x v="0"/>
    <m/>
    <m/>
    <m/>
    <m/>
    <m/>
    <m/>
    <m/>
    <m/>
    <m/>
    <m/>
    <m/>
    <n v="11840"/>
    <n v="1622635.4617600001"/>
    <s v="EPER"/>
    <n v="7414000005"/>
  </r>
  <r>
    <x v="0"/>
    <m/>
    <x v="0"/>
    <m/>
    <m/>
    <m/>
    <m/>
    <m/>
    <m/>
    <m/>
    <m/>
    <m/>
    <m/>
    <m/>
    <n v="713424"/>
    <n v="2594363.5223039999"/>
    <s v="EPER"/>
    <n v="7414000005"/>
  </r>
  <r>
    <x v="0"/>
    <m/>
    <x v="0"/>
    <m/>
    <m/>
    <m/>
    <m/>
    <m/>
    <m/>
    <m/>
    <m/>
    <m/>
    <m/>
    <m/>
    <n v="415"/>
    <n v="884.57416000000001"/>
    <s v="EPER"/>
    <n v="7414000005"/>
  </r>
  <r>
    <x v="0"/>
    <m/>
    <x v="0"/>
    <m/>
    <m/>
    <m/>
    <m/>
    <m/>
    <m/>
    <m/>
    <m/>
    <m/>
    <m/>
    <m/>
    <n v="77178"/>
    <n v="217250.28164999999"/>
    <s v="EPER"/>
    <n v="7414000005"/>
  </r>
  <r>
    <x v="0"/>
    <m/>
    <x v="0"/>
    <m/>
    <m/>
    <m/>
    <m/>
    <m/>
    <m/>
    <m/>
    <m/>
    <m/>
    <m/>
    <m/>
    <n v="5347049"/>
    <n v="18162706.325828001"/>
    <s v="EPER"/>
    <n v="7414000005"/>
  </r>
  <r>
    <x v="0"/>
    <m/>
    <x v="0"/>
    <m/>
    <m/>
    <m/>
    <m/>
    <m/>
    <m/>
    <m/>
    <m/>
    <m/>
    <m/>
    <m/>
    <n v="1365476"/>
    <n v="5302462.829384"/>
    <s v="EPER"/>
    <n v="7414000005"/>
  </r>
  <r>
    <x v="0"/>
    <m/>
    <x v="0"/>
    <m/>
    <m/>
    <m/>
    <m/>
    <m/>
    <m/>
    <m/>
    <m/>
    <m/>
    <m/>
    <m/>
    <n v="4145611"/>
    <n v="11470416.454902001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6734701"/>
    <n v="22901377.68930400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25"/>
    <n v="437.32162499999998"/>
    <s v="EPER"/>
    <n v="7414000005"/>
  </r>
  <r>
    <x v="0"/>
    <m/>
    <x v="0"/>
    <m/>
    <m/>
    <m/>
    <m/>
    <m/>
    <m/>
    <m/>
    <m/>
    <m/>
    <m/>
    <m/>
    <n v="4564664"/>
    <n v="15505122.864607999"/>
    <s v="EPER"/>
    <n v="7414000005"/>
  </r>
  <r>
    <x v="0"/>
    <m/>
    <x v="0"/>
    <m/>
    <m/>
    <m/>
    <m/>
    <m/>
    <m/>
    <m/>
    <m/>
    <m/>
    <m/>
    <m/>
    <n v="4515059"/>
    <n v="16110805.096042"/>
    <s v="EPER"/>
    <n v="7414000005"/>
  </r>
  <r>
    <x v="0"/>
    <m/>
    <x v="0"/>
    <m/>
    <m/>
    <m/>
    <m/>
    <m/>
    <m/>
    <m/>
    <m/>
    <m/>
    <m/>
    <m/>
    <n v="2428"/>
    <n v="8247.3624159999999"/>
    <s v="EPER"/>
    <n v="7414000005"/>
  </r>
  <r>
    <x v="0"/>
    <m/>
    <x v="0"/>
    <m/>
    <m/>
    <m/>
    <m/>
    <m/>
    <m/>
    <m/>
    <m/>
    <m/>
    <m/>
    <m/>
    <n v="45836"/>
    <n v="6239557.1868279995"/>
    <s v="EPER"/>
    <n v="7414000005"/>
  </r>
  <r>
    <x v="0"/>
    <m/>
    <x v="0"/>
    <m/>
    <m/>
    <m/>
    <m/>
    <m/>
    <m/>
    <m/>
    <m/>
    <m/>
    <m/>
    <m/>
    <n v="16768"/>
    <n v="56957.072895999998"/>
    <s v="EPER"/>
    <n v="7414000005"/>
  </r>
  <r>
    <x v="0"/>
    <m/>
    <x v="0"/>
    <m/>
    <m/>
    <m/>
    <m/>
    <m/>
    <m/>
    <m/>
    <m/>
    <m/>
    <m/>
    <m/>
    <n v="7621745"/>
    <n v="27546122.070005"/>
    <s v="EPER"/>
    <n v="7414000005"/>
  </r>
  <r>
    <x v="0"/>
    <m/>
    <x v="0"/>
    <m/>
    <m/>
    <m/>
    <m/>
    <m/>
    <m/>
    <m/>
    <m/>
    <m/>
    <m/>
    <m/>
    <n v="10044"/>
    <n v="34117.177968000004"/>
    <s v="EPER"/>
    <n v="7414000005"/>
  </r>
  <r>
    <x v="0"/>
    <m/>
    <x v="0"/>
    <m/>
    <m/>
    <m/>
    <m/>
    <m/>
    <m/>
    <m/>
    <m/>
    <m/>
    <m/>
    <m/>
    <n v="3708375"/>
    <n v="7813316.2057499997"/>
    <s v="EPER"/>
    <n v="7414000005"/>
  </r>
  <r>
    <x v="0"/>
    <m/>
    <x v="0"/>
    <m/>
    <m/>
    <m/>
    <m/>
    <m/>
    <m/>
    <m/>
    <m/>
    <m/>
    <m/>
    <m/>
    <n v="76238"/>
    <n v="258963.10373599999"/>
    <s v="EPER"/>
    <n v="7414000005"/>
  </r>
  <r>
    <x v="0"/>
    <m/>
    <x v="0"/>
    <m/>
    <m/>
    <m/>
    <m/>
    <m/>
    <m/>
    <m/>
    <m/>
    <m/>
    <m/>
    <m/>
    <n v="22007941"/>
    <n v="61275059.530725002"/>
    <s v="EPER"/>
    <n v="7414000005"/>
  </r>
  <r>
    <x v="0"/>
    <m/>
    <x v="0"/>
    <m/>
    <m/>
    <m/>
    <m/>
    <m/>
    <m/>
    <m/>
    <m/>
    <m/>
    <m/>
    <m/>
    <n v="30"/>
    <n v="53437.14"/>
    <s v="EPER"/>
    <n v="7414000005"/>
  </r>
  <r>
    <x v="0"/>
    <m/>
    <x v="0"/>
    <m/>
    <m/>
    <m/>
    <m/>
    <m/>
    <m/>
    <m/>
    <m/>
    <m/>
    <m/>
    <m/>
    <n v="33600"/>
    <n v="154051.8316"/>
    <s v="EPER"/>
    <n v="7414000005"/>
  </r>
  <r>
    <x v="0"/>
    <m/>
    <x v="0"/>
    <m/>
    <m/>
    <m/>
    <m/>
    <m/>
    <m/>
    <m/>
    <m/>
    <m/>
    <m/>
    <m/>
    <n v="97953"/>
    <n v="332724.00771600002"/>
    <s v="EPER"/>
    <n v="7414000005"/>
  </r>
  <r>
    <x v="0"/>
    <m/>
    <x v="0"/>
    <m/>
    <m/>
    <m/>
    <m/>
    <m/>
    <m/>
    <m/>
    <m/>
    <m/>
    <m/>
    <m/>
    <n v="275534"/>
    <n v="762370.06498799997"/>
    <s v="EPER"/>
    <n v="7414000005"/>
  </r>
  <r>
    <x v="0"/>
    <m/>
    <x v="0"/>
    <m/>
    <m/>
    <m/>
    <m/>
    <m/>
    <m/>
    <m/>
    <m/>
    <m/>
    <m/>
    <m/>
    <n v="540"/>
    <n v="96471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630000"/>
    <n v="2888471.88"/>
    <s v="EPER"/>
    <n v="7414000005"/>
  </r>
  <r>
    <x v="0"/>
    <m/>
    <x v="0"/>
    <m/>
    <m/>
    <m/>
    <m/>
    <m/>
    <m/>
    <m/>
    <m/>
    <m/>
    <m/>
    <m/>
    <n v="2936052"/>
    <n v="9973099.2241440006"/>
    <s v="EPER"/>
    <n v="7414000005"/>
  </r>
  <r>
    <x v="0"/>
    <m/>
    <x v="0"/>
    <m/>
    <m/>
    <m/>
    <m/>
    <m/>
    <m/>
    <m/>
    <m/>
    <m/>
    <m/>
    <m/>
    <n v="4048811"/>
    <n v="11202582.277302001"/>
    <s v="EPER"/>
    <n v="7414000005"/>
  </r>
  <r>
    <x v="0"/>
    <m/>
    <x v="0"/>
    <m/>
    <m/>
    <m/>
    <m/>
    <m/>
    <m/>
    <m/>
    <m/>
    <m/>
    <m/>
    <m/>
    <n v="6680"/>
    <n v="23370.467639999999"/>
    <s v="EPER"/>
    <n v="7414000005"/>
  </r>
  <r>
    <x v="0"/>
    <m/>
    <x v="0"/>
    <m/>
    <m/>
    <m/>
    <m/>
    <m/>
    <m/>
    <m/>
    <m/>
    <m/>
    <m/>
    <m/>
    <n v="1262506"/>
    <n v="4504921.8844280001"/>
    <s v="EPER"/>
    <n v="7414000005"/>
  </r>
  <r>
    <x v="0"/>
    <m/>
    <x v="0"/>
    <m/>
    <m/>
    <m/>
    <m/>
    <m/>
    <m/>
    <m/>
    <m/>
    <m/>
    <m/>
    <m/>
    <n v="1084620"/>
    <n v="3870182.2995600002"/>
    <s v="EPER"/>
    <n v="7414000005"/>
  </r>
  <r>
    <x v="0"/>
    <m/>
    <x v="0"/>
    <m/>
    <m/>
    <m/>
    <m/>
    <m/>
    <m/>
    <m/>
    <m/>
    <m/>
    <m/>
    <m/>
    <n v="42"/>
    <n v="149.865996"/>
    <s v="EPER"/>
    <n v="7414000005"/>
  </r>
  <r>
    <x v="0"/>
    <m/>
    <x v="0"/>
    <m/>
    <m/>
    <m/>
    <m/>
    <m/>
    <m/>
    <m/>
    <m/>
    <m/>
    <m/>
    <m/>
    <n v="1403655"/>
    <n v="4910789.4843149995"/>
    <s v="EPER"/>
    <n v="7414000005"/>
  </r>
  <r>
    <x v="0"/>
    <m/>
    <x v="0"/>
    <m/>
    <m/>
    <m/>
    <m/>
    <m/>
    <m/>
    <m/>
    <m/>
    <m/>
    <m/>
    <m/>
    <n v="470"/>
    <n v="839655"/>
    <s v="EPER"/>
    <n v="7414000005"/>
  </r>
  <r>
    <x v="0"/>
    <m/>
    <x v="0"/>
    <m/>
    <m/>
    <m/>
    <m/>
    <m/>
    <m/>
    <m/>
    <m/>
    <m/>
    <m/>
    <m/>
    <n v="47898"/>
    <n v="2325898.7638739999"/>
    <s v="EPER"/>
    <n v="7414000005"/>
  </r>
  <r>
    <x v="0"/>
    <m/>
    <x v="0"/>
    <m/>
    <m/>
    <m/>
    <m/>
    <m/>
    <m/>
    <m/>
    <m/>
    <m/>
    <m/>
    <m/>
    <n v="399680"/>
    <n v="1832483.2396800001"/>
    <s v="EPER"/>
    <n v="7414000005"/>
  </r>
  <r>
    <x v="0"/>
    <m/>
    <x v="0"/>
    <m/>
    <m/>
    <m/>
    <m/>
    <m/>
    <m/>
    <m/>
    <m/>
    <m/>
    <m/>
    <m/>
    <n v="637286"/>
    <n v="2248417.0213179998"/>
    <s v="EPER"/>
    <n v="7414000005"/>
  </r>
  <r>
    <x v="0"/>
    <m/>
    <x v="0"/>
    <m/>
    <m/>
    <m/>
    <m/>
    <m/>
    <m/>
    <m/>
    <m/>
    <m/>
    <m/>
    <m/>
    <n v="79736"/>
    <n v="270845.01219199999"/>
    <s v="EPER"/>
    <n v="7414000005"/>
  </r>
  <r>
    <x v="0"/>
    <m/>
    <x v="0"/>
    <m/>
    <m/>
    <m/>
    <m/>
    <m/>
    <m/>
    <m/>
    <m/>
    <m/>
    <m/>
    <m/>
    <n v="4313721"/>
    <n v="15392383.193598"/>
    <s v="EPER"/>
    <n v="7414000005"/>
  </r>
  <r>
    <x v="0"/>
    <m/>
    <x v="0"/>
    <m/>
    <m/>
    <m/>
    <m/>
    <m/>
    <m/>
    <m/>
    <m/>
    <m/>
    <m/>
    <m/>
    <n v="637008"/>
    <n v="2272996.151904"/>
    <s v="EPER"/>
    <n v="7414000005"/>
  </r>
  <r>
    <x v="0"/>
    <m/>
    <x v="0"/>
    <m/>
    <m/>
    <m/>
    <m/>
    <m/>
    <m/>
    <m/>
    <m/>
    <m/>
    <m/>
    <m/>
    <n v="3422200"/>
    <n v="12211224.0836"/>
    <s v="EPER"/>
    <n v="7414000005"/>
  </r>
  <r>
    <x v="0"/>
    <m/>
    <x v="0"/>
    <m/>
    <m/>
    <m/>
    <m/>
    <m/>
    <m/>
    <m/>
    <m/>
    <m/>
    <m/>
    <m/>
    <n v="850"/>
    <n v="1517648"/>
    <s v="EPER"/>
    <n v="7414000005"/>
  </r>
  <r>
    <x v="0"/>
    <m/>
    <x v="0"/>
    <m/>
    <m/>
    <m/>
    <m/>
    <m/>
    <m/>
    <m/>
    <m/>
    <m/>
    <m/>
    <m/>
    <n v="1010000"/>
    <n v="4630724.76"/>
    <s v="EPER"/>
    <n v="7414000005"/>
  </r>
  <r>
    <x v="0"/>
    <m/>
    <x v="0"/>
    <m/>
    <m/>
    <m/>
    <m/>
    <m/>
    <m/>
    <m/>
    <m/>
    <m/>
    <m/>
    <m/>
    <n v="4488918"/>
    <n v="15247830.972696001"/>
    <s v="EPER"/>
    <n v="7414000005"/>
  </r>
  <r>
    <x v="0"/>
    <m/>
    <x v="0"/>
    <m/>
    <m/>
    <m/>
    <m/>
    <m/>
    <m/>
    <m/>
    <m/>
    <m/>
    <m/>
    <m/>
    <n v="6664683"/>
    <n v="18440391.428406"/>
    <s v="EPER"/>
    <n v="7414000005"/>
  </r>
  <r>
    <x v="0"/>
    <m/>
    <x v="0"/>
    <m/>
    <m/>
    <m/>
    <m/>
    <m/>
    <m/>
    <m/>
    <m/>
    <m/>
    <m/>
    <m/>
    <n v="5200"/>
    <n v="876928"/>
    <s v="EPER"/>
    <n v="7414000005"/>
  </r>
  <r>
    <x v="0"/>
    <m/>
    <x v="0"/>
    <m/>
    <m/>
    <m/>
    <m/>
    <m/>
    <m/>
    <m/>
    <m/>
    <m/>
    <m/>
    <m/>
    <n v="16400"/>
    <n v="194504"/>
    <s v="EPER"/>
    <n v="7414000005"/>
  </r>
  <r>
    <x v="0"/>
    <m/>
    <x v="0"/>
    <m/>
    <m/>
    <m/>
    <m/>
    <m/>
    <m/>
    <m/>
    <m/>
    <m/>
    <m/>
    <m/>
    <n v="13600"/>
    <n v="997832"/>
    <s v="EPER"/>
    <n v="7414000005"/>
  </r>
  <r>
    <x v="0"/>
    <m/>
    <x v="0"/>
    <m/>
    <m/>
    <m/>
    <m/>
    <m/>
    <m/>
    <m/>
    <m/>
    <m/>
    <m/>
    <m/>
    <n v="214600"/>
    <n v="3244752"/>
    <s v="EPER"/>
    <n v="7414000005"/>
  </r>
  <r>
    <x v="0"/>
    <m/>
    <x v="0"/>
    <m/>
    <m/>
    <m/>
    <m/>
    <m/>
    <m/>
    <m/>
    <m/>
    <m/>
    <m/>
    <m/>
    <n v="4100"/>
    <n v="2152869"/>
    <s v="EPER"/>
    <n v="7414000005"/>
  </r>
  <r>
    <x v="0"/>
    <m/>
    <x v="0"/>
    <m/>
    <m/>
    <m/>
    <m/>
    <m/>
    <m/>
    <m/>
    <m/>
    <m/>
    <m/>
    <m/>
    <n v="9400"/>
    <n v="641550"/>
    <s v="EPER"/>
    <n v="7414000005"/>
  </r>
  <r>
    <x v="0"/>
    <m/>
    <x v="0"/>
    <m/>
    <m/>
    <m/>
    <m/>
    <m/>
    <m/>
    <m/>
    <m/>
    <m/>
    <m/>
    <m/>
    <n v="262700"/>
    <n v="3764491"/>
    <s v="EPER"/>
    <n v="7414000005"/>
  </r>
  <r>
    <x v="0"/>
    <m/>
    <x v="0"/>
    <m/>
    <m/>
    <m/>
    <m/>
    <m/>
    <m/>
    <m/>
    <m/>
    <m/>
    <m/>
    <m/>
    <n v="5000000"/>
    <n v="48070760"/>
    <s v="EPER"/>
    <n v="7414000005"/>
  </r>
  <r>
    <x v="0"/>
    <m/>
    <x v="0"/>
    <m/>
    <m/>
    <m/>
    <m/>
    <m/>
    <m/>
    <m/>
    <m/>
    <m/>
    <m/>
    <m/>
    <n v="127633"/>
    <n v="1211695.117204"/>
    <s v="EPER"/>
    <n v="7414000005"/>
  </r>
  <r>
    <x v="0"/>
    <m/>
    <x v="0"/>
    <m/>
    <m/>
    <m/>
    <m/>
    <m/>
    <m/>
    <m/>
    <m/>
    <m/>
    <m/>
    <m/>
    <n v="636949"/>
    <n v="5947933.5846870001"/>
    <s v="EPER"/>
    <n v="7414000005"/>
  </r>
  <r>
    <x v="0"/>
    <m/>
    <x v="0"/>
    <m/>
    <m/>
    <m/>
    <m/>
    <m/>
    <m/>
    <m/>
    <m/>
    <m/>
    <m/>
    <m/>
    <n v="659930"/>
    <n v="6064847.1104100002"/>
    <s v="EPER"/>
    <n v="7414000005"/>
  </r>
  <r>
    <x v="0"/>
    <m/>
    <x v="0"/>
    <m/>
    <m/>
    <m/>
    <m/>
    <m/>
    <m/>
    <m/>
    <m/>
    <m/>
    <m/>
    <m/>
    <n v="182530"/>
    <n v="1644823.0974399999"/>
    <s v="EPER"/>
    <n v="7414000005"/>
  </r>
  <r>
    <x v="0"/>
    <m/>
    <x v="0"/>
    <m/>
    <m/>
    <m/>
    <m/>
    <m/>
    <m/>
    <m/>
    <m/>
    <m/>
    <m/>
    <m/>
    <n v="347450"/>
    <n v="2869264.6842499999"/>
    <s v="EPER"/>
    <n v="7414000005"/>
  </r>
  <r>
    <x v="0"/>
    <m/>
    <x v="0"/>
    <m/>
    <m/>
    <m/>
    <m/>
    <m/>
    <m/>
    <m/>
    <m/>
    <m/>
    <m/>
    <m/>
    <n v="19600"/>
    <n v="4073076"/>
    <s v="EPER"/>
    <n v="7414000005"/>
  </r>
  <r>
    <x v="0"/>
    <m/>
    <x v="0"/>
    <m/>
    <m/>
    <m/>
    <m/>
    <m/>
    <m/>
    <m/>
    <m/>
    <m/>
    <m/>
    <m/>
    <n v="1700"/>
    <n v="462298"/>
    <s v="EPER"/>
    <n v="7414000005"/>
  </r>
  <r>
    <x v="0"/>
    <m/>
    <x v="0"/>
    <m/>
    <m/>
    <m/>
    <m/>
    <m/>
    <m/>
    <m/>
    <m/>
    <m/>
    <m/>
    <m/>
    <n v="6500"/>
    <n v="1255475"/>
    <s v="EPER"/>
    <n v="7414000005"/>
  </r>
  <r>
    <x v="0"/>
    <m/>
    <x v="0"/>
    <m/>
    <m/>
    <m/>
    <m/>
    <m/>
    <m/>
    <m/>
    <m/>
    <m/>
    <m/>
    <m/>
    <n v="46900"/>
    <n v="1271928"/>
    <s v="EPER"/>
    <n v="7414000005"/>
  </r>
  <r>
    <x v="0"/>
    <m/>
    <x v="0"/>
    <m/>
    <m/>
    <m/>
    <m/>
    <m/>
    <m/>
    <m/>
    <m/>
    <m/>
    <m/>
    <m/>
    <n v="30800"/>
    <n v="5434352"/>
    <s v="EPER"/>
    <n v="7414000005"/>
  </r>
  <r>
    <x v="0"/>
    <m/>
    <x v="0"/>
    <m/>
    <m/>
    <m/>
    <m/>
    <m/>
    <m/>
    <m/>
    <m/>
    <m/>
    <m/>
    <m/>
    <n v="36700"/>
    <n v="3821204"/>
    <s v="EPER"/>
    <n v="7414000005"/>
  </r>
  <r>
    <x v="0"/>
    <m/>
    <x v="0"/>
    <m/>
    <m/>
    <m/>
    <m/>
    <m/>
    <m/>
    <m/>
    <m/>
    <m/>
    <m/>
    <m/>
    <n v="3300"/>
    <n v="1037586"/>
    <s v="EPER"/>
    <n v="7414000005"/>
  </r>
  <r>
    <x v="0"/>
    <m/>
    <x v="0"/>
    <m/>
    <m/>
    <m/>
    <m/>
    <m/>
    <m/>
    <m/>
    <m/>
    <m/>
    <m/>
    <m/>
    <n v="20190"/>
    <n v="885331.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4200"/>
    <n v="877976"/>
    <s v="EPER"/>
    <n v="7414000005"/>
  </r>
  <r>
    <x v="0"/>
    <m/>
    <x v="0"/>
    <m/>
    <m/>
    <m/>
    <m/>
    <m/>
    <m/>
    <m/>
    <m/>
    <m/>
    <m/>
    <m/>
    <n v="3300"/>
    <n v="449955"/>
    <s v="EPER"/>
    <n v="7414000005"/>
  </r>
  <r>
    <x v="0"/>
    <m/>
    <x v="0"/>
    <m/>
    <m/>
    <m/>
    <m/>
    <m/>
    <m/>
    <m/>
    <m/>
    <m/>
    <m/>
    <m/>
    <n v="5600"/>
    <n v="873600"/>
    <s v="EPER"/>
    <n v="7414000005"/>
  </r>
  <r>
    <x v="0"/>
    <m/>
    <x v="0"/>
    <m/>
    <m/>
    <m/>
    <m/>
    <m/>
    <m/>
    <m/>
    <m/>
    <m/>
    <m/>
    <m/>
    <n v="17319553"/>
    <n v="58830572.682916"/>
    <s v="EPER"/>
    <n v="7414000005"/>
  </r>
  <r>
    <x v="0"/>
    <m/>
    <x v="0"/>
    <m/>
    <m/>
    <m/>
    <m/>
    <m/>
    <m/>
    <m/>
    <m/>
    <m/>
    <m/>
    <m/>
    <n v="31700"/>
    <n v="995697"/>
    <s v="EPER"/>
    <n v="7414000005"/>
  </r>
  <r>
    <x v="0"/>
    <m/>
    <x v="0"/>
    <m/>
    <m/>
    <m/>
    <m/>
    <m/>
    <m/>
    <m/>
    <m/>
    <m/>
    <m/>
    <m/>
    <n v="23700"/>
    <n v="1390479"/>
    <s v="EPER"/>
    <n v="7414000005"/>
  </r>
  <r>
    <x v="0"/>
    <m/>
    <x v="0"/>
    <m/>
    <m/>
    <m/>
    <m/>
    <m/>
    <m/>
    <m/>
    <m/>
    <m/>
    <m/>
    <m/>
    <n v="56300"/>
    <n v="3674138"/>
    <s v="EPER"/>
    <n v="7414000005"/>
  </r>
  <r>
    <x v="0"/>
    <m/>
    <x v="0"/>
    <m/>
    <m/>
    <m/>
    <m/>
    <m/>
    <m/>
    <m/>
    <m/>
    <m/>
    <m/>
    <m/>
    <n v="168003841"/>
    <n v="570670743.00125206"/>
    <s v="EPER"/>
    <n v="7414000005"/>
  </r>
  <r>
    <x v="0"/>
    <m/>
    <x v="0"/>
    <m/>
    <m/>
    <m/>
    <m/>
    <m/>
    <m/>
    <m/>
    <m/>
    <m/>
    <m/>
    <m/>
    <n v="10852072"/>
    <n v="36862014.311584003"/>
    <s v="EPER"/>
    <n v="7414000005"/>
  </r>
  <r>
    <x v="0"/>
    <m/>
    <x v="0"/>
    <m/>
    <m/>
    <m/>
    <m/>
    <m/>
    <m/>
    <m/>
    <m/>
    <m/>
    <m/>
    <m/>
    <n v="12701127"/>
    <n v="43142832.562044002"/>
    <s v="EPER"/>
    <n v="7414000005"/>
  </r>
  <r>
    <x v="0"/>
    <m/>
    <x v="0"/>
    <m/>
    <m/>
    <m/>
    <m/>
    <m/>
    <m/>
    <m/>
    <m/>
    <m/>
    <m/>
    <m/>
    <n v="10920208"/>
    <n v="37093456.768576004"/>
    <s v="EPER"/>
    <n v="7414000005"/>
  </r>
  <r>
    <x v="0"/>
    <m/>
    <x v="0"/>
    <m/>
    <m/>
    <m/>
    <m/>
    <m/>
    <m/>
    <m/>
    <m/>
    <m/>
    <m/>
    <m/>
    <n v="0"/>
    <n v="-40065.24"/>
    <s v="EPER"/>
    <n v="7414000005"/>
  </r>
  <r>
    <x v="0"/>
    <m/>
    <x v="0"/>
    <m/>
    <m/>
    <m/>
    <m/>
    <m/>
    <m/>
    <m/>
    <m/>
    <m/>
    <m/>
    <m/>
    <n v="0"/>
    <n v="-15786"/>
    <s v="EPER"/>
    <n v="7414000005"/>
  </r>
  <r>
    <x v="0"/>
    <m/>
    <x v="0"/>
    <m/>
    <m/>
    <m/>
    <m/>
    <m/>
    <m/>
    <m/>
    <m/>
    <m/>
    <m/>
    <m/>
    <n v="0"/>
    <n v="-2736.78"/>
    <s v="EPER"/>
    <n v="7414000005"/>
  </r>
  <r>
    <x v="0"/>
    <m/>
    <x v="0"/>
    <m/>
    <m/>
    <m/>
    <m/>
    <m/>
    <m/>
    <m/>
    <m/>
    <m/>
    <m/>
    <m/>
    <n v="42297"/>
    <n v="3018139.99"/>
    <s v="EPER"/>
    <n v="7414000005"/>
  </r>
  <r>
    <x v="0"/>
    <m/>
    <x v="0"/>
    <m/>
    <m/>
    <m/>
    <m/>
    <m/>
    <m/>
    <m/>
    <m/>
    <m/>
    <m/>
    <m/>
    <n v="0"/>
    <n v="-160324.54999999999"/>
    <s v="EPER"/>
    <n v="7414000005"/>
  </r>
  <r>
    <x v="0"/>
    <m/>
    <x v="0"/>
    <m/>
    <m/>
    <m/>
    <m/>
    <m/>
    <m/>
    <m/>
    <m/>
    <m/>
    <m/>
    <m/>
    <n v="0"/>
    <n v="-111649.95"/>
    <s v="EPER"/>
    <n v="7414000005"/>
  </r>
  <r>
    <x v="0"/>
    <m/>
    <x v="0"/>
    <m/>
    <m/>
    <m/>
    <m/>
    <m/>
    <m/>
    <m/>
    <m/>
    <m/>
    <m/>
    <m/>
    <n v="46686"/>
    <n v="4668558.496146"/>
    <s v="EPER"/>
    <n v="7414000005"/>
  </r>
  <r>
    <x v="0"/>
    <m/>
    <x v="0"/>
    <m/>
    <m/>
    <m/>
    <m/>
    <m/>
    <m/>
    <m/>
    <m/>
    <m/>
    <m/>
    <m/>
    <n v="0"/>
    <n v="-36565.03"/>
    <s v="EPER"/>
    <n v="7414000005"/>
  </r>
  <r>
    <x v="0"/>
    <m/>
    <x v="0"/>
    <m/>
    <m/>
    <m/>
    <m/>
    <m/>
    <m/>
    <m/>
    <m/>
    <m/>
    <m/>
    <m/>
    <n v="11000"/>
    <n v="1099156.1569999999"/>
    <s v="EPER"/>
    <n v="7414000005"/>
  </r>
  <r>
    <x v="0"/>
    <m/>
    <x v="0"/>
    <m/>
    <m/>
    <m/>
    <m/>
    <m/>
    <m/>
    <m/>
    <m/>
    <m/>
    <m/>
    <m/>
    <n v="55340"/>
    <n v="5528919.0685799997"/>
    <s v="EPER"/>
    <n v="7414000005"/>
  </r>
  <r>
    <x v="0"/>
    <m/>
    <x v="0"/>
    <m/>
    <m/>
    <m/>
    <m/>
    <m/>
    <m/>
    <m/>
    <m/>
    <m/>
    <m/>
    <m/>
    <n v="7837"/>
    <n v="782778.74497600005"/>
    <s v="EPER"/>
    <n v="7414000005"/>
  </r>
  <r>
    <x v="0"/>
    <m/>
    <x v="0"/>
    <m/>
    <m/>
    <m/>
    <m/>
    <m/>
    <m/>
    <m/>
    <m/>
    <m/>
    <m/>
    <m/>
    <n v="0"/>
    <n v="-56574.879999999997"/>
    <s v="EPER"/>
    <n v="7414000005"/>
  </r>
  <r>
    <x v="0"/>
    <m/>
    <x v="0"/>
    <m/>
    <m/>
    <m/>
    <m/>
    <m/>
    <m/>
    <m/>
    <m/>
    <m/>
    <m/>
    <m/>
    <n v="31819"/>
    <n v="3181874.6720759999"/>
    <s v="EPER"/>
    <n v="7414000005"/>
  </r>
  <r>
    <x v="0"/>
    <m/>
    <x v="0"/>
    <m/>
    <m/>
    <m/>
    <m/>
    <m/>
    <m/>
    <m/>
    <m/>
    <m/>
    <m/>
    <m/>
    <n v="17000000"/>
    <n v="153288181.78999999"/>
    <s v="EPER"/>
    <n v="7414000005"/>
  </r>
  <r>
    <x v="0"/>
    <m/>
    <x v="0"/>
    <m/>
    <m/>
    <m/>
    <m/>
    <m/>
    <m/>
    <m/>
    <m/>
    <m/>
    <m/>
    <m/>
    <n v="17068"/>
    <n v="1233508.0296199999"/>
    <s v="EPER"/>
    <n v="7414000005"/>
  </r>
  <r>
    <x v="0"/>
    <m/>
    <x v="0"/>
    <m/>
    <m/>
    <m/>
    <m/>
    <m/>
    <m/>
    <m/>
    <m/>
    <m/>
    <m/>
    <m/>
    <n v="0"/>
    <n v="-44346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38479.4"/>
    <s v="EPER"/>
    <n v="7414000005"/>
  </r>
  <r>
    <x v="0"/>
    <m/>
    <x v="0"/>
    <m/>
    <m/>
    <m/>
    <m/>
    <m/>
    <m/>
    <m/>
    <m/>
    <m/>
    <m/>
    <m/>
    <n v="0"/>
    <n v="-24033.87"/>
    <s v="EPER"/>
    <n v="7414000005"/>
  </r>
  <r>
    <x v="0"/>
    <m/>
    <x v="0"/>
    <m/>
    <m/>
    <m/>
    <m/>
    <m/>
    <m/>
    <m/>
    <m/>
    <m/>
    <m/>
    <m/>
    <n v="0"/>
    <n v="-2455.04"/>
    <s v="EPER"/>
    <n v="7414000005"/>
  </r>
  <r>
    <x v="0"/>
    <m/>
    <x v="0"/>
    <m/>
    <m/>
    <m/>
    <m/>
    <m/>
    <m/>
    <m/>
    <m/>
    <m/>
    <m/>
    <m/>
    <n v="1"/>
    <n v="2784.17"/>
    <s v="EPER"/>
    <n v="7414000005"/>
  </r>
  <r>
    <x v="0"/>
    <m/>
    <x v="0"/>
    <m/>
    <m/>
    <m/>
    <m/>
    <m/>
    <m/>
    <m/>
    <m/>
    <m/>
    <m/>
    <m/>
    <n v="0"/>
    <n v="-578.91"/>
    <s v="EPER"/>
    <n v="7414000005"/>
  </r>
  <r>
    <x v="0"/>
    <m/>
    <x v="0"/>
    <m/>
    <m/>
    <m/>
    <m/>
    <m/>
    <m/>
    <m/>
    <m/>
    <m/>
    <m/>
    <m/>
    <n v="0"/>
    <n v="45199.59"/>
    <s v="EPER"/>
    <n v="7414000005"/>
  </r>
  <r>
    <x v="0"/>
    <m/>
    <x v="0"/>
    <m/>
    <m/>
    <m/>
    <m/>
    <m/>
    <m/>
    <m/>
    <m/>
    <m/>
    <m/>
    <m/>
    <n v="0"/>
    <n v="-43199.69"/>
    <s v="EPER"/>
    <n v="7414000005"/>
  </r>
  <r>
    <x v="0"/>
    <m/>
    <x v="0"/>
    <m/>
    <m/>
    <m/>
    <m/>
    <m/>
    <m/>
    <m/>
    <m/>
    <m/>
    <m/>
    <m/>
    <n v="0"/>
    <n v="27009.62"/>
    <s v="EPER"/>
    <n v="7414000005"/>
  </r>
  <r>
    <x v="0"/>
    <m/>
    <x v="0"/>
    <m/>
    <m/>
    <m/>
    <m/>
    <m/>
    <m/>
    <m/>
    <m/>
    <m/>
    <m/>
    <m/>
    <n v="41585"/>
    <n v="4226633.62"/>
    <s v="EPER"/>
    <n v="7414000005"/>
  </r>
  <r>
    <x v="0"/>
    <m/>
    <x v="0"/>
    <m/>
    <m/>
    <m/>
    <m/>
    <m/>
    <m/>
    <m/>
    <m/>
    <m/>
    <m/>
    <m/>
    <n v="0"/>
    <n v="-99844.711540000004"/>
    <s v="EPER"/>
    <n v="7414000005"/>
  </r>
  <r>
    <x v="0"/>
    <m/>
    <x v="0"/>
    <m/>
    <m/>
    <m/>
    <m/>
    <m/>
    <m/>
    <m/>
    <m/>
    <m/>
    <m/>
    <m/>
    <n v="1700000"/>
    <n v="163460947.00999999"/>
    <s v="EPER"/>
    <n v="7414000005"/>
  </r>
  <r>
    <x v="0"/>
    <m/>
    <x v="0"/>
    <m/>
    <m/>
    <m/>
    <m/>
    <m/>
    <m/>
    <m/>
    <m/>
    <m/>
    <m/>
    <m/>
    <n v="0"/>
    <n v="-42881.337919999998"/>
    <s v="EPER"/>
    <n v="7414000005"/>
  </r>
  <r>
    <x v="0"/>
    <m/>
    <x v="0"/>
    <m/>
    <m/>
    <m/>
    <m/>
    <m/>
    <m/>
    <m/>
    <m/>
    <m/>
    <m/>
    <m/>
    <n v="0"/>
    <n v="-308305.43"/>
    <s v="EPER"/>
    <n v="7414000005"/>
  </r>
  <r>
    <x v="0"/>
    <m/>
    <x v="0"/>
    <m/>
    <m/>
    <m/>
    <m/>
    <m/>
    <m/>
    <m/>
    <m/>
    <m/>
    <m/>
    <m/>
    <n v="1726947"/>
    <n v="159681332.153355"/>
    <s v="EPER"/>
    <n v="7414000005"/>
  </r>
  <r>
    <x v="0"/>
    <m/>
    <x v="0"/>
    <m/>
    <m/>
    <m/>
    <m/>
    <m/>
    <m/>
    <m/>
    <m/>
    <m/>
    <m/>
    <m/>
    <n v="0"/>
    <n v="-193201.78031999999"/>
    <s v="EPER"/>
    <n v="7414000005"/>
  </r>
  <r>
    <x v="0"/>
    <m/>
    <x v="0"/>
    <m/>
    <m/>
    <m/>
    <m/>
    <m/>
    <m/>
    <m/>
    <m/>
    <m/>
    <m/>
    <m/>
    <n v="1800000"/>
    <n v="167474861.93000001"/>
    <s v="EPER"/>
    <n v="7414000005"/>
  </r>
  <r>
    <x v="0"/>
    <m/>
    <x v="0"/>
    <m/>
    <m/>
    <m/>
    <m/>
    <m/>
    <m/>
    <m/>
    <m/>
    <m/>
    <m/>
    <m/>
    <n v="0"/>
    <n v="-156475.29243999999"/>
    <s v="EPER"/>
    <n v="7414000005"/>
  </r>
  <r>
    <x v="0"/>
    <m/>
    <x v="0"/>
    <m/>
    <m/>
    <m/>
    <m/>
    <m/>
    <m/>
    <m/>
    <m/>
    <m/>
    <m/>
    <m/>
    <n v="0"/>
    <n v="-63063.160366999997"/>
    <s v="EPER"/>
    <n v="7414000005"/>
  </r>
  <r>
    <x v="0"/>
    <m/>
    <x v="0"/>
    <m/>
    <m/>
    <m/>
    <m/>
    <m/>
    <m/>
    <m/>
    <m/>
    <m/>
    <m/>
    <m/>
    <n v="0"/>
    <n v="-24053.179197000001"/>
    <s v="EPER"/>
    <n v="7414000005"/>
  </r>
  <r>
    <x v="0"/>
    <m/>
    <x v="0"/>
    <m/>
    <m/>
    <m/>
    <m/>
    <m/>
    <m/>
    <m/>
    <m/>
    <m/>
    <m/>
    <m/>
    <n v="0"/>
    <n v="-82889.6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432985"/>
    <s v="EPER"/>
    <n v="7414000005"/>
  </r>
  <r>
    <x v="0"/>
    <m/>
    <x v="0"/>
    <m/>
    <m/>
    <m/>
    <m/>
    <m/>
    <m/>
    <m/>
    <m/>
    <m/>
    <m/>
    <m/>
    <n v="114687"/>
    <n v="1409503.23"/>
    <s v="EPER"/>
    <n v="7414000005"/>
  </r>
  <r>
    <x v="0"/>
    <m/>
    <x v="0"/>
    <m/>
    <m/>
    <m/>
    <m/>
    <m/>
    <m/>
    <m/>
    <m/>
    <m/>
    <m/>
    <m/>
    <n v="268750"/>
    <n v="24959745.600000001"/>
    <s v="EPER"/>
    <n v="7414000005"/>
  </r>
  <r>
    <x v="0"/>
    <m/>
    <x v="0"/>
    <m/>
    <m/>
    <m/>
    <m/>
    <m/>
    <m/>
    <m/>
    <m/>
    <m/>
    <m/>
    <m/>
    <n v="0"/>
    <n v="6009.61"/>
    <s v="EPER"/>
    <n v="7414000005"/>
  </r>
  <r>
    <x v="0"/>
    <m/>
    <x v="0"/>
    <m/>
    <m/>
    <m/>
    <m/>
    <m/>
    <m/>
    <m/>
    <m/>
    <m/>
    <m/>
    <m/>
    <n v="15425"/>
    <n v="1542484.4361749999"/>
    <s v="EPER"/>
    <n v="7414000005"/>
  </r>
  <r>
    <x v="0"/>
    <m/>
    <x v="0"/>
    <m/>
    <m/>
    <m/>
    <m/>
    <m/>
    <m/>
    <m/>
    <m/>
    <m/>
    <m/>
    <m/>
    <n v="0"/>
    <n v="-64958.15"/>
    <s v="EPER"/>
    <n v="7414000005"/>
  </r>
  <r>
    <x v="0"/>
    <m/>
    <x v="0"/>
    <m/>
    <m/>
    <m/>
    <m/>
    <m/>
    <m/>
    <m/>
    <m/>
    <m/>
    <m/>
    <m/>
    <n v="0"/>
    <n v="-5032.07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4.6569999999999997E-3"/>
    <s v="EPER"/>
    <n v="7414000005"/>
  </r>
  <r>
    <x v="0"/>
    <m/>
    <x v="0"/>
    <m/>
    <m/>
    <m/>
    <m/>
    <m/>
    <m/>
    <m/>
    <m/>
    <m/>
    <m/>
    <m/>
    <n v="0"/>
    <n v="3.264E-3"/>
    <s v="EPER"/>
    <n v="7414000005"/>
  </r>
  <r>
    <x v="0"/>
    <m/>
    <x v="0"/>
    <m/>
    <m/>
    <m/>
    <m/>
    <m/>
    <m/>
    <m/>
    <m/>
    <m/>
    <m/>
    <m/>
    <n v="43105121"/>
    <n v="146418268.06941199"/>
    <s v="EPER"/>
    <n v="7414000005"/>
  </r>
  <r>
    <x v="0"/>
    <m/>
    <x v="0"/>
    <m/>
    <m/>
    <m/>
    <m/>
    <m/>
    <m/>
    <m/>
    <m/>
    <m/>
    <m/>
    <m/>
    <n v="0"/>
    <n v="-4797.3900000000003"/>
    <s v="EPER"/>
    <n v="7414000005"/>
  </r>
  <r>
    <x v="0"/>
    <m/>
    <x v="0"/>
    <m/>
    <m/>
    <m/>
    <m/>
    <m/>
    <m/>
    <m/>
    <m/>
    <m/>
    <m/>
    <m/>
    <n v="0"/>
    <n v="-22351.205817999999"/>
    <s v="EPER"/>
    <n v="7414000005"/>
  </r>
  <r>
    <x v="0"/>
    <m/>
    <x v="0"/>
    <m/>
    <m/>
    <m/>
    <m/>
    <m/>
    <m/>
    <m/>
    <m/>
    <m/>
    <m/>
    <m/>
    <n v="0"/>
    <n v="-12663.96192"/>
    <s v="EPER"/>
    <n v="7414000005"/>
  </r>
  <r>
    <x v="0"/>
    <m/>
    <x v="0"/>
    <m/>
    <m/>
    <m/>
    <m/>
    <m/>
    <m/>
    <m/>
    <m/>
    <m/>
    <m/>
    <m/>
    <n v="0"/>
    <n v="-18846.069544000002"/>
    <s v="EPER"/>
    <n v="7414000005"/>
  </r>
  <r>
    <x v="0"/>
    <m/>
    <x v="0"/>
    <m/>
    <m/>
    <m/>
    <m/>
    <m/>
    <m/>
    <m/>
    <m/>
    <m/>
    <m/>
    <m/>
    <n v="0"/>
    <n v="-106000.308815"/>
    <s v="EPER"/>
    <n v="7414000005"/>
  </r>
  <r>
    <x v="0"/>
    <m/>
    <x v="0"/>
    <m/>
    <m/>
    <m/>
    <m/>
    <m/>
    <m/>
    <m/>
    <m/>
    <m/>
    <m/>
    <m/>
    <n v="0"/>
    <n v="-119003.73368"/>
    <s v="EPER"/>
    <n v="7414000005"/>
  </r>
  <r>
    <x v="0"/>
    <m/>
    <x v="0"/>
    <m/>
    <m/>
    <m/>
    <m/>
    <m/>
    <m/>
    <m/>
    <m/>
    <m/>
    <m/>
    <m/>
    <n v="0"/>
    <n v="-6952.8935140000003"/>
    <s v="EPER"/>
    <n v="7414000005"/>
  </r>
  <r>
    <x v="0"/>
    <m/>
    <x v="0"/>
    <m/>
    <m/>
    <m/>
    <m/>
    <m/>
    <m/>
    <m/>
    <m/>
    <m/>
    <m/>
    <m/>
    <n v="0"/>
    <n v="-84652.249909999999"/>
    <s v="EPER"/>
    <n v="7414000005"/>
  </r>
  <r>
    <x v="0"/>
    <m/>
    <x v="0"/>
    <m/>
    <m/>
    <m/>
    <m/>
    <m/>
    <m/>
    <m/>
    <m/>
    <m/>
    <m/>
    <m/>
    <n v="0"/>
    <n v="-194395.65271600001"/>
    <s v="EPER"/>
    <n v="7414000005"/>
  </r>
  <r>
    <x v="0"/>
    <m/>
    <x v="0"/>
    <m/>
    <m/>
    <m/>
    <m/>
    <m/>
    <m/>
    <m/>
    <m/>
    <m/>
    <m/>
    <m/>
    <n v="49478"/>
    <n v="2810911.39"/>
    <s v="EPER"/>
    <n v="7414000005"/>
  </r>
  <r>
    <x v="0"/>
    <m/>
    <x v="0"/>
    <m/>
    <m/>
    <m/>
    <m/>
    <m/>
    <m/>
    <m/>
    <m/>
    <m/>
    <m/>
    <m/>
    <n v="0"/>
    <n v="-41634.300000000003"/>
    <s v="EPER"/>
    <n v="7414000005"/>
  </r>
  <r>
    <x v="0"/>
    <m/>
    <x v="0"/>
    <m/>
    <m/>
    <m/>
    <m/>
    <m/>
    <m/>
    <m/>
    <m/>
    <m/>
    <m/>
    <m/>
    <n v="0"/>
    <n v="21544.37"/>
    <s v="EPER"/>
    <n v="7414000005"/>
  </r>
  <r>
    <x v="0"/>
    <m/>
    <x v="0"/>
    <m/>
    <m/>
    <m/>
    <m/>
    <m/>
    <m/>
    <m/>
    <m/>
    <m/>
    <m/>
    <m/>
    <n v="0"/>
    <n v="-1148.8900000000001"/>
    <s v="EPER"/>
    <n v="7414000005"/>
  </r>
  <r>
    <x v="0"/>
    <m/>
    <x v="0"/>
    <m/>
    <m/>
    <m/>
    <m/>
    <m/>
    <m/>
    <m/>
    <m/>
    <m/>
    <m/>
    <m/>
    <n v="0"/>
    <n v="-2280.1999999999998"/>
    <s v="EPER"/>
    <n v="7414000005"/>
  </r>
  <r>
    <x v="0"/>
    <m/>
    <x v="0"/>
    <m/>
    <m/>
    <m/>
    <m/>
    <m/>
    <m/>
    <m/>
    <m/>
    <m/>
    <m/>
    <m/>
    <n v="0"/>
    <n v="-77.400000000000006"/>
    <s v="EPER"/>
    <n v="7414000005"/>
  </r>
  <r>
    <x v="0"/>
    <m/>
    <x v="0"/>
    <m/>
    <m/>
    <m/>
    <m/>
    <m/>
    <m/>
    <m/>
    <m/>
    <m/>
    <m/>
    <m/>
    <n v="1217"/>
    <n v="86840.58"/>
    <s v="EPER"/>
    <n v="7414000005"/>
  </r>
  <r>
    <x v="0"/>
    <m/>
    <x v="0"/>
    <m/>
    <m/>
    <m/>
    <m/>
    <m/>
    <m/>
    <m/>
    <m/>
    <m/>
    <m/>
    <m/>
    <n v="0"/>
    <n v="-4540.09"/>
    <s v="EPER"/>
    <n v="7414000005"/>
  </r>
  <r>
    <x v="0"/>
    <m/>
    <x v="0"/>
    <m/>
    <m/>
    <m/>
    <m/>
    <m/>
    <m/>
    <m/>
    <m/>
    <m/>
    <m/>
    <m/>
    <n v="0"/>
    <n v="-3150.66"/>
    <s v="EPER"/>
    <n v="7414000005"/>
  </r>
  <r>
    <x v="0"/>
    <m/>
    <x v="0"/>
    <m/>
    <m/>
    <m/>
    <m/>
    <m/>
    <m/>
    <m/>
    <m/>
    <m/>
    <m/>
    <m/>
    <n v="0"/>
    <n v="-1034.6300000000001"/>
    <s v="EPER"/>
    <n v="7414000005"/>
  </r>
  <r>
    <x v="0"/>
    <m/>
    <x v="0"/>
    <m/>
    <m/>
    <m/>
    <m/>
    <m/>
    <m/>
    <m/>
    <m/>
    <m/>
    <m/>
    <m/>
    <n v="0"/>
    <n v="-1612.95"/>
    <s v="EPER"/>
    <n v="7414000005"/>
  </r>
  <r>
    <x v="0"/>
    <m/>
    <x v="0"/>
    <m/>
    <m/>
    <m/>
    <m/>
    <m/>
    <m/>
    <m/>
    <m/>
    <m/>
    <m/>
    <m/>
    <n v="250000"/>
    <n v="2254237.9700000002"/>
    <s v="EPER"/>
    <n v="7414000005"/>
  </r>
  <r>
    <x v="0"/>
    <m/>
    <x v="0"/>
    <m/>
    <m/>
    <m/>
    <m/>
    <m/>
    <m/>
    <m/>
    <m/>
    <m/>
    <m/>
    <m/>
    <n v="1704"/>
    <n v="123148.44636"/>
    <s v="EPER"/>
    <n v="7414000005"/>
  </r>
  <r>
    <x v="0"/>
    <m/>
    <x v="0"/>
    <m/>
    <m/>
    <m/>
    <m/>
    <m/>
    <m/>
    <m/>
    <m/>
    <m/>
    <m/>
    <m/>
    <n v="0"/>
    <n v="-1167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1010.4"/>
    <s v="EPER"/>
    <n v="7414000005"/>
  </r>
  <r>
    <x v="0"/>
    <m/>
    <x v="0"/>
    <m/>
    <m/>
    <m/>
    <m/>
    <m/>
    <m/>
    <m/>
    <m/>
    <m/>
    <m/>
    <m/>
    <n v="0"/>
    <n v="-681.88"/>
    <s v="EPER"/>
    <n v="7414000005"/>
  </r>
  <r>
    <x v="0"/>
    <m/>
    <x v="0"/>
    <m/>
    <m/>
    <m/>
    <m/>
    <m/>
    <m/>
    <m/>
    <m/>
    <m/>
    <m/>
    <m/>
    <n v="0"/>
    <n v="-63.79"/>
    <s v="EPER"/>
    <n v="7414000005"/>
  </r>
  <r>
    <x v="0"/>
    <m/>
    <x v="0"/>
    <m/>
    <m/>
    <m/>
    <m/>
    <m/>
    <m/>
    <m/>
    <m/>
    <m/>
    <m/>
    <m/>
    <n v="2"/>
    <n v="221.16"/>
    <s v="EPER"/>
    <n v="7414000005"/>
  </r>
  <r>
    <x v="0"/>
    <m/>
    <x v="0"/>
    <m/>
    <m/>
    <m/>
    <m/>
    <m/>
    <m/>
    <m/>
    <m/>
    <m/>
    <m/>
    <m/>
    <n v="0"/>
    <n v="-22.51"/>
    <s v="EPER"/>
    <n v="7414000005"/>
  </r>
  <r>
    <x v="0"/>
    <m/>
    <x v="0"/>
    <m/>
    <m/>
    <m/>
    <m/>
    <m/>
    <m/>
    <m/>
    <m/>
    <m/>
    <m/>
    <m/>
    <n v="0"/>
    <n v="1287.77"/>
    <s v="EPER"/>
    <n v="7414000005"/>
  </r>
  <r>
    <x v="0"/>
    <m/>
    <x v="0"/>
    <m/>
    <m/>
    <m/>
    <m/>
    <m/>
    <m/>
    <m/>
    <m/>
    <m/>
    <m/>
    <m/>
    <n v="0"/>
    <n v="-1220.94"/>
    <s v="EPER"/>
    <n v="7414000005"/>
  </r>
  <r>
    <x v="0"/>
    <m/>
    <x v="0"/>
    <m/>
    <m/>
    <m/>
    <m/>
    <m/>
    <m/>
    <m/>
    <m/>
    <m/>
    <m/>
    <m/>
    <n v="0"/>
    <n v="162.33000000000001"/>
    <s v="EPER"/>
    <n v="7414000005"/>
  </r>
  <r>
    <x v="0"/>
    <m/>
    <x v="0"/>
    <m/>
    <m/>
    <m/>
    <m/>
    <m/>
    <m/>
    <m/>
    <m/>
    <m/>
    <m/>
    <m/>
    <n v="0"/>
    <n v="765.03"/>
    <s v="EPER"/>
    <n v="7414000005"/>
  </r>
  <r>
    <x v="0"/>
    <m/>
    <x v="0"/>
    <m/>
    <m/>
    <m/>
    <m/>
    <m/>
    <m/>
    <m/>
    <m/>
    <m/>
    <m/>
    <m/>
    <n v="1185"/>
    <n v="120441.29"/>
    <s v="EPER"/>
    <n v="7414000005"/>
  </r>
  <r>
    <x v="0"/>
    <m/>
    <x v="0"/>
    <m/>
    <m/>
    <m/>
    <m/>
    <m/>
    <m/>
    <m/>
    <m/>
    <m/>
    <m/>
    <m/>
    <n v="25000"/>
    <n v="2403837.46"/>
    <s v="EPER"/>
    <n v="7414000005"/>
  </r>
  <r>
    <x v="0"/>
    <m/>
    <x v="0"/>
    <m/>
    <m/>
    <m/>
    <m/>
    <m/>
    <m/>
    <m/>
    <m/>
    <m/>
    <m/>
    <m/>
    <n v="0"/>
    <n v="-6751.89617"/>
    <s v="EPER"/>
    <n v="7414000005"/>
  </r>
  <r>
    <x v="0"/>
    <m/>
    <x v="0"/>
    <m/>
    <m/>
    <m/>
    <m/>
    <m/>
    <m/>
    <m/>
    <m/>
    <m/>
    <m/>
    <m/>
    <n v="25843"/>
    <n v="2388231.668995"/>
    <s v="EPER"/>
    <n v="7414000005"/>
  </r>
  <r>
    <x v="0"/>
    <m/>
    <x v="0"/>
    <m/>
    <m/>
    <m/>
    <m/>
    <m/>
    <m/>
    <m/>
    <m/>
    <m/>
    <m/>
    <m/>
    <n v="0"/>
    <n v="-1282.1224"/>
    <s v="EPER"/>
    <n v="7414000005"/>
  </r>
  <r>
    <x v="0"/>
    <m/>
    <x v="0"/>
    <m/>
    <m/>
    <m/>
    <m/>
    <m/>
    <m/>
    <m/>
    <m/>
    <m/>
    <m/>
    <m/>
    <n v="1660"/>
    <n v="143539.12763999999"/>
    <s v="EPER"/>
    <n v="7414000005"/>
  </r>
  <r>
    <x v="0"/>
    <m/>
    <x v="0"/>
    <m/>
    <m/>
    <m/>
    <m/>
    <m/>
    <m/>
    <m/>
    <m/>
    <m/>
    <m/>
    <m/>
    <n v="25000"/>
    <n v="2331037.42"/>
    <s v="EPER"/>
    <n v="7414000005"/>
  </r>
  <r>
    <x v="0"/>
    <m/>
    <x v="0"/>
    <m/>
    <m/>
    <m/>
    <m/>
    <m/>
    <m/>
    <m/>
    <m/>
    <m/>
    <m/>
    <m/>
    <n v="0"/>
    <n v="-1196.5837200000001"/>
    <s v="EPER"/>
    <n v="7414000005"/>
  </r>
  <r>
    <x v="0"/>
    <m/>
    <x v="0"/>
    <m/>
    <m/>
    <m/>
    <m/>
    <m/>
    <m/>
    <m/>
    <m/>
    <m/>
    <m/>
    <m/>
    <n v="0"/>
    <n v="-2693.465968"/>
    <s v="EPER"/>
    <n v="7414000005"/>
  </r>
  <r>
    <x v="0"/>
    <m/>
    <x v="0"/>
    <m/>
    <m/>
    <m/>
    <m/>
    <m/>
    <m/>
    <m/>
    <m/>
    <m/>
    <m/>
    <m/>
    <n v="0"/>
    <n v="-684.25431200000003"/>
    <s v="EPER"/>
    <n v="7414000005"/>
  </r>
  <r>
    <x v="0"/>
    <m/>
    <x v="0"/>
    <m/>
    <m/>
    <m/>
    <m/>
    <m/>
    <m/>
    <m/>
    <m/>
    <m/>
    <m/>
    <m/>
    <n v="0"/>
    <n v="-2477.0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10313.799999999999"/>
    <s v="EPER"/>
    <n v="7414000005"/>
  </r>
  <r>
    <x v="0"/>
    <m/>
    <x v="0"/>
    <m/>
    <m/>
    <m/>
    <m/>
    <m/>
    <m/>
    <m/>
    <m/>
    <m/>
    <m/>
    <m/>
    <n v="0"/>
    <n v="168.86"/>
    <s v="EPER"/>
    <n v="7414000005"/>
  </r>
  <r>
    <x v="0"/>
    <m/>
    <x v="0"/>
    <m/>
    <m/>
    <m/>
    <m/>
    <m/>
    <m/>
    <m/>
    <m/>
    <m/>
    <m/>
    <m/>
    <n v="0"/>
    <n v="-1839.43"/>
    <s v="EPER"/>
    <n v="7414000005"/>
  </r>
  <r>
    <x v="0"/>
    <m/>
    <x v="0"/>
    <m/>
    <m/>
    <m/>
    <m/>
    <m/>
    <m/>
    <m/>
    <m/>
    <m/>
    <m/>
    <m/>
    <n v="0"/>
    <n v="-139.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7.7999999999999999E-5"/>
    <s v="EPER"/>
    <n v="7414000005"/>
  </r>
  <r>
    <x v="0"/>
    <m/>
    <x v="0"/>
    <m/>
    <m/>
    <m/>
    <m/>
    <m/>
    <m/>
    <m/>
    <m/>
    <m/>
    <m/>
    <m/>
    <n v="0"/>
    <n v="-1.632E-3"/>
    <s v="EPER"/>
    <n v="7414000005"/>
  </r>
  <r>
    <x v="0"/>
    <m/>
    <x v="0"/>
    <m/>
    <m/>
    <m/>
    <m/>
    <m/>
    <m/>
    <m/>
    <m/>
    <m/>
    <m/>
    <m/>
    <n v="889529"/>
    <n v="3021527.2003879999"/>
    <s v="EPER"/>
    <n v="7414000005"/>
  </r>
  <r>
    <x v="0"/>
    <m/>
    <x v="0"/>
    <m/>
    <m/>
    <m/>
    <m/>
    <m/>
    <m/>
    <m/>
    <m/>
    <m/>
    <m/>
    <m/>
    <n v="0"/>
    <n v="-134.44999999999999"/>
    <s v="EPER"/>
    <n v="7414000005"/>
  </r>
  <r>
    <x v="0"/>
    <m/>
    <x v="0"/>
    <m/>
    <m/>
    <m/>
    <m/>
    <m/>
    <m/>
    <m/>
    <m/>
    <m/>
    <m/>
    <m/>
    <n v="0"/>
    <n v="-3450.4501500000001"/>
    <s v="EPER"/>
    <n v="7414000005"/>
  </r>
  <r>
    <x v="0"/>
    <m/>
    <x v="0"/>
    <m/>
    <m/>
    <m/>
    <m/>
    <m/>
    <m/>
    <m/>
    <m/>
    <m/>
    <m/>
    <m/>
    <n v="0"/>
    <n v="-2456.3988800000002"/>
    <s v="EPER"/>
    <n v="7414000005"/>
  </r>
  <r>
    <x v="0"/>
    <m/>
    <x v="0"/>
    <m/>
    <m/>
    <m/>
    <m/>
    <m/>
    <m/>
    <m/>
    <m/>
    <m/>
    <m/>
    <m/>
    <n v="0"/>
    <n v="-394.05964499999999"/>
    <s v="EPER"/>
    <n v="7414000005"/>
  </r>
  <r>
    <x v="0"/>
    <m/>
    <x v="0"/>
    <m/>
    <m/>
    <m/>
    <m/>
    <m/>
    <m/>
    <m/>
    <m/>
    <m/>
    <m/>
    <m/>
    <n v="0"/>
    <n v="-2622.0700879999999"/>
    <s v="EPER"/>
    <n v="7414000005"/>
  </r>
  <r>
    <x v="0"/>
    <m/>
    <x v="0"/>
    <m/>
    <m/>
    <m/>
    <m/>
    <m/>
    <m/>
    <m/>
    <m/>
    <m/>
    <m/>
    <m/>
    <n v="0"/>
    <n v="-5651.0392650000003"/>
    <s v="EPER"/>
    <n v="7414000005"/>
  </r>
  <r>
    <x v="0"/>
    <m/>
    <x v="0"/>
    <m/>
    <m/>
    <m/>
    <m/>
    <m/>
    <m/>
    <m/>
    <m/>
    <m/>
    <m/>
    <m/>
    <n v="1383"/>
    <n v="78569.899999999994"/>
    <s v="EPER"/>
    <n v="7414000005"/>
  </r>
  <r>
    <x v="0"/>
    <m/>
    <x v="0"/>
    <m/>
    <m/>
    <m/>
    <m/>
    <m/>
    <m/>
    <m/>
    <m/>
    <m/>
    <m/>
    <m/>
    <n v="0"/>
    <n v="-1068.5999999999999"/>
    <s v="EPER"/>
    <n v="7414000005"/>
  </r>
  <r>
    <x v="0"/>
    <m/>
    <x v="0"/>
    <m/>
    <m/>
    <m/>
    <m/>
    <m/>
    <m/>
    <m/>
    <m/>
    <m/>
    <m/>
    <m/>
    <n v="0"/>
    <n v="607.82000000000005"/>
    <s v="EPER"/>
    <n v="7414000005"/>
  </r>
  <r>
    <x v="0"/>
    <m/>
    <x v="0"/>
    <m/>
    <m/>
    <m/>
    <m/>
    <m/>
    <m/>
    <m/>
    <m/>
    <m/>
    <m/>
    <m/>
    <n v="3886"/>
    <n v="13199.855992000001"/>
    <s v="EPER"/>
    <n v="7414000005"/>
  </r>
  <r>
    <x v="0"/>
    <m/>
    <x v="0"/>
    <m/>
    <m/>
    <m/>
    <m/>
    <m/>
    <m/>
    <m/>
    <m/>
    <m/>
    <m/>
    <m/>
    <n v="8000411"/>
    <n v="22136193.188501999"/>
    <s v="EPER"/>
    <n v="7414000005"/>
  </r>
  <r>
    <x v="0"/>
    <m/>
    <x v="0"/>
    <m/>
    <m/>
    <m/>
    <m/>
    <m/>
    <m/>
    <m/>
    <m/>
    <m/>
    <m/>
    <m/>
    <n v="27192"/>
    <n v="98244.179352000006"/>
    <s v="EPER"/>
    <n v="7414000005"/>
  </r>
  <r>
    <x v="0"/>
    <m/>
    <x v="0"/>
    <m/>
    <m/>
    <m/>
    <m/>
    <m/>
    <m/>
    <m/>
    <m/>
    <m/>
    <m/>
    <m/>
    <n v="16219"/>
    <n v="2222763.8981659999"/>
    <s v="EPER"/>
    <n v="7414000005"/>
  </r>
  <r>
    <x v="0"/>
    <m/>
    <x v="0"/>
    <m/>
    <m/>
    <m/>
    <m/>
    <m/>
    <m/>
    <m/>
    <m/>
    <m/>
    <m/>
    <m/>
    <n v="2466349"/>
    <n v="8968868.2731040008"/>
    <s v="EPER"/>
    <n v="7414000005"/>
  </r>
  <r>
    <x v="0"/>
    <m/>
    <x v="0"/>
    <m/>
    <m/>
    <m/>
    <m/>
    <m/>
    <m/>
    <m/>
    <m/>
    <m/>
    <m/>
    <m/>
    <n v="1218943"/>
    <n v="2598181.8802720001"/>
    <s v="EPER"/>
    <n v="7414000005"/>
  </r>
  <r>
    <x v="0"/>
    <m/>
    <x v="0"/>
    <m/>
    <m/>
    <m/>
    <m/>
    <m/>
    <m/>
    <m/>
    <m/>
    <m/>
    <m/>
    <m/>
    <n v="144619"/>
    <n v="407091.63857499999"/>
    <s v="EPER"/>
    <n v="7414000005"/>
  </r>
  <r>
    <x v="0"/>
    <m/>
    <x v="0"/>
    <m/>
    <m/>
    <m/>
    <m/>
    <m/>
    <m/>
    <m/>
    <m/>
    <m/>
    <m/>
    <m/>
    <n v="20826"/>
    <n v="75243.942305999997"/>
    <s v="EPER"/>
    <n v="7414000005"/>
  </r>
  <r>
    <x v="0"/>
    <m/>
    <x v="0"/>
    <m/>
    <m/>
    <m/>
    <m/>
    <m/>
    <m/>
    <m/>
    <m/>
    <m/>
    <m/>
    <m/>
    <n v="7122"/>
    <n v="976048.12150799995"/>
    <s v="EPER"/>
    <n v="7414000005"/>
  </r>
  <r>
    <x v="0"/>
    <m/>
    <x v="0"/>
    <m/>
    <m/>
    <m/>
    <m/>
    <m/>
    <m/>
    <m/>
    <m/>
    <m/>
    <m/>
    <m/>
    <n v="1027729"/>
    <n v="3737332.3975840001"/>
    <s v="EPER"/>
    <n v="7414000005"/>
  </r>
  <r>
    <x v="0"/>
    <m/>
    <x v="0"/>
    <m/>
    <m/>
    <m/>
    <m/>
    <m/>
    <m/>
    <m/>
    <m/>
    <m/>
    <m/>
    <m/>
    <n v="565222"/>
    <n v="1204772.953888"/>
    <s v="EPER"/>
    <n v="7414000005"/>
  </r>
  <r>
    <x v="0"/>
    <m/>
    <x v="0"/>
    <m/>
    <m/>
    <m/>
    <m/>
    <m/>
    <m/>
    <m/>
    <m/>
    <m/>
    <m/>
    <m/>
    <n v="38749"/>
    <n v="109075.528825"/>
    <s v="EPER"/>
    <n v="7414000005"/>
  </r>
  <r>
    <x v="0"/>
    <m/>
    <x v="0"/>
    <m/>
    <m/>
    <m/>
    <m/>
    <m/>
    <m/>
    <m/>
    <m/>
    <m/>
    <m/>
    <m/>
    <n v="3072865"/>
    <n v="10750642.521645"/>
    <s v="EPER"/>
    <n v="7414000005"/>
  </r>
  <r>
    <x v="0"/>
    <m/>
    <x v="0"/>
    <m/>
    <m/>
    <m/>
    <m/>
    <m/>
    <m/>
    <m/>
    <m/>
    <m/>
    <m/>
    <m/>
    <n v="1131329"/>
    <n v="3958037.093516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0.0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-21725"/>
    <n v="-39978562.2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74"/>
    <n v="26757.311354000001"/>
    <s v="EPER"/>
    <n v="7414000005"/>
  </r>
  <r>
    <x v="0"/>
    <m/>
    <x v="0"/>
    <m/>
    <m/>
    <m/>
    <m/>
    <m/>
    <m/>
    <m/>
    <m/>
    <m/>
    <m/>
    <m/>
    <n v="198"/>
    <n v="133725.24"/>
    <s v="EPER"/>
    <n v="7414000005"/>
  </r>
  <r>
    <x v="0"/>
    <m/>
    <x v="0"/>
    <m/>
    <m/>
    <m/>
    <m/>
    <m/>
    <m/>
    <m/>
    <m/>
    <m/>
    <m/>
    <m/>
    <n v="46"/>
    <n v="32229.9"/>
    <s v="EPER"/>
    <n v="7414000005"/>
  </r>
  <r>
    <x v="0"/>
    <m/>
    <x v="0"/>
    <m/>
    <m/>
    <m/>
    <m/>
    <m/>
    <m/>
    <m/>
    <m/>
    <m/>
    <m/>
    <m/>
    <n v="76"/>
    <n v="87476"/>
    <s v="EPER"/>
    <n v="7414000005"/>
  </r>
  <r>
    <x v="0"/>
    <m/>
    <x v="0"/>
    <m/>
    <m/>
    <m/>
    <m/>
    <m/>
    <m/>
    <m/>
    <m/>
    <m/>
    <m/>
    <m/>
    <n v="714"/>
    <n v="70493.469186000002"/>
    <s v="EPER"/>
    <n v="7414000005"/>
  </r>
  <r>
    <x v="0"/>
    <m/>
    <x v="0"/>
    <m/>
    <m/>
    <m/>
    <m/>
    <m/>
    <m/>
    <m/>
    <m/>
    <m/>
    <m/>
    <m/>
    <n v="38"/>
    <n v="3771.4049239999999"/>
    <s v="EPER"/>
    <n v="7414000005"/>
  </r>
  <r>
    <x v="0"/>
    <m/>
    <x v="0"/>
    <m/>
    <m/>
    <m/>
    <m/>
    <m/>
    <m/>
    <m/>
    <m/>
    <m/>
    <m/>
    <m/>
    <n v="250"/>
    <n v="23743.286749999999"/>
    <s v="EPER"/>
    <n v="7414000005"/>
  </r>
  <r>
    <x v="0"/>
    <m/>
    <x v="0"/>
    <m/>
    <m/>
    <m/>
    <m/>
    <m/>
    <m/>
    <m/>
    <m/>
    <m/>
    <m/>
    <m/>
    <n v="519"/>
    <n v="47702.235098999998"/>
    <s v="EPER"/>
    <n v="7414000005"/>
  </r>
  <r>
    <x v="0"/>
    <m/>
    <x v="0"/>
    <m/>
    <m/>
    <m/>
    <m/>
    <m/>
    <m/>
    <m/>
    <m/>
    <m/>
    <m/>
    <m/>
    <n v="430"/>
    <n v="39970.436289999998"/>
    <s v="EPER"/>
    <n v="7414000005"/>
  </r>
  <r>
    <x v="0"/>
    <m/>
    <x v="0"/>
    <m/>
    <m/>
    <m/>
    <m/>
    <m/>
    <m/>
    <m/>
    <m/>
    <m/>
    <m/>
    <m/>
    <n v="1088"/>
    <n v="96503.557824000003"/>
    <s v="EPER"/>
    <n v="7414000005"/>
  </r>
  <r>
    <x v="0"/>
    <m/>
    <x v="0"/>
    <m/>
    <m/>
    <m/>
    <m/>
    <m/>
    <m/>
    <m/>
    <m/>
    <m/>
    <m/>
    <m/>
    <n v="470"/>
    <n v="43857.670239999999"/>
    <s v="EPER"/>
    <n v="7414000005"/>
  </r>
  <r>
    <x v="0"/>
    <m/>
    <x v="0"/>
    <m/>
    <m/>
    <m/>
    <m/>
    <m/>
    <m/>
    <m/>
    <m/>
    <m/>
    <m/>
    <m/>
    <n v="1980"/>
    <n v="187831.05264000001"/>
    <s v="EPER"/>
    <n v="7414000005"/>
  </r>
  <r>
    <x v="0"/>
    <m/>
    <x v="0"/>
    <m/>
    <m/>
    <m/>
    <m/>
    <m/>
    <m/>
    <m/>
    <m/>
    <m/>
    <m/>
    <m/>
    <n v="273"/>
    <n v="24430.623944999999"/>
    <s v="EPER"/>
    <n v="7414000005"/>
  </r>
  <r>
    <x v="0"/>
    <m/>
    <x v="0"/>
    <m/>
    <m/>
    <m/>
    <m/>
    <m/>
    <m/>
    <m/>
    <m/>
    <m/>
    <m/>
    <m/>
    <n v="591"/>
    <n v="50942.502648000001"/>
    <s v="EPER"/>
    <n v="7414000005"/>
  </r>
  <r>
    <x v="0"/>
    <m/>
    <x v="0"/>
    <m/>
    <m/>
    <m/>
    <m/>
    <m/>
    <m/>
    <m/>
    <m/>
    <m/>
    <m/>
    <m/>
    <n v="1890"/>
    <n v="163427.07905999999"/>
    <s v="EPER"/>
    <n v="7414000005"/>
  </r>
  <r>
    <x v="0"/>
    <m/>
    <x v="0"/>
    <m/>
    <m/>
    <m/>
    <m/>
    <m/>
    <m/>
    <m/>
    <m/>
    <m/>
    <m/>
    <m/>
    <n v="450"/>
    <n v="45652.934699999998"/>
    <s v="EPER"/>
    <n v="7414000005"/>
  </r>
  <r>
    <x v="0"/>
    <m/>
    <x v="0"/>
    <m/>
    <m/>
    <m/>
    <m/>
    <m/>
    <m/>
    <m/>
    <m/>
    <m/>
    <m/>
    <m/>
    <n v="985"/>
    <n v="88298.524420000002"/>
    <s v="EPER"/>
    <n v="7414000005"/>
  </r>
  <r>
    <x v="0"/>
    <m/>
    <x v="0"/>
    <m/>
    <m/>
    <m/>
    <m/>
    <m/>
    <m/>
    <m/>
    <m/>
    <m/>
    <m/>
    <m/>
    <n v="1049"/>
    <n v="85744.064140000002"/>
    <s v="EPER"/>
    <n v="7414000005"/>
  </r>
  <r>
    <x v="0"/>
    <m/>
    <x v="0"/>
    <m/>
    <m/>
    <m/>
    <m/>
    <m/>
    <m/>
    <m/>
    <m/>
    <m/>
    <m/>
    <m/>
    <n v="1636"/>
    <n v="134413.60785199999"/>
    <s v="EPER"/>
    <n v="7414000005"/>
  </r>
  <r>
    <x v="0"/>
    <m/>
    <x v="0"/>
    <m/>
    <m/>
    <m/>
    <m/>
    <m/>
    <m/>
    <m/>
    <m/>
    <m/>
    <m/>
    <m/>
    <n v="80"/>
    <n v="682600"/>
    <s v="EPER"/>
    <n v="7414000005"/>
  </r>
  <r>
    <x v="0"/>
    <m/>
    <x v="0"/>
    <m/>
    <m/>
    <m/>
    <m/>
    <m/>
    <m/>
    <m/>
    <m/>
    <m/>
    <m/>
    <m/>
    <n v="612"/>
    <n v="59980.794408000002"/>
    <s v="EPER"/>
    <n v="7414000005"/>
  </r>
  <r>
    <x v="0"/>
    <m/>
    <x v="0"/>
    <m/>
    <m/>
    <m/>
    <m/>
    <m/>
    <m/>
    <m/>
    <m/>
    <m/>
    <m/>
    <m/>
    <n v="259"/>
    <n v="176780.45"/>
    <s v="EPER"/>
    <n v="7414000005"/>
  </r>
  <r>
    <x v="0"/>
    <m/>
    <x v="0"/>
    <m/>
    <m/>
    <m/>
    <m/>
    <m/>
    <m/>
    <m/>
    <m/>
    <m/>
    <m/>
    <m/>
    <n v="425160"/>
    <n v="1334594.2464000001"/>
    <s v="EPER"/>
    <n v="7414000005"/>
  </r>
  <r>
    <x v="0"/>
    <m/>
    <x v="0"/>
    <m/>
    <m/>
    <m/>
    <m/>
    <m/>
    <m/>
    <m/>
    <m/>
    <m/>
    <m/>
    <m/>
    <n v="609520"/>
    <n v="2070400.4694399999"/>
    <s v="EPER"/>
    <n v="7414000005"/>
  </r>
  <r>
    <x v="0"/>
    <m/>
    <x v="0"/>
    <m/>
    <m/>
    <m/>
    <m/>
    <m/>
    <m/>
    <m/>
    <m/>
    <m/>
    <m/>
    <m/>
    <n v="31"/>
    <n v="23162.531392000001"/>
    <s v="EPER"/>
    <n v="7414000005"/>
  </r>
  <r>
    <x v="0"/>
    <m/>
    <x v="0"/>
    <m/>
    <m/>
    <m/>
    <m/>
    <m/>
    <m/>
    <m/>
    <m/>
    <m/>
    <m/>
    <m/>
    <n v="158"/>
    <n v="121015.973514"/>
    <s v="EPER"/>
    <n v="7414000005"/>
  </r>
  <r>
    <x v="0"/>
    <m/>
    <x v="0"/>
    <m/>
    <m/>
    <m/>
    <m/>
    <m/>
    <m/>
    <m/>
    <m/>
    <m/>
    <m/>
    <m/>
    <n v="50"/>
    <n v="34244.457900000001"/>
    <s v="EPER"/>
    <n v="7414000005"/>
  </r>
  <r>
    <x v="0"/>
    <m/>
    <x v="0"/>
    <m/>
    <m/>
    <m/>
    <m/>
    <m/>
    <m/>
    <m/>
    <m/>
    <m/>
    <m/>
    <m/>
    <n v="7"/>
    <n v="5410.4887550000003"/>
    <s v="EPER"/>
    <n v="7414000005"/>
  </r>
  <r>
    <x v="0"/>
    <m/>
    <x v="0"/>
    <m/>
    <m/>
    <m/>
    <m/>
    <m/>
    <m/>
    <m/>
    <m/>
    <m/>
    <m/>
    <m/>
    <n v="143"/>
    <n v="103188.03352"/>
    <s v="EPER"/>
    <n v="7414000005"/>
  </r>
  <r>
    <x v="0"/>
    <m/>
    <x v="0"/>
    <m/>
    <m/>
    <m/>
    <m/>
    <m/>
    <m/>
    <m/>
    <m/>
    <m/>
    <m/>
    <m/>
    <n v="77"/>
    <n v="48969.160163"/>
    <s v="EPER"/>
    <n v="7414000005"/>
  </r>
  <r>
    <x v="0"/>
    <m/>
    <x v="0"/>
    <m/>
    <m/>
    <m/>
    <m/>
    <m/>
    <m/>
    <m/>
    <m/>
    <m/>
    <m/>
    <m/>
    <n v="233"/>
    <n v="165283.149653"/>
    <s v="EPER"/>
    <n v="7414000005"/>
  </r>
  <r>
    <x v="0"/>
    <m/>
    <x v="0"/>
    <m/>
    <m/>
    <m/>
    <m/>
    <m/>
    <m/>
    <m/>
    <m/>
    <m/>
    <m/>
    <m/>
    <n v="378"/>
    <n v="262487.428686"/>
    <s v="EPER"/>
    <n v="7414000005"/>
  </r>
  <r>
    <x v="0"/>
    <m/>
    <x v="0"/>
    <m/>
    <m/>
    <m/>
    <m/>
    <m/>
    <m/>
    <m/>
    <m/>
    <m/>
    <m/>
    <m/>
    <n v="175"/>
    <n v="190750"/>
    <s v="EPER"/>
    <n v="7414000005"/>
  </r>
  <r>
    <x v="0"/>
    <m/>
    <x v="0"/>
    <m/>
    <m/>
    <m/>
    <m/>
    <m/>
    <m/>
    <m/>
    <m/>
    <m/>
    <m/>
    <m/>
    <n v="7000"/>
    <n v="1180480"/>
    <s v="EPER"/>
    <n v="7414000005"/>
  </r>
  <r>
    <x v="0"/>
    <m/>
    <x v="0"/>
    <m/>
    <m/>
    <m/>
    <m/>
    <m/>
    <m/>
    <m/>
    <m/>
    <m/>
    <m/>
    <m/>
    <n v="22000"/>
    <n v="260920"/>
    <s v="EPER"/>
    <n v="7414000005"/>
  </r>
  <r>
    <x v="0"/>
    <m/>
    <x v="0"/>
    <m/>
    <m/>
    <m/>
    <m/>
    <m/>
    <m/>
    <m/>
    <m/>
    <m/>
    <m/>
    <m/>
    <n v="19300"/>
    <n v="1416041"/>
    <s v="EPER"/>
    <n v="7414000005"/>
  </r>
  <r>
    <x v="0"/>
    <m/>
    <x v="0"/>
    <m/>
    <m/>
    <m/>
    <m/>
    <m/>
    <m/>
    <m/>
    <m/>
    <m/>
    <m/>
    <m/>
    <n v="295000"/>
    <n v="4460400"/>
    <s v="EPER"/>
    <n v="7414000005"/>
  </r>
  <r>
    <x v="0"/>
    <m/>
    <x v="0"/>
    <m/>
    <m/>
    <m/>
    <m/>
    <m/>
    <m/>
    <m/>
    <m/>
    <m/>
    <m/>
    <m/>
    <n v="5500"/>
    <n v="2887995"/>
    <s v="EPER"/>
    <n v="7414000005"/>
  </r>
  <r>
    <x v="0"/>
    <m/>
    <x v="0"/>
    <m/>
    <m/>
    <m/>
    <m/>
    <m/>
    <m/>
    <m/>
    <m/>
    <m/>
    <m/>
    <m/>
    <n v="12800"/>
    <n v="873600"/>
    <s v="EPER"/>
    <n v="7414000005"/>
  </r>
  <r>
    <x v="0"/>
    <m/>
    <x v="0"/>
    <m/>
    <m/>
    <m/>
    <m/>
    <m/>
    <m/>
    <m/>
    <m/>
    <m/>
    <m/>
    <m/>
    <n v="358800"/>
    <n v="5141604"/>
    <s v="EPER"/>
    <n v="7414000005"/>
  </r>
  <r>
    <x v="0"/>
    <m/>
    <x v="0"/>
    <m/>
    <m/>
    <m/>
    <m/>
    <m/>
    <m/>
    <m/>
    <m/>
    <m/>
    <m/>
    <m/>
    <n v="4144"/>
    <n v="404679.92062400002"/>
    <s v="EPER"/>
    <n v="7414000005"/>
  </r>
  <r>
    <x v="0"/>
    <m/>
    <x v="0"/>
    <m/>
    <m/>
    <m/>
    <m/>
    <m/>
    <m/>
    <m/>
    <m/>
    <m/>
    <m/>
    <m/>
    <n v="496336"/>
    <n v="4712009.4935680004"/>
    <s v="EPER"/>
    <n v="7414000005"/>
  </r>
  <r>
    <x v="0"/>
    <m/>
    <x v="0"/>
    <m/>
    <m/>
    <m/>
    <m/>
    <m/>
    <m/>
    <m/>
    <m/>
    <m/>
    <m/>
    <m/>
    <n v="7900"/>
    <n v="533550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840"/>
    <n v="1289196"/>
    <s v="EPER"/>
    <n v="7414000005"/>
  </r>
  <r>
    <x v="0"/>
    <m/>
    <x v="0"/>
    <m/>
    <m/>
    <m/>
    <m/>
    <m/>
    <m/>
    <m/>
    <m/>
    <m/>
    <m/>
    <m/>
    <n v="3240"/>
    <n v="3729240"/>
    <s v="EPER"/>
    <n v="7414000005"/>
  </r>
  <r>
    <x v="0"/>
    <m/>
    <x v="0"/>
    <m/>
    <m/>
    <m/>
    <m/>
    <m/>
    <m/>
    <m/>
    <m/>
    <m/>
    <m/>
    <m/>
    <n v="26700"/>
    <n v="5548527"/>
    <s v="EPER"/>
    <n v="7414000005"/>
  </r>
  <r>
    <x v="0"/>
    <m/>
    <x v="0"/>
    <m/>
    <m/>
    <m/>
    <m/>
    <m/>
    <m/>
    <m/>
    <m/>
    <m/>
    <m/>
    <m/>
    <n v="26"/>
    <n v="754"/>
    <s v="EPER"/>
    <n v="7414000005"/>
  </r>
  <r>
    <x v="0"/>
    <m/>
    <x v="0"/>
    <m/>
    <m/>
    <m/>
    <m/>
    <m/>
    <m/>
    <m/>
    <m/>
    <m/>
    <m/>
    <m/>
    <n v="2800"/>
    <n v="761432"/>
    <s v="EPER"/>
    <n v="7414000005"/>
  </r>
  <r>
    <x v="0"/>
    <m/>
    <x v="0"/>
    <m/>
    <m/>
    <m/>
    <m/>
    <m/>
    <m/>
    <m/>
    <m/>
    <m/>
    <m/>
    <m/>
    <n v="10000"/>
    <n v="1931500"/>
    <s v="EPER"/>
    <n v="7414000005"/>
  </r>
  <r>
    <x v="0"/>
    <m/>
    <x v="0"/>
    <m/>
    <m/>
    <m/>
    <m/>
    <m/>
    <m/>
    <m/>
    <m/>
    <m/>
    <m/>
    <m/>
    <n v="70000"/>
    <n v="1898400"/>
    <s v="EPER"/>
    <n v="7414000005"/>
  </r>
  <r>
    <x v="0"/>
    <m/>
    <x v="0"/>
    <m/>
    <m/>
    <m/>
    <m/>
    <m/>
    <m/>
    <m/>
    <m/>
    <m/>
    <m/>
    <m/>
    <n v="42000"/>
    <n v="741048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53500"/>
    <n v="5570420"/>
    <s v="EPER"/>
    <n v="7414000005"/>
  </r>
  <r>
    <x v="0"/>
    <m/>
    <x v="0"/>
    <m/>
    <m/>
    <m/>
    <m/>
    <m/>
    <m/>
    <m/>
    <m/>
    <m/>
    <m/>
    <m/>
    <n v="16870"/>
    <n v="1665580.9876300001"/>
    <s v="EPER"/>
    <n v="7414000005"/>
  </r>
  <r>
    <x v="0"/>
    <m/>
    <x v="0"/>
    <m/>
    <m/>
    <m/>
    <m/>
    <m/>
    <m/>
    <m/>
    <m/>
    <m/>
    <m/>
    <m/>
    <n v="61213"/>
    <n v="6075237.0950739998"/>
    <s v="EPER"/>
    <n v="7414000005"/>
  </r>
  <r>
    <x v="0"/>
    <m/>
    <x v="0"/>
    <m/>
    <m/>
    <m/>
    <m/>
    <m/>
    <m/>
    <m/>
    <m/>
    <m/>
    <m/>
    <m/>
    <n v="15900"/>
    <n v="1510073.0373"/>
    <s v="EPER"/>
    <n v="7414000005"/>
  </r>
  <r>
    <x v="0"/>
    <m/>
    <x v="0"/>
    <m/>
    <m/>
    <m/>
    <m/>
    <m/>
    <m/>
    <m/>
    <m/>
    <m/>
    <m/>
    <m/>
    <n v="81931"/>
    <n v="7530427.4063510001"/>
    <s v="EPER"/>
    <n v="7414000005"/>
  </r>
  <r>
    <x v="0"/>
    <m/>
    <x v="0"/>
    <m/>
    <m/>
    <m/>
    <m/>
    <m/>
    <m/>
    <m/>
    <m/>
    <m/>
    <m/>
    <m/>
    <n v="27710"/>
    <n v="2575769.27813"/>
    <s v="EPER"/>
    <n v="7414000005"/>
  </r>
  <r>
    <x v="0"/>
    <m/>
    <x v="0"/>
    <m/>
    <m/>
    <m/>
    <m/>
    <m/>
    <m/>
    <m/>
    <m/>
    <m/>
    <m/>
    <m/>
    <n v="33345"/>
    <n v="2957638.9114350001"/>
    <s v="EPER"/>
    <n v="7414000005"/>
  </r>
  <r>
    <x v="0"/>
    <m/>
    <x v="0"/>
    <m/>
    <m/>
    <m/>
    <m/>
    <m/>
    <m/>
    <m/>
    <m/>
    <m/>
    <m/>
    <m/>
    <n v="70810"/>
    <n v="6607577.9355199998"/>
    <s v="EPER"/>
    <n v="7414000005"/>
  </r>
  <r>
    <x v="0"/>
    <m/>
    <x v="0"/>
    <m/>
    <m/>
    <m/>
    <m/>
    <m/>
    <m/>
    <m/>
    <m/>
    <m/>
    <m/>
    <m/>
    <n v="15230"/>
    <n v="1444781.2786399999"/>
    <s v="EPER"/>
    <n v="7414000005"/>
  </r>
  <r>
    <x v="0"/>
    <m/>
    <x v="0"/>
    <m/>
    <m/>
    <m/>
    <m/>
    <m/>
    <m/>
    <m/>
    <m/>
    <m/>
    <m/>
    <m/>
    <n v="123071"/>
    <n v="11675765.092147"/>
    <s v="EPER"/>
    <n v="7414000005"/>
  </r>
  <r>
    <x v="0"/>
    <m/>
    <x v="0"/>
    <m/>
    <m/>
    <m/>
    <m/>
    <m/>
    <m/>
    <m/>
    <m/>
    <m/>
    <m/>
    <m/>
    <n v="57611"/>
    <n v="5155577.5681149997"/>
    <s v="EPER"/>
    <n v="7414000005"/>
  </r>
  <r>
    <x v="0"/>
    <m/>
    <x v="0"/>
    <m/>
    <m/>
    <m/>
    <m/>
    <m/>
    <m/>
    <m/>
    <m/>
    <m/>
    <m/>
    <m/>
    <n v="101568"/>
    <n v="8754869.8967039995"/>
    <s v="EPER"/>
    <n v="7414000005"/>
  </r>
  <r>
    <x v="0"/>
    <m/>
    <x v="0"/>
    <m/>
    <m/>
    <m/>
    <m/>
    <m/>
    <m/>
    <m/>
    <m/>
    <m/>
    <m/>
    <m/>
    <n v="81398"/>
    <n v="7038432.4768920001"/>
    <s v="EPER"/>
    <n v="7414000005"/>
  </r>
  <r>
    <x v="0"/>
    <m/>
    <x v="0"/>
    <m/>
    <m/>
    <m/>
    <m/>
    <m/>
    <m/>
    <m/>
    <m/>
    <m/>
    <m/>
    <m/>
    <n v="6218"/>
    <n v="630822.10658799997"/>
    <s v="EPER"/>
    <n v="7414000005"/>
  </r>
  <r>
    <x v="0"/>
    <m/>
    <x v="0"/>
    <m/>
    <m/>
    <m/>
    <m/>
    <m/>
    <m/>
    <m/>
    <m/>
    <m/>
    <m/>
    <m/>
    <n v="8901"/>
    <n v="797913.87397199997"/>
    <s v="EPER"/>
    <n v="7414000005"/>
  </r>
  <r>
    <x v="0"/>
    <m/>
    <x v="0"/>
    <m/>
    <m/>
    <m/>
    <m/>
    <m/>
    <m/>
    <m/>
    <m/>
    <m/>
    <m/>
    <m/>
    <n v="44784"/>
    <n v="3660593.1062400001"/>
    <s v="EPER"/>
    <n v="7414000005"/>
  </r>
  <r>
    <x v="0"/>
    <m/>
    <x v="0"/>
    <m/>
    <m/>
    <m/>
    <m/>
    <m/>
    <m/>
    <m/>
    <m/>
    <m/>
    <m/>
    <m/>
    <n v="25156"/>
    <n v="2092998.343716"/>
    <s v="EPER"/>
    <n v="7414000005"/>
  </r>
  <r>
    <x v="0"/>
    <m/>
    <x v="0"/>
    <m/>
    <m/>
    <m/>
    <m/>
    <m/>
    <m/>
    <m/>
    <m/>
    <m/>
    <m/>
    <m/>
    <n v="91319"/>
    <n v="7502760.5473330002"/>
    <s v="EPER"/>
    <n v="7414000005"/>
  </r>
  <r>
    <x v="0"/>
    <m/>
    <x v="0"/>
    <m/>
    <m/>
    <m/>
    <m/>
    <m/>
    <m/>
    <m/>
    <m/>
    <m/>
    <m/>
    <m/>
    <n v="4600"/>
    <n v="1446332"/>
    <s v="EPER"/>
    <n v="7414000005"/>
  </r>
  <r>
    <x v="0"/>
    <m/>
    <x v="0"/>
    <m/>
    <m/>
    <m/>
    <m/>
    <m/>
    <m/>
    <m/>
    <m/>
    <m/>
    <m/>
    <m/>
    <n v="30700"/>
    <n v="134619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3330"/>
    <n v="28413225"/>
    <s v="EPER"/>
    <n v="7414000005"/>
  </r>
  <r>
    <x v="0"/>
    <m/>
    <x v="0"/>
    <m/>
    <m/>
    <m/>
    <m/>
    <m/>
    <m/>
    <m/>
    <m/>
    <m/>
    <m/>
    <m/>
    <n v="33000"/>
    <n v="1197240"/>
    <s v="EPER"/>
    <n v="7414000005"/>
  </r>
  <r>
    <x v="0"/>
    <m/>
    <x v="0"/>
    <m/>
    <m/>
    <m/>
    <m/>
    <m/>
    <m/>
    <m/>
    <m/>
    <m/>
    <m/>
    <m/>
    <n v="4600"/>
    <n v="62721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18588"/>
    <n v="11622553.018392"/>
    <s v="EPER"/>
    <n v="7414000005"/>
  </r>
  <r>
    <x v="0"/>
    <m/>
    <x v="0"/>
    <m/>
    <m/>
    <m/>
    <m/>
    <m/>
    <m/>
    <m/>
    <m/>
    <m/>
    <m/>
    <m/>
    <n v="10700"/>
    <n v="1669200"/>
    <s v="EPER"/>
    <n v="7414000005"/>
  </r>
  <r>
    <x v="0"/>
    <m/>
    <x v="0"/>
    <m/>
    <m/>
    <m/>
    <m/>
    <m/>
    <m/>
    <m/>
    <m/>
    <m/>
    <m/>
    <m/>
    <n v="9130"/>
    <n v="6231681.5"/>
    <s v="EPER"/>
    <n v="7414000005"/>
  </r>
  <r>
    <x v="0"/>
    <m/>
    <x v="0"/>
    <m/>
    <m/>
    <m/>
    <m/>
    <m/>
    <m/>
    <m/>
    <m/>
    <m/>
    <m/>
    <m/>
    <n v="508260"/>
    <n v="1726443.33672"/>
    <s v="EPER"/>
    <n v="7414000005"/>
  </r>
  <r>
    <x v="0"/>
    <m/>
    <x v="0"/>
    <m/>
    <m/>
    <m/>
    <m/>
    <m/>
    <m/>
    <m/>
    <m/>
    <m/>
    <m/>
    <m/>
    <n v="44000"/>
    <n v="1382040"/>
    <s v="EPER"/>
    <n v="7414000005"/>
  </r>
  <r>
    <x v="0"/>
    <m/>
    <x v="0"/>
    <m/>
    <m/>
    <m/>
    <m/>
    <m/>
    <m/>
    <m/>
    <m/>
    <m/>
    <m/>
    <m/>
    <n v="6904"/>
    <n v="5355376.0974479998"/>
    <s v="EPER"/>
    <n v="7414000005"/>
  </r>
  <r>
    <x v="0"/>
    <m/>
    <x v="0"/>
    <m/>
    <m/>
    <m/>
    <m/>
    <m/>
    <m/>
    <m/>
    <m/>
    <m/>
    <m/>
    <m/>
    <n v="18689"/>
    <n v="13964017.715647999"/>
    <s v="EPER"/>
    <n v="7414000005"/>
  </r>
  <r>
    <x v="0"/>
    <m/>
    <x v="0"/>
    <m/>
    <m/>
    <m/>
    <m/>
    <m/>
    <m/>
    <m/>
    <m/>
    <m/>
    <m/>
    <m/>
    <n v="7111"/>
    <n v="5446484.7320130002"/>
    <s v="EPER"/>
    <n v="7414000005"/>
  </r>
  <r>
    <x v="0"/>
    <m/>
    <x v="0"/>
    <m/>
    <m/>
    <m/>
    <m/>
    <m/>
    <m/>
    <m/>
    <m/>
    <m/>
    <m/>
    <m/>
    <n v="9323"/>
    <n v="6385221.6200339999"/>
    <s v="EPER"/>
    <n v="7414000005"/>
  </r>
  <r>
    <x v="0"/>
    <m/>
    <x v="0"/>
    <m/>
    <m/>
    <m/>
    <m/>
    <m/>
    <m/>
    <m/>
    <m/>
    <m/>
    <m/>
    <m/>
    <n v="3822"/>
    <n v="2954126.8602300002"/>
    <s v="EPER"/>
    <n v="7414000005"/>
  </r>
  <r>
    <x v="0"/>
    <m/>
    <x v="0"/>
    <m/>
    <m/>
    <m/>
    <m/>
    <m/>
    <m/>
    <m/>
    <m/>
    <m/>
    <m/>
    <m/>
    <n v="9412"/>
    <n v="6791648.7516799998"/>
    <s v="EPER"/>
    <n v="7414000005"/>
  </r>
  <r>
    <x v="0"/>
    <m/>
    <x v="0"/>
    <m/>
    <m/>
    <m/>
    <m/>
    <m/>
    <m/>
    <m/>
    <m/>
    <m/>
    <m/>
    <m/>
    <n v="3117"/>
    <n v="1982297.041923"/>
    <s v="EPER"/>
    <n v="7414000005"/>
  </r>
  <r>
    <x v="0"/>
    <m/>
    <x v="0"/>
    <m/>
    <m/>
    <m/>
    <m/>
    <m/>
    <m/>
    <m/>
    <m/>
    <m/>
    <m/>
    <m/>
    <n v="9760"/>
    <n v="6923448.6721599996"/>
    <s v="EPER"/>
    <n v="7414000005"/>
  </r>
  <r>
    <x v="0"/>
    <m/>
    <x v="0"/>
    <m/>
    <m/>
    <m/>
    <m/>
    <m/>
    <m/>
    <m/>
    <m/>
    <m/>
    <m/>
    <m/>
    <n v="11554"/>
    <n v="8023226.8545979997"/>
    <s v="EPER"/>
    <n v="7414000005"/>
  </r>
  <r>
    <x v="0"/>
    <m/>
    <x v="0"/>
    <m/>
    <m/>
    <m/>
    <m/>
    <m/>
    <m/>
    <m/>
    <m/>
    <m/>
    <m/>
    <m/>
    <n v="35000"/>
    <n v="2053450"/>
    <s v="EPER"/>
    <n v="7414000005"/>
  </r>
  <r>
    <x v="0"/>
    <m/>
    <x v="0"/>
    <m/>
    <m/>
    <m/>
    <m/>
    <m/>
    <m/>
    <m/>
    <m/>
    <m/>
    <m/>
    <m/>
    <n v="6900"/>
    <n v="7521000"/>
    <s v="EPER"/>
    <n v="7414000005"/>
  </r>
  <r>
    <x v="0"/>
    <m/>
    <x v="0"/>
    <m/>
    <m/>
    <m/>
    <m/>
    <m/>
    <m/>
    <m/>
    <m/>
    <m/>
    <m/>
    <m/>
    <n v="77200"/>
    <n v="5038072"/>
    <s v="EPER"/>
    <n v="7414000005"/>
  </r>
  <r>
    <x v="0"/>
    <m/>
    <x v="0"/>
    <m/>
    <m/>
    <m/>
    <m/>
    <m/>
    <m/>
    <m/>
    <m/>
    <m/>
    <m/>
    <m/>
    <n v="20"/>
    <n v="35730"/>
    <s v="EPER"/>
    <n v="7414000005"/>
  </r>
  <r>
    <x v="0"/>
    <m/>
    <x v="0"/>
    <m/>
    <m/>
    <m/>
    <m/>
    <m/>
    <m/>
    <m/>
    <m/>
    <m/>
    <m/>
    <m/>
    <n v="24"/>
    <n v="2343.7061039999999"/>
    <s v="EPER"/>
    <n v="7414000005"/>
  </r>
  <r>
    <x v="0"/>
    <m/>
    <x v="0"/>
    <m/>
    <m/>
    <m/>
    <m/>
    <m/>
    <m/>
    <m/>
    <m/>
    <m/>
    <m/>
    <m/>
    <n v="11400"/>
    <n v="35785.055999999997"/>
    <s v="EPER"/>
    <n v="7414000005"/>
  </r>
  <r>
    <x v="0"/>
    <m/>
    <x v="0"/>
    <m/>
    <m/>
    <m/>
    <m/>
    <m/>
    <m/>
    <m/>
    <m/>
    <m/>
    <m/>
    <m/>
    <n v="34239"/>
    <n v="116302.076508"/>
    <s v="EPER"/>
    <n v="7414000005"/>
  </r>
  <r>
    <x v="0"/>
    <m/>
    <x v="0"/>
    <m/>
    <m/>
    <m/>
    <m/>
    <m/>
    <m/>
    <m/>
    <m/>
    <m/>
    <m/>
    <m/>
    <n v="4700"/>
    <n v="792608"/>
    <s v="EPER"/>
    <n v="7414000005"/>
  </r>
  <r>
    <x v="0"/>
    <m/>
    <x v="0"/>
    <m/>
    <m/>
    <m/>
    <m/>
    <m/>
    <m/>
    <m/>
    <m/>
    <m/>
    <m/>
    <m/>
    <n v="4520"/>
    <n v="8074980"/>
    <s v="EPER"/>
    <n v="7414000005"/>
  </r>
  <r>
    <x v="0"/>
    <m/>
    <x v="0"/>
    <m/>
    <m/>
    <m/>
    <m/>
    <m/>
    <m/>
    <m/>
    <m/>
    <m/>
    <m/>
    <m/>
    <n v="14900"/>
    <n v="176714"/>
    <s v="EPER"/>
    <n v="7414000005"/>
  </r>
  <r>
    <x v="0"/>
    <m/>
    <x v="0"/>
    <m/>
    <m/>
    <m/>
    <m/>
    <m/>
    <m/>
    <m/>
    <m/>
    <m/>
    <m/>
    <m/>
    <n v="13200"/>
    <n v="968484"/>
    <s v="EPER"/>
    <n v="7414000005"/>
  </r>
  <r>
    <x v="0"/>
    <m/>
    <x v="0"/>
    <m/>
    <m/>
    <m/>
    <m/>
    <m/>
    <m/>
    <m/>
    <m/>
    <m/>
    <m/>
    <m/>
    <n v="197000"/>
    <n v="2978640"/>
    <s v="EPER"/>
    <n v="7414000005"/>
  </r>
  <r>
    <x v="0"/>
    <m/>
    <x v="0"/>
    <m/>
    <m/>
    <m/>
    <m/>
    <m/>
    <m/>
    <m/>
    <m/>
    <m/>
    <m/>
    <m/>
    <n v="3600"/>
    <n v="1890324"/>
    <s v="EPER"/>
    <n v="7414000005"/>
  </r>
  <r>
    <x v="0"/>
    <m/>
    <x v="0"/>
    <m/>
    <m/>
    <m/>
    <m/>
    <m/>
    <m/>
    <m/>
    <m/>
    <m/>
    <m/>
    <m/>
    <n v="8500"/>
    <n v="580125"/>
    <s v="EPER"/>
    <n v="7414000005"/>
  </r>
  <r>
    <x v="0"/>
    <m/>
    <x v="0"/>
    <m/>
    <m/>
    <m/>
    <m/>
    <m/>
    <m/>
    <m/>
    <m/>
    <m/>
    <m/>
    <m/>
    <n v="238500"/>
    <n v="3417705"/>
    <s v="EPER"/>
    <n v="7414000005"/>
  </r>
  <r>
    <x v="0"/>
    <m/>
    <x v="0"/>
    <m/>
    <m/>
    <m/>
    <m/>
    <m/>
    <m/>
    <m/>
    <m/>
    <m/>
    <m/>
    <m/>
    <n v="1692"/>
    <n v="165231.28033199999"/>
    <s v="EPER"/>
    <n v="7414000005"/>
  </r>
  <r>
    <x v="0"/>
    <m/>
    <x v="0"/>
    <m/>
    <m/>
    <m/>
    <m/>
    <m/>
    <m/>
    <m/>
    <m/>
    <m/>
    <m/>
    <m/>
    <n v="359901"/>
    <n v="3416751.8147880002"/>
    <s v="EPER"/>
    <n v="7414000005"/>
  </r>
  <r>
    <x v="0"/>
    <m/>
    <x v="0"/>
    <m/>
    <m/>
    <m/>
    <m/>
    <m/>
    <m/>
    <m/>
    <m/>
    <m/>
    <m/>
    <m/>
    <n v="490130"/>
    <n v="4576913.8311900003"/>
    <s v="EPER"/>
    <n v="7414000005"/>
  </r>
  <r>
    <x v="0"/>
    <m/>
    <x v="0"/>
    <m/>
    <m/>
    <m/>
    <m/>
    <m/>
    <m/>
    <m/>
    <m/>
    <m/>
    <m/>
    <m/>
    <n v="4000"/>
    <n v="2701520"/>
    <s v="EPER"/>
    <n v="7414000005"/>
  </r>
  <r>
    <x v="0"/>
    <m/>
    <x v="0"/>
    <m/>
    <m/>
    <m/>
    <m/>
    <m/>
    <m/>
    <m/>
    <m/>
    <m/>
    <m/>
    <m/>
    <n v="890"/>
    <n v="623578.5"/>
    <s v="EPER"/>
    <n v="7414000005"/>
  </r>
  <r>
    <x v="0"/>
    <m/>
    <x v="0"/>
    <m/>
    <m/>
    <m/>
    <m/>
    <m/>
    <m/>
    <m/>
    <m/>
    <m/>
    <m/>
    <m/>
    <n v="1720"/>
    <n v="1979720"/>
    <s v="EPER"/>
    <n v="7414000005"/>
  </r>
  <r>
    <x v="0"/>
    <m/>
    <x v="0"/>
    <m/>
    <m/>
    <m/>
    <m/>
    <m/>
    <m/>
    <m/>
    <m/>
    <m/>
    <m/>
    <m/>
    <n v="17800"/>
    <n v="3699018"/>
    <s v="EPER"/>
    <n v="7414000005"/>
  </r>
  <r>
    <x v="0"/>
    <m/>
    <x v="0"/>
    <m/>
    <m/>
    <m/>
    <m/>
    <m/>
    <m/>
    <m/>
    <m/>
    <m/>
    <m/>
    <m/>
    <n v="1900"/>
    <n v="516686"/>
    <s v="EPER"/>
    <n v="7414000005"/>
  </r>
  <r>
    <x v="0"/>
    <m/>
    <x v="0"/>
    <m/>
    <m/>
    <m/>
    <m/>
    <m/>
    <m/>
    <m/>
    <m/>
    <m/>
    <m/>
    <m/>
    <n v="6000"/>
    <n v="1158900"/>
    <s v="EPER"/>
    <n v="7414000005"/>
  </r>
  <r>
    <x v="0"/>
    <m/>
    <x v="0"/>
    <m/>
    <m/>
    <m/>
    <m/>
    <m/>
    <m/>
    <m/>
    <m/>
    <m/>
    <m/>
    <m/>
    <n v="45000"/>
    <n v="1220400"/>
    <s v="EPER"/>
    <n v="7414000005"/>
  </r>
  <r>
    <x v="0"/>
    <m/>
    <x v="0"/>
    <m/>
    <m/>
    <m/>
    <m/>
    <m/>
    <m/>
    <m/>
    <m/>
    <m/>
    <m/>
    <m/>
    <n v="28100"/>
    <n v="4957964"/>
    <s v="EPER"/>
    <n v="7414000005"/>
  </r>
  <r>
    <x v="0"/>
    <m/>
    <x v="0"/>
    <m/>
    <m/>
    <m/>
    <m/>
    <m/>
    <m/>
    <m/>
    <m/>
    <m/>
    <m/>
    <m/>
    <n v="35600"/>
    <n v="3706672"/>
    <s v="EPER"/>
    <n v="7414000005"/>
  </r>
  <r>
    <x v="0"/>
    <m/>
    <x v="0"/>
    <m/>
    <m/>
    <m/>
    <m/>
    <m/>
    <m/>
    <m/>
    <m/>
    <m/>
    <m/>
    <m/>
    <n v="23840"/>
    <n v="2353731.5201599998"/>
    <s v="EPER"/>
    <n v="7414000005"/>
  </r>
  <r>
    <x v="0"/>
    <m/>
    <x v="0"/>
    <m/>
    <m/>
    <m/>
    <m/>
    <m/>
    <m/>
    <m/>
    <m/>
    <m/>
    <m/>
    <m/>
    <n v="27222"/>
    <n v="2701715.3905560002"/>
    <s v="EPER"/>
    <n v="7414000005"/>
  </r>
  <r>
    <x v="0"/>
    <m/>
    <x v="0"/>
    <m/>
    <m/>
    <m/>
    <m/>
    <m/>
    <m/>
    <m/>
    <m/>
    <m/>
    <m/>
    <m/>
    <n v="8490"/>
    <n v="806322.01803000004"/>
    <s v="EPER"/>
    <n v="7414000005"/>
  </r>
  <r>
    <x v="0"/>
    <m/>
    <x v="0"/>
    <m/>
    <m/>
    <m/>
    <m/>
    <m/>
    <m/>
    <m/>
    <m/>
    <m/>
    <m/>
    <m/>
    <n v="29069"/>
    <n v="2671784.724649"/>
    <s v="EPER"/>
    <n v="7414000005"/>
  </r>
  <r>
    <x v="0"/>
    <m/>
    <x v="0"/>
    <m/>
    <m/>
    <m/>
    <m/>
    <m/>
    <m/>
    <m/>
    <m/>
    <m/>
    <m/>
    <m/>
    <n v="14810"/>
    <n v="1376656.18943"/>
    <s v="EPER"/>
    <n v="7414000005"/>
  </r>
  <r>
    <x v="0"/>
    <m/>
    <x v="0"/>
    <m/>
    <m/>
    <m/>
    <m/>
    <m/>
    <m/>
    <m/>
    <m/>
    <m/>
    <m/>
    <m/>
    <n v="14718"/>
    <n v="1305458.974314"/>
    <s v="EPER"/>
    <n v="7414000005"/>
  </r>
  <r>
    <x v="0"/>
    <m/>
    <x v="0"/>
    <m/>
    <m/>
    <m/>
    <m/>
    <m/>
    <m/>
    <m/>
    <m/>
    <m/>
    <m/>
    <m/>
    <n v="30790"/>
    <n v="2873143.97168"/>
    <s v="EPER"/>
    <n v="7414000005"/>
  </r>
  <r>
    <x v="0"/>
    <m/>
    <x v="0"/>
    <m/>
    <m/>
    <m/>
    <m/>
    <m/>
    <m/>
    <m/>
    <m/>
    <m/>
    <m/>
    <m/>
    <n v="26160"/>
    <n v="2481646.6348799998"/>
    <s v="EPER"/>
    <n v="7414000005"/>
  </r>
  <r>
    <x v="0"/>
    <m/>
    <x v="0"/>
    <m/>
    <m/>
    <m/>
    <m/>
    <m/>
    <m/>
    <m/>
    <m/>
    <m/>
    <m/>
    <m/>
    <n v="74693"/>
    <n v="7086136.6368009998"/>
    <s v="EPER"/>
    <n v="7414000005"/>
  </r>
  <r>
    <x v="0"/>
    <m/>
    <x v="0"/>
    <m/>
    <m/>
    <m/>
    <m/>
    <m/>
    <m/>
    <m/>
    <m/>
    <m/>
    <m/>
    <m/>
    <n v="37617"/>
    <n v="3366325.204905"/>
    <s v="EPER"/>
    <n v="7414000005"/>
  </r>
  <r>
    <x v="0"/>
    <m/>
    <x v="0"/>
    <m/>
    <m/>
    <m/>
    <m/>
    <m/>
    <m/>
    <m/>
    <m/>
    <m/>
    <m/>
    <m/>
    <n v="73602"/>
    <n v="6344281.0150560001"/>
    <s v="EPER"/>
    <n v="7414000005"/>
  </r>
  <r>
    <x v="0"/>
    <m/>
    <x v="0"/>
    <m/>
    <m/>
    <m/>
    <m/>
    <m/>
    <m/>
    <m/>
    <m/>
    <m/>
    <m/>
    <m/>
    <n v="54592"/>
    <n v="4720534.9735679999"/>
    <s v="EPER"/>
    <n v="7414000005"/>
  </r>
  <r>
    <x v="0"/>
    <m/>
    <x v="0"/>
    <m/>
    <m/>
    <m/>
    <m/>
    <m/>
    <m/>
    <m/>
    <m/>
    <m/>
    <m/>
    <m/>
    <n v="2384"/>
    <n v="241859.10294400001"/>
    <s v="EPER"/>
    <n v="7414000005"/>
  </r>
  <r>
    <x v="0"/>
    <m/>
    <x v="0"/>
    <m/>
    <m/>
    <m/>
    <m/>
    <m/>
    <m/>
    <m/>
    <m/>
    <m/>
    <m/>
    <m/>
    <n v="2262"/>
    <n v="202772.855064"/>
    <s v="EPER"/>
    <n v="7414000005"/>
  </r>
  <r>
    <x v="0"/>
    <m/>
    <x v="0"/>
    <m/>
    <m/>
    <m/>
    <m/>
    <m/>
    <m/>
    <m/>
    <m/>
    <m/>
    <m/>
    <m/>
    <n v="57197"/>
    <n v="4675217.5754199997"/>
    <s v="EPER"/>
    <n v="7414000005"/>
  </r>
  <r>
    <x v="0"/>
    <m/>
    <x v="0"/>
    <m/>
    <m/>
    <m/>
    <m/>
    <m/>
    <m/>
    <m/>
    <m/>
    <m/>
    <m/>
    <m/>
    <n v="7361"/>
    <n v="612440.801721"/>
    <s v="EPER"/>
    <n v="7414000005"/>
  </r>
  <r>
    <x v="0"/>
    <m/>
    <x v="0"/>
    <m/>
    <m/>
    <m/>
    <m/>
    <m/>
    <m/>
    <m/>
    <m/>
    <m/>
    <m/>
    <m/>
    <n v="66857"/>
    <n v="5492964.902299"/>
    <s v="EPER"/>
    <n v="7414000005"/>
  </r>
  <r>
    <x v="0"/>
    <m/>
    <x v="0"/>
    <m/>
    <m/>
    <m/>
    <m/>
    <m/>
    <m/>
    <m/>
    <m/>
    <m/>
    <m/>
    <m/>
    <n v="3000"/>
    <n v="943260"/>
    <s v="EPER"/>
    <n v="7414000005"/>
  </r>
  <r>
    <x v="0"/>
    <m/>
    <x v="0"/>
    <m/>
    <m/>
    <m/>
    <m/>
    <m/>
    <m/>
    <m/>
    <m/>
    <m/>
    <m/>
    <m/>
    <n v="18200"/>
    <n v="79807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550"/>
    <n v="13225375"/>
    <s v="EPER"/>
    <n v="7414000005"/>
  </r>
  <r>
    <x v="0"/>
    <m/>
    <x v="0"/>
    <m/>
    <m/>
    <m/>
    <m/>
    <m/>
    <m/>
    <m/>
    <m/>
    <m/>
    <m/>
    <m/>
    <n v="22000"/>
    <n v="798160"/>
    <s v="EPER"/>
    <n v="7414000005"/>
  </r>
  <r>
    <x v="0"/>
    <m/>
    <x v="0"/>
    <m/>
    <m/>
    <m/>
    <m/>
    <m/>
    <m/>
    <m/>
    <m/>
    <m/>
    <m/>
    <m/>
    <n v="2900"/>
    <n v="395415"/>
    <s v="EPER"/>
    <n v="7414000005"/>
  </r>
  <r>
    <x v="0"/>
    <m/>
    <x v="0"/>
    <m/>
    <m/>
    <m/>
    <m/>
    <m/>
    <m/>
    <m/>
    <m/>
    <m/>
    <m/>
    <m/>
    <n v="63259"/>
    <n v="6199877.571006"/>
    <s v="EPER"/>
    <n v="7414000005"/>
  </r>
  <r>
    <x v="0"/>
    <m/>
    <x v="0"/>
    <m/>
    <m/>
    <m/>
    <m/>
    <m/>
    <m/>
    <m/>
    <m/>
    <m/>
    <m/>
    <m/>
    <n v="6800"/>
    <n v="1060800"/>
    <s v="EPER"/>
    <n v="7414000005"/>
  </r>
  <r>
    <x v="0"/>
    <m/>
    <x v="0"/>
    <m/>
    <m/>
    <m/>
    <m/>
    <m/>
    <m/>
    <m/>
    <m/>
    <m/>
    <m/>
    <m/>
    <n v="6194"/>
    <n v="4227714.7"/>
    <s v="EPER"/>
    <n v="7414000005"/>
  </r>
  <r>
    <x v="0"/>
    <m/>
    <x v="0"/>
    <m/>
    <m/>
    <m/>
    <m/>
    <m/>
    <m/>
    <m/>
    <m/>
    <m/>
    <m/>
    <m/>
    <n v="2407062"/>
    <n v="8176240.8038640004"/>
    <s v="EPER"/>
    <n v="7414000005"/>
  </r>
  <r>
    <x v="0"/>
    <m/>
    <x v="0"/>
    <m/>
    <m/>
    <m/>
    <m/>
    <m/>
    <m/>
    <m/>
    <m/>
    <m/>
    <m/>
    <m/>
    <n v="28000"/>
    <n v="879480"/>
    <s v="EPER"/>
    <n v="7414000005"/>
  </r>
  <r>
    <x v="0"/>
    <m/>
    <x v="0"/>
    <m/>
    <m/>
    <m/>
    <m/>
    <m/>
    <m/>
    <m/>
    <m/>
    <m/>
    <m/>
    <m/>
    <n v="5030"/>
    <n v="3901729.6886100001"/>
    <s v="EPER"/>
    <n v="7414000005"/>
  </r>
  <r>
    <x v="0"/>
    <m/>
    <x v="0"/>
    <m/>
    <m/>
    <m/>
    <m/>
    <m/>
    <m/>
    <m/>
    <m/>
    <m/>
    <m/>
    <m/>
    <n v="10032"/>
    <n v="7495694.0298239999"/>
    <s v="EPER"/>
    <n v="7414000005"/>
  </r>
  <r>
    <x v="0"/>
    <m/>
    <x v="0"/>
    <m/>
    <m/>
    <m/>
    <m/>
    <m/>
    <m/>
    <m/>
    <m/>
    <m/>
    <m/>
    <m/>
    <n v="1902"/>
    <n v="1456787.2254659999"/>
    <s v="EPER"/>
    <n v="7414000005"/>
  </r>
  <r>
    <x v="0"/>
    <m/>
    <x v="0"/>
    <m/>
    <m/>
    <m/>
    <m/>
    <m/>
    <m/>
    <m/>
    <m/>
    <m/>
    <m/>
    <m/>
    <n v="5656"/>
    <n v="3873733.0776479999"/>
    <s v="EPER"/>
    <n v="7414000005"/>
  </r>
  <r>
    <x v="0"/>
    <m/>
    <x v="0"/>
    <m/>
    <m/>
    <m/>
    <m/>
    <m/>
    <m/>
    <m/>
    <m/>
    <m/>
    <m/>
    <m/>
    <n v="3325"/>
    <n v="2569982.1586250002"/>
    <s v="EPER"/>
    <n v="7414000005"/>
  </r>
  <r>
    <x v="0"/>
    <m/>
    <x v="0"/>
    <m/>
    <m/>
    <m/>
    <m/>
    <m/>
    <m/>
    <m/>
    <m/>
    <m/>
    <m/>
    <m/>
    <n v="3866"/>
    <n v="2789684.87824"/>
    <s v="EPER"/>
    <n v="7414000005"/>
  </r>
  <r>
    <x v="0"/>
    <m/>
    <x v="0"/>
    <m/>
    <m/>
    <m/>
    <m/>
    <m/>
    <m/>
    <m/>
    <m/>
    <m/>
    <m/>
    <m/>
    <n v="1894"/>
    <n v="1204514.147386"/>
    <s v="EPER"/>
    <n v="7414000005"/>
  </r>
  <r>
    <x v="0"/>
    <m/>
    <x v="0"/>
    <m/>
    <m/>
    <m/>
    <m/>
    <m/>
    <m/>
    <m/>
    <m/>
    <m/>
    <m/>
    <m/>
    <n v="4441"/>
    <n v="3150311.019781"/>
    <s v="EPER"/>
    <n v="7414000005"/>
  </r>
  <r>
    <x v="0"/>
    <m/>
    <x v="0"/>
    <m/>
    <m/>
    <m/>
    <m/>
    <m/>
    <m/>
    <m/>
    <m/>
    <m/>
    <m/>
    <m/>
    <n v="7642"/>
    <n v="5306690.2910540001"/>
    <s v="EPER"/>
    <n v="7414000005"/>
  </r>
  <r>
    <x v="0"/>
    <m/>
    <x v="0"/>
    <m/>
    <m/>
    <m/>
    <m/>
    <m/>
    <m/>
    <m/>
    <m/>
    <m/>
    <m/>
    <m/>
    <n v="22000"/>
    <n v="1290740"/>
    <s v="EPER"/>
    <n v="7414000005"/>
  </r>
  <r>
    <x v="0"/>
    <m/>
    <x v="0"/>
    <m/>
    <m/>
    <m/>
    <m/>
    <m/>
    <m/>
    <m/>
    <m/>
    <m/>
    <m/>
    <m/>
    <n v="3440"/>
    <n v="3749600"/>
    <s v="EPER"/>
    <n v="7414000005"/>
  </r>
  <r>
    <x v="0"/>
    <m/>
    <x v="0"/>
    <m/>
    <m/>
    <m/>
    <m/>
    <m/>
    <m/>
    <m/>
    <m/>
    <m/>
    <m/>
    <m/>
    <n v="51500"/>
    <n v="3360890"/>
    <s v="EPER"/>
    <n v="7414000005"/>
  </r>
  <r>
    <x v="0"/>
    <m/>
    <x v="0"/>
    <m/>
    <m/>
    <m/>
    <m/>
    <m/>
    <m/>
    <m/>
    <m/>
    <m/>
    <m/>
    <m/>
    <n v="500000"/>
    <n v="4807076"/>
    <s v="EPER"/>
    <n v="7414000005"/>
  </r>
  <r>
    <x v="0"/>
    <m/>
    <x v="0"/>
    <m/>
    <m/>
    <m/>
    <m/>
    <m/>
    <m/>
    <m/>
    <m/>
    <m/>
    <m/>
    <m/>
    <n v="31388"/>
    <n v="297984.74014399998"/>
    <s v="EPER"/>
    <n v="7414000005"/>
  </r>
  <r>
    <x v="0"/>
    <m/>
    <x v="0"/>
    <m/>
    <m/>
    <m/>
    <m/>
    <m/>
    <m/>
    <m/>
    <m/>
    <m/>
    <m/>
    <m/>
    <n v="152677"/>
    <n v="1425722.7123509999"/>
    <s v="EPER"/>
    <n v="7414000005"/>
  </r>
  <r>
    <x v="0"/>
    <m/>
    <x v="0"/>
    <m/>
    <m/>
    <m/>
    <m/>
    <m/>
    <m/>
    <m/>
    <m/>
    <m/>
    <m/>
    <m/>
    <n v="156950"/>
    <n v="1442392.0021500001"/>
    <s v="EPER"/>
    <n v="7414000005"/>
  </r>
  <r>
    <x v="0"/>
    <m/>
    <x v="0"/>
    <m/>
    <m/>
    <m/>
    <m/>
    <m/>
    <m/>
    <m/>
    <m/>
    <m/>
    <m/>
    <m/>
    <n v="34040"/>
    <n v="306742.88192000001"/>
    <s v="EPER"/>
    <n v="7414000005"/>
  </r>
  <r>
    <x v="0"/>
    <m/>
    <x v="0"/>
    <m/>
    <m/>
    <m/>
    <m/>
    <m/>
    <m/>
    <m/>
    <m/>
    <m/>
    <m/>
    <m/>
    <n v="64300"/>
    <n v="530993.5794999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930000"/>
    <n v="8848810.6799999997"/>
    <s v="EPER"/>
    <n v="7414000005"/>
  </r>
  <r>
    <x v="0"/>
    <m/>
    <x v="0"/>
    <m/>
    <m/>
    <m/>
    <m/>
    <m/>
    <m/>
    <m/>
    <m/>
    <m/>
    <m/>
    <m/>
    <n v="3551953"/>
    <n v="12065174.495716"/>
    <s v="EPER"/>
    <n v="7414000005"/>
  </r>
  <r>
    <x v="0"/>
    <m/>
    <x v="0"/>
    <m/>
    <m/>
    <m/>
    <m/>
    <m/>
    <m/>
    <m/>
    <m/>
    <m/>
    <m/>
    <m/>
    <n v="4000"/>
    <n v="4.0000000000000001E-3"/>
    <s v="EPER"/>
    <n v="7414000005"/>
  </r>
  <r>
    <x v="0"/>
    <m/>
    <x v="0"/>
    <m/>
    <m/>
    <m/>
    <m/>
    <m/>
    <m/>
    <m/>
    <m/>
    <m/>
    <m/>
    <m/>
    <n v="67"/>
    <n v="3698.4"/>
    <s v="EPER"/>
    <n v="7414000005"/>
  </r>
  <r>
    <x v="0"/>
    <m/>
    <x v="0"/>
    <m/>
    <m/>
    <m/>
    <m/>
    <m/>
    <m/>
    <m/>
    <m/>
    <m/>
    <m/>
    <m/>
    <n v="75420"/>
    <n v="12218040"/>
    <s v="EPER"/>
    <n v="7414000005"/>
  </r>
  <r>
    <x v="0"/>
    <m/>
    <x v="0"/>
    <m/>
    <m/>
    <m/>
    <m/>
    <m/>
    <m/>
    <m/>
    <m/>
    <m/>
    <m/>
    <m/>
    <n v="154874"/>
    <n v="485882.01860200003"/>
    <s v="EPER"/>
    <n v="7414000005"/>
  </r>
  <r>
    <x v="0"/>
    <m/>
    <x v="0"/>
    <m/>
    <m/>
    <m/>
    <m/>
    <m/>
    <m/>
    <m/>
    <m/>
    <m/>
    <m/>
    <m/>
    <n v="1042"/>
    <n v="1.042E-3"/>
    <s v="EPER"/>
    <n v="7414000005"/>
  </r>
  <r>
    <x v="0"/>
    <m/>
    <x v="0"/>
    <m/>
    <m/>
    <m/>
    <m/>
    <m/>
    <m/>
    <m/>
    <m/>
    <m/>
    <m/>
    <m/>
    <n v="10"/>
    <n v="1686.4"/>
    <s v="EPER"/>
    <n v="7414000005"/>
  </r>
  <r>
    <x v="0"/>
    <m/>
    <x v="0"/>
    <m/>
    <m/>
    <m/>
    <m/>
    <m/>
    <m/>
    <m/>
    <m/>
    <m/>
    <m/>
    <m/>
    <n v="31"/>
    <n v="367.66"/>
    <s v="EPER"/>
    <n v="7414000005"/>
  </r>
  <r>
    <x v="0"/>
    <m/>
    <x v="0"/>
    <m/>
    <m/>
    <m/>
    <m/>
    <m/>
    <m/>
    <m/>
    <m/>
    <m/>
    <m/>
    <m/>
    <n v="27"/>
    <n v="1980.99"/>
    <s v="EPER"/>
    <n v="7414000005"/>
  </r>
  <r>
    <x v="0"/>
    <m/>
    <x v="0"/>
    <m/>
    <m/>
    <m/>
    <m/>
    <m/>
    <m/>
    <m/>
    <m/>
    <m/>
    <m/>
    <m/>
    <n v="401"/>
    <n v="6063.12"/>
    <s v="EPER"/>
    <n v="7414000005"/>
  </r>
  <r>
    <x v="0"/>
    <m/>
    <x v="0"/>
    <m/>
    <m/>
    <m/>
    <m/>
    <m/>
    <m/>
    <m/>
    <m/>
    <m/>
    <m/>
    <m/>
    <n v="8"/>
    <n v="4200.72"/>
    <s v="EPER"/>
    <n v="7414000005"/>
  </r>
  <r>
    <x v="0"/>
    <m/>
    <x v="0"/>
    <m/>
    <m/>
    <m/>
    <m/>
    <m/>
    <m/>
    <m/>
    <m/>
    <m/>
    <m/>
    <m/>
    <n v="18"/>
    <n v="1228.5"/>
    <s v="EPER"/>
    <n v="7414000005"/>
  </r>
  <r>
    <x v="0"/>
    <m/>
    <x v="0"/>
    <m/>
    <m/>
    <m/>
    <m/>
    <m/>
    <m/>
    <m/>
    <m/>
    <m/>
    <m/>
    <m/>
    <n v="493"/>
    <n v="7064.69"/>
    <s v="EPER"/>
    <n v="7414000005"/>
  </r>
  <r>
    <x v="0"/>
    <m/>
    <x v="0"/>
    <m/>
    <m/>
    <m/>
    <m/>
    <m/>
    <m/>
    <m/>
    <m/>
    <m/>
    <m/>
    <m/>
    <n v="109"/>
    <n v="1.0900000000000001E-4"/>
    <s v="EPER"/>
    <n v="7414000005"/>
  </r>
  <r>
    <x v="0"/>
    <m/>
    <x v="0"/>
    <m/>
    <m/>
    <m/>
    <m/>
    <m/>
    <m/>
    <m/>
    <m/>
    <m/>
    <m/>
    <m/>
    <n v="37"/>
    <n v="7688.97"/>
    <s v="EPER"/>
    <n v="7414000005"/>
  </r>
  <r>
    <x v="0"/>
    <m/>
    <x v="0"/>
    <m/>
    <m/>
    <m/>
    <m/>
    <m/>
    <m/>
    <m/>
    <m/>
    <m/>
    <m/>
    <m/>
    <n v="4"/>
    <n v="1087.76"/>
    <s v="EPER"/>
    <n v="7414000005"/>
  </r>
  <r>
    <x v="0"/>
    <m/>
    <x v="0"/>
    <m/>
    <m/>
    <m/>
    <m/>
    <m/>
    <m/>
    <m/>
    <m/>
    <m/>
    <m/>
    <m/>
    <n v="13"/>
    <n v="2510.9499999999998"/>
    <s v="EPER"/>
    <n v="7414000005"/>
  </r>
  <r>
    <x v="0"/>
    <m/>
    <x v="0"/>
    <m/>
    <m/>
    <m/>
    <m/>
    <m/>
    <m/>
    <m/>
    <m/>
    <m/>
    <m/>
    <m/>
    <n v="91"/>
    <n v="2467.92"/>
    <s v="EPER"/>
    <n v="7414000005"/>
  </r>
  <r>
    <x v="0"/>
    <m/>
    <x v="0"/>
    <m/>
    <m/>
    <m/>
    <m/>
    <m/>
    <m/>
    <m/>
    <m/>
    <m/>
    <m/>
    <m/>
    <n v="58"/>
    <n v="10233.52"/>
    <s v="EPER"/>
    <n v="7414000005"/>
  </r>
  <r>
    <x v="0"/>
    <m/>
    <x v="0"/>
    <m/>
    <m/>
    <m/>
    <m/>
    <m/>
    <m/>
    <m/>
    <m/>
    <m/>
    <m/>
    <m/>
    <n v="74"/>
    <n v="7704.88"/>
    <s v="EPER"/>
    <n v="7414000005"/>
  </r>
  <r>
    <x v="0"/>
    <m/>
    <x v="0"/>
    <m/>
    <m/>
    <m/>
    <m/>
    <m/>
    <m/>
    <m/>
    <m/>
    <m/>
    <m/>
    <m/>
    <n v="6"/>
    <n v="1886.52"/>
    <s v="EPER"/>
    <n v="7414000005"/>
  </r>
  <r>
    <x v="0"/>
    <m/>
    <x v="0"/>
    <m/>
    <m/>
    <m/>
    <m/>
    <m/>
    <m/>
    <m/>
    <m/>
    <m/>
    <m/>
    <m/>
    <n v="41"/>
    <n v="1797.8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45"/>
    <n v="1632.6"/>
    <s v="EPER"/>
    <n v="7414000005"/>
  </r>
  <r>
    <x v="0"/>
    <m/>
    <x v="0"/>
    <m/>
    <m/>
    <m/>
    <m/>
    <m/>
    <m/>
    <m/>
    <m/>
    <m/>
    <m/>
    <m/>
    <n v="6"/>
    <n v="818.1"/>
    <s v="EPER"/>
    <n v="7414000005"/>
  </r>
  <r>
    <x v="0"/>
    <m/>
    <x v="0"/>
    <m/>
    <m/>
    <m/>
    <m/>
    <m/>
    <m/>
    <m/>
    <m/>
    <m/>
    <m/>
    <m/>
    <n v="14"/>
    <n v="2184"/>
    <s v="EPER"/>
    <n v="7414000005"/>
  </r>
  <r>
    <x v="0"/>
    <m/>
    <x v="0"/>
    <m/>
    <m/>
    <m/>
    <m/>
    <m/>
    <m/>
    <m/>
    <m/>
    <m/>
    <m/>
    <m/>
    <n v="82879"/>
    <n v="291916.74531600002"/>
    <s v="EPER"/>
    <n v="7414000005"/>
  </r>
  <r>
    <x v="0"/>
    <m/>
    <x v="0"/>
    <m/>
    <m/>
    <m/>
    <m/>
    <m/>
    <m/>
    <m/>
    <m/>
    <m/>
    <m/>
    <m/>
    <n v="58"/>
    <n v="1821.78"/>
    <s v="EPER"/>
    <n v="7414000005"/>
  </r>
  <r>
    <x v="0"/>
    <m/>
    <x v="0"/>
    <m/>
    <m/>
    <m/>
    <m/>
    <m/>
    <m/>
    <m/>
    <m/>
    <m/>
    <m/>
    <m/>
    <n v="46"/>
    <n v="2698.82"/>
    <s v="EPER"/>
    <n v="7414000005"/>
  </r>
  <r>
    <x v="0"/>
    <m/>
    <x v="0"/>
    <m/>
    <m/>
    <m/>
    <m/>
    <m/>
    <m/>
    <m/>
    <m/>
    <m/>
    <m/>
    <m/>
    <n v="105"/>
    <n v="6852.3"/>
    <s v="EPER"/>
    <n v="7414000005"/>
  </r>
  <r>
    <x v="0"/>
    <m/>
    <x v="0"/>
    <m/>
    <m/>
    <m/>
    <m/>
    <m/>
    <m/>
    <m/>
    <m/>
    <m/>
    <m/>
    <m/>
    <n v="4300"/>
    <n v="4.3E-3"/>
    <s v="EPER"/>
    <n v="7414000005"/>
  </r>
  <r>
    <x v="0"/>
    <m/>
    <x v="0"/>
    <m/>
    <m/>
    <m/>
    <m/>
    <m/>
    <m/>
    <m/>
    <m/>
    <m/>
    <m/>
    <m/>
    <n v="103815"/>
    <n v="352635.88517999998"/>
    <s v="EPER"/>
    <n v="7414000005"/>
  </r>
  <r>
    <x v="0"/>
    <m/>
    <x v="0"/>
    <m/>
    <m/>
    <m/>
    <m/>
    <m/>
    <m/>
    <m/>
    <m/>
    <m/>
    <m/>
    <m/>
    <n v="1405059"/>
    <n v="5071717.8271080004"/>
    <s v="EPER"/>
    <n v="7414000005"/>
  </r>
  <r>
    <x v="0"/>
    <m/>
    <x v="0"/>
    <m/>
    <m/>
    <m/>
    <m/>
    <m/>
    <m/>
    <m/>
    <m/>
    <m/>
    <m/>
    <m/>
    <n v="595924"/>
    <n v="1648851.388968"/>
    <s v="EPER"/>
    <n v="7414000005"/>
  </r>
  <r>
    <x v="0"/>
    <m/>
    <x v="0"/>
    <m/>
    <m/>
    <m/>
    <m/>
    <m/>
    <m/>
    <m/>
    <m/>
    <m/>
    <m/>
    <m/>
    <n v="5910"/>
    <n v="583496.36259000003"/>
    <s v="EPER"/>
    <n v="7414000005"/>
  </r>
  <r>
    <x v="0"/>
    <m/>
    <x v="0"/>
    <m/>
    <m/>
    <m/>
    <m/>
    <m/>
    <m/>
    <m/>
    <m/>
    <m/>
    <m/>
    <m/>
    <n v="1120"/>
    <n v="111157.19776"/>
    <s v="EPER"/>
    <n v="7414000005"/>
  </r>
  <r>
    <x v="0"/>
    <m/>
    <x v="0"/>
    <m/>
    <m/>
    <m/>
    <m/>
    <m/>
    <m/>
    <m/>
    <m/>
    <m/>
    <m/>
    <m/>
    <n v="10000"/>
    <n v="949731.47"/>
    <s v="EPER"/>
    <n v="7414000005"/>
  </r>
  <r>
    <x v="0"/>
    <m/>
    <x v="0"/>
    <m/>
    <m/>
    <m/>
    <m/>
    <m/>
    <m/>
    <m/>
    <m/>
    <m/>
    <m/>
    <m/>
    <n v="25555"/>
    <n v="2348806.5856550001"/>
    <s v="EPER"/>
    <n v="7414000005"/>
  </r>
  <r>
    <x v="0"/>
    <m/>
    <x v="0"/>
    <m/>
    <m/>
    <m/>
    <m/>
    <m/>
    <m/>
    <m/>
    <m/>
    <m/>
    <m/>
    <m/>
    <n v="2010"/>
    <n v="178283.22722999999"/>
    <s v="EPER"/>
    <n v="7414000005"/>
  </r>
  <r>
    <x v="0"/>
    <m/>
    <x v="0"/>
    <m/>
    <m/>
    <m/>
    <m/>
    <m/>
    <m/>
    <m/>
    <m/>
    <m/>
    <m/>
    <m/>
    <n v="20130"/>
    <n v="1878414.68496"/>
    <s v="EPER"/>
    <n v="7414000005"/>
  </r>
  <r>
    <x v="0"/>
    <m/>
    <x v="0"/>
    <m/>
    <m/>
    <m/>
    <m/>
    <m/>
    <m/>
    <m/>
    <m/>
    <m/>
    <m/>
    <m/>
    <n v="980"/>
    <n v="92972.753859999997"/>
    <s v="EPER"/>
    <n v="7414000005"/>
  </r>
  <r>
    <x v="0"/>
    <m/>
    <x v="0"/>
    <m/>
    <m/>
    <m/>
    <m/>
    <m/>
    <m/>
    <m/>
    <m/>
    <m/>
    <m/>
    <m/>
    <n v="15123"/>
    <n v="1353349.1791950001"/>
    <s v="EPER"/>
    <n v="7414000005"/>
  </r>
  <r>
    <x v="0"/>
    <m/>
    <x v="0"/>
    <m/>
    <m/>
    <m/>
    <m/>
    <m/>
    <m/>
    <m/>
    <m/>
    <m/>
    <m/>
    <m/>
    <n v="2735"/>
    <n v="236493.68319000001"/>
    <s v="EPER"/>
    <n v="7414000005"/>
  </r>
  <r>
    <x v="0"/>
    <m/>
    <x v="0"/>
    <m/>
    <m/>
    <m/>
    <m/>
    <m/>
    <m/>
    <m/>
    <m/>
    <m/>
    <m/>
    <m/>
    <n v="950"/>
    <n v="96378.417700000005"/>
    <s v="EPER"/>
    <n v="7414000005"/>
  </r>
  <r>
    <x v="0"/>
    <m/>
    <x v="0"/>
    <m/>
    <m/>
    <m/>
    <m/>
    <m/>
    <m/>
    <m/>
    <m/>
    <m/>
    <m/>
    <m/>
    <n v="605"/>
    <n v="54234.119059999997"/>
    <s v="EPER"/>
    <n v="7414000005"/>
  </r>
  <r>
    <x v="0"/>
    <m/>
    <x v="0"/>
    <m/>
    <m/>
    <m/>
    <m/>
    <m/>
    <m/>
    <m/>
    <m/>
    <m/>
    <m/>
    <m/>
    <n v="1843"/>
    <n v="150644.71898000001"/>
    <s v="EPER"/>
    <n v="7414000005"/>
  </r>
  <r>
    <x v="0"/>
    <m/>
    <x v="0"/>
    <m/>
    <m/>
    <m/>
    <m/>
    <m/>
    <m/>
    <m/>
    <m/>
    <m/>
    <m/>
    <m/>
    <n v="85"/>
    <n v="7072.0646850000003"/>
    <s v="EPER"/>
    <n v="7414000005"/>
  </r>
  <r>
    <x v="0"/>
    <m/>
    <x v="0"/>
    <m/>
    <m/>
    <m/>
    <m/>
    <m/>
    <m/>
    <m/>
    <m/>
    <m/>
    <m/>
    <m/>
    <n v="10000"/>
    <n v="980078.34"/>
    <s v="EPER"/>
    <n v="7414000005"/>
  </r>
  <r>
    <x v="0"/>
    <m/>
    <x v="0"/>
    <m/>
    <m/>
    <m/>
    <m/>
    <m/>
    <m/>
    <m/>
    <m/>
    <m/>
    <m/>
    <m/>
    <n v="15736059"/>
    <n v="53451804.601548001"/>
    <s v="EPER"/>
    <n v="7414000005"/>
  </r>
  <r>
    <x v="0"/>
    <m/>
    <x v="0"/>
    <m/>
    <m/>
    <m/>
    <m/>
    <m/>
    <m/>
    <m/>
    <m/>
    <m/>
    <m/>
    <m/>
    <n v="4763003"/>
    <n v="13261272.027674999"/>
    <s v="EPER"/>
    <n v="7414000005"/>
  </r>
  <r>
    <x v="0"/>
    <m/>
    <x v="0"/>
    <m/>
    <m/>
    <m/>
    <m/>
    <m/>
    <m/>
    <m/>
    <m/>
    <m/>
    <m/>
    <m/>
    <n v="564"/>
    <n v="144412.26486"/>
    <s v="EPER"/>
    <n v="7414000005"/>
  </r>
  <r>
    <x v="0"/>
    <m/>
    <x v="0"/>
    <m/>
    <m/>
    <m/>
    <m/>
    <m/>
    <m/>
    <m/>
    <m/>
    <m/>
    <m/>
    <m/>
    <n v="1840"/>
    <n v="1427272.8880799999"/>
    <s v="EPER"/>
    <n v="7414000005"/>
  </r>
  <r>
    <x v="0"/>
    <m/>
    <x v="0"/>
    <m/>
    <m/>
    <m/>
    <m/>
    <m/>
    <m/>
    <m/>
    <m/>
    <m/>
    <m/>
    <m/>
    <n v="1540"/>
    <n v="1150654.78528"/>
    <s v="EPER"/>
    <n v="7414000005"/>
  </r>
  <r>
    <x v="0"/>
    <m/>
    <x v="0"/>
    <m/>
    <m/>
    <m/>
    <m/>
    <m/>
    <m/>
    <m/>
    <m/>
    <m/>
    <m/>
    <m/>
    <n v="2320"/>
    <n v="1776943.4085599999"/>
    <s v="EPER"/>
    <n v="7414000005"/>
  </r>
  <r>
    <x v="0"/>
    <m/>
    <x v="0"/>
    <m/>
    <m/>
    <m/>
    <m/>
    <m/>
    <m/>
    <m/>
    <m/>
    <m/>
    <m/>
    <m/>
    <n v="570"/>
    <n v="390386.82006"/>
    <s v="EPER"/>
    <n v="7414000005"/>
  </r>
  <r>
    <x v="0"/>
    <m/>
    <x v="0"/>
    <m/>
    <m/>
    <m/>
    <m/>
    <m/>
    <m/>
    <m/>
    <m/>
    <m/>
    <m/>
    <m/>
    <n v="408"/>
    <n v="315354.20172000001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867"/>
    <n v="1823306.262173"/>
    <s v="EPER"/>
    <n v="7414000005"/>
  </r>
  <r>
    <x v="0"/>
    <m/>
    <x v="0"/>
    <m/>
    <m/>
    <m/>
    <m/>
    <m/>
    <m/>
    <m/>
    <m/>
    <m/>
    <m/>
    <m/>
    <n v="872"/>
    <n v="618570.41415199998"/>
    <s v="EPER"/>
    <n v="7414000005"/>
  </r>
  <r>
    <x v="0"/>
    <m/>
    <x v="0"/>
    <m/>
    <m/>
    <m/>
    <m/>
    <m/>
    <m/>
    <m/>
    <m/>
    <m/>
    <m/>
    <m/>
    <n v="3237"/>
    <n v="2247809.01231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65"/>
    <n v="116122.5"/>
    <s v="EPER"/>
    <n v="7414000005"/>
  </r>
  <r>
    <x v="0"/>
    <m/>
    <x v="0"/>
    <m/>
    <m/>
    <m/>
    <m/>
    <m/>
    <m/>
    <m/>
    <m/>
    <m/>
    <m/>
    <m/>
    <n v="10"/>
    <n v="976.54421000000002"/>
    <s v="EPER"/>
    <n v="7414000005"/>
  </r>
  <r>
    <x v="0"/>
    <m/>
    <x v="0"/>
    <m/>
    <m/>
    <m/>
    <m/>
    <m/>
    <m/>
    <m/>
    <m/>
    <m/>
    <m/>
    <m/>
    <n v="1149"/>
    <n v="10908.132611999999"/>
    <s v="EPER"/>
    <n v="7414000005"/>
  </r>
  <r>
    <x v="0"/>
    <m/>
    <x v="0"/>
    <m/>
    <m/>
    <m/>
    <m/>
    <m/>
    <m/>
    <m/>
    <m/>
    <m/>
    <m/>
    <m/>
    <n v="1600"/>
    <n v="14941.060799999999"/>
    <s v="EPER"/>
    <n v="7414000005"/>
  </r>
  <r>
    <x v="0"/>
    <m/>
    <x v="0"/>
    <m/>
    <m/>
    <m/>
    <m/>
    <m/>
    <m/>
    <m/>
    <m/>
    <m/>
    <m/>
    <m/>
    <n v="13"/>
    <n v="1283.494537"/>
    <s v="EPER"/>
    <n v="7414000005"/>
  </r>
  <r>
    <x v="0"/>
    <m/>
    <x v="0"/>
    <m/>
    <m/>
    <m/>
    <m/>
    <m/>
    <m/>
    <m/>
    <m/>
    <m/>
    <m/>
    <m/>
    <n v="70"/>
    <n v="6947.3248599999997"/>
    <s v="EPER"/>
    <n v="7414000005"/>
  </r>
  <r>
    <x v="0"/>
    <m/>
    <x v="0"/>
    <m/>
    <m/>
    <m/>
    <m/>
    <m/>
    <m/>
    <m/>
    <m/>
    <m/>
    <m/>
    <m/>
    <n v="20"/>
    <n v="1899.4629399999999"/>
    <s v="EPER"/>
    <n v="7414000005"/>
  </r>
  <r>
    <x v="0"/>
    <m/>
    <x v="0"/>
    <m/>
    <m/>
    <m/>
    <m/>
    <m/>
    <m/>
    <m/>
    <m/>
    <m/>
    <m/>
    <m/>
    <n v="88"/>
    <n v="8088.2402480000001"/>
    <s v="EPER"/>
    <n v="7414000005"/>
  </r>
  <r>
    <x v="0"/>
    <m/>
    <x v="0"/>
    <m/>
    <m/>
    <m/>
    <m/>
    <m/>
    <m/>
    <m/>
    <m/>
    <m/>
    <m/>
    <m/>
    <n v="50"/>
    <n v="4647.7251500000002"/>
    <s v="EPER"/>
    <n v="7414000005"/>
  </r>
  <r>
    <x v="0"/>
    <m/>
    <x v="0"/>
    <m/>
    <m/>
    <m/>
    <m/>
    <m/>
    <m/>
    <m/>
    <m/>
    <m/>
    <m/>
    <m/>
    <n v="49"/>
    <n v="4346.2080269999997"/>
    <s v="EPER"/>
    <n v="7414000005"/>
  </r>
  <r>
    <x v="0"/>
    <m/>
    <x v="0"/>
    <m/>
    <m/>
    <m/>
    <m/>
    <m/>
    <m/>
    <m/>
    <m/>
    <m/>
    <m/>
    <m/>
    <n v="141"/>
    <n v="13157.301072"/>
    <s v="EPER"/>
    <n v="7414000005"/>
  </r>
  <r>
    <x v="0"/>
    <m/>
    <x v="0"/>
    <m/>
    <m/>
    <m/>
    <m/>
    <m/>
    <m/>
    <m/>
    <m/>
    <m/>
    <m/>
    <m/>
    <n v="39"/>
    <n v="3699.7025520000002"/>
    <s v="EPER"/>
    <n v="7414000005"/>
  </r>
  <r>
    <x v="0"/>
    <m/>
    <x v="0"/>
    <m/>
    <m/>
    <m/>
    <m/>
    <m/>
    <m/>
    <m/>
    <m/>
    <m/>
    <m/>
    <m/>
    <n v="313"/>
    <n v="29694.359141000001"/>
    <s v="EPER"/>
    <n v="7414000005"/>
  </r>
  <r>
    <x v="0"/>
    <m/>
    <x v="0"/>
    <m/>
    <m/>
    <m/>
    <m/>
    <m/>
    <m/>
    <m/>
    <m/>
    <m/>
    <m/>
    <m/>
    <n v="154"/>
    <n v="13781.37761"/>
    <s v="EPER"/>
    <n v="7414000005"/>
  </r>
  <r>
    <x v="0"/>
    <m/>
    <x v="0"/>
    <m/>
    <m/>
    <m/>
    <m/>
    <m/>
    <m/>
    <m/>
    <m/>
    <m/>
    <m/>
    <m/>
    <n v="270"/>
    <n v="23273.224559999999"/>
    <s v="EPER"/>
    <n v="7414000005"/>
  </r>
  <r>
    <x v="0"/>
    <m/>
    <x v="0"/>
    <m/>
    <m/>
    <m/>
    <m/>
    <m/>
    <m/>
    <m/>
    <m/>
    <m/>
    <m/>
    <m/>
    <n v="133"/>
    <n v="11500.424082"/>
    <s v="EPER"/>
    <n v="7414000005"/>
  </r>
  <r>
    <x v="0"/>
    <m/>
    <x v="0"/>
    <m/>
    <m/>
    <m/>
    <m/>
    <m/>
    <m/>
    <m/>
    <m/>
    <m/>
    <m/>
    <m/>
    <n v="3"/>
    <n v="304.35289799999998"/>
    <s v="EPER"/>
    <n v="7414000005"/>
  </r>
  <r>
    <x v="0"/>
    <m/>
    <x v="0"/>
    <m/>
    <m/>
    <m/>
    <m/>
    <m/>
    <m/>
    <m/>
    <m/>
    <m/>
    <m/>
    <m/>
    <n v="5"/>
    <n v="448.21586000000002"/>
    <s v="EPER"/>
    <n v="7414000005"/>
  </r>
  <r>
    <x v="0"/>
    <m/>
    <x v="0"/>
    <m/>
    <m/>
    <m/>
    <m/>
    <m/>
    <m/>
    <m/>
    <m/>
    <m/>
    <m/>
    <m/>
    <n v="202"/>
    <n v="16511.24972"/>
    <s v="EPER"/>
    <n v="7414000005"/>
  </r>
  <r>
    <x v="0"/>
    <m/>
    <x v="0"/>
    <m/>
    <m/>
    <m/>
    <m/>
    <m/>
    <m/>
    <m/>
    <m/>
    <m/>
    <m/>
    <m/>
    <n v="53"/>
    <n v="4409.6403330000003"/>
    <s v="EPER"/>
    <n v="7414000005"/>
  </r>
  <r>
    <x v="0"/>
    <m/>
    <x v="0"/>
    <m/>
    <m/>
    <m/>
    <m/>
    <m/>
    <m/>
    <m/>
    <m/>
    <m/>
    <m/>
    <m/>
    <n v="42"/>
    <n v="3450.7160939999999"/>
    <s v="EPER"/>
    <n v="7414000005"/>
  </r>
  <r>
    <x v="0"/>
    <m/>
    <x v="0"/>
    <m/>
    <m/>
    <m/>
    <m/>
    <m/>
    <m/>
    <m/>
    <m/>
    <m/>
    <m/>
    <m/>
    <n v="37900"/>
    <n v="118969.61599999999"/>
    <s v="EPER"/>
    <n v="7414000005"/>
  </r>
  <r>
    <x v="0"/>
    <m/>
    <x v="0"/>
    <m/>
    <m/>
    <m/>
    <m/>
    <m/>
    <m/>
    <m/>
    <m/>
    <m/>
    <m/>
    <m/>
    <n v="28105"/>
    <n v="95466.277059999993"/>
    <s v="EPER"/>
    <n v="7414000005"/>
  </r>
  <r>
    <x v="0"/>
    <m/>
    <x v="0"/>
    <m/>
    <m/>
    <m/>
    <m/>
    <m/>
    <m/>
    <m/>
    <m/>
    <m/>
    <m/>
    <m/>
    <n v="6"/>
    <n v="4654.1507220000003"/>
    <s v="EPER"/>
    <n v="7414000005"/>
  </r>
  <r>
    <x v="0"/>
    <m/>
    <x v="0"/>
    <m/>
    <m/>
    <m/>
    <m/>
    <m/>
    <m/>
    <m/>
    <m/>
    <m/>
    <m/>
    <m/>
    <n v="12"/>
    <n v="8966.1411840000001"/>
    <s v="EPER"/>
    <n v="7414000005"/>
  </r>
  <r>
    <x v="0"/>
    <m/>
    <x v="0"/>
    <m/>
    <m/>
    <m/>
    <m/>
    <m/>
    <m/>
    <m/>
    <m/>
    <m/>
    <m/>
    <m/>
    <n v="3"/>
    <n v="2297.7716489999998"/>
    <s v="EPER"/>
    <n v="7414000005"/>
  </r>
  <r>
    <x v="0"/>
    <m/>
    <x v="0"/>
    <m/>
    <m/>
    <m/>
    <m/>
    <m/>
    <m/>
    <m/>
    <m/>
    <m/>
    <m/>
    <m/>
    <n v="22"/>
    <n v="15067.561476000001"/>
    <s v="EPER"/>
    <n v="7414000005"/>
  </r>
  <r>
    <x v="0"/>
    <m/>
    <x v="0"/>
    <m/>
    <m/>
    <m/>
    <m/>
    <m/>
    <m/>
    <m/>
    <m/>
    <m/>
    <m/>
    <m/>
    <n v="13"/>
    <n v="10048.050545"/>
    <s v="EPER"/>
    <n v="7414000005"/>
  </r>
  <r>
    <x v="0"/>
    <m/>
    <x v="0"/>
    <m/>
    <m/>
    <m/>
    <m/>
    <m/>
    <m/>
    <m/>
    <m/>
    <m/>
    <m/>
    <m/>
    <n v="13"/>
    <n v="9380.7303200000006"/>
    <s v="EPER"/>
    <n v="7414000005"/>
  </r>
  <r>
    <x v="0"/>
    <m/>
    <x v="0"/>
    <m/>
    <m/>
    <m/>
    <m/>
    <m/>
    <m/>
    <m/>
    <m/>
    <m/>
    <m/>
    <m/>
    <n v="3"/>
    <n v="1907.889357"/>
    <s v="EPER"/>
    <n v="7414000005"/>
  </r>
  <r>
    <x v="0"/>
    <m/>
    <x v="0"/>
    <m/>
    <m/>
    <m/>
    <m/>
    <m/>
    <m/>
    <m/>
    <m/>
    <m/>
    <m/>
    <m/>
    <n v="15"/>
    <n v="10640.546114999999"/>
    <s v="EPER"/>
    <n v="7414000005"/>
  </r>
  <r>
    <x v="0"/>
    <m/>
    <x v="0"/>
    <m/>
    <m/>
    <m/>
    <m/>
    <m/>
    <m/>
    <m/>
    <m/>
    <m/>
    <m/>
    <m/>
    <n v="33"/>
    <n v="22915.569170999999"/>
    <s v="EPER"/>
    <n v="7414000005"/>
  </r>
  <r>
    <x v="0"/>
    <m/>
    <x v="0"/>
    <m/>
    <m/>
    <m/>
    <m/>
    <m/>
    <m/>
    <m/>
    <m/>
    <m/>
    <m/>
    <m/>
    <n v="3100"/>
    <n v="522784"/>
    <s v="EPER"/>
    <n v="7414000005"/>
  </r>
  <r>
    <x v="0"/>
    <m/>
    <x v="0"/>
    <m/>
    <m/>
    <m/>
    <m/>
    <m/>
    <m/>
    <m/>
    <m/>
    <m/>
    <m/>
    <m/>
    <n v="3700"/>
    <n v="6610050"/>
    <s v="EPER"/>
    <n v="7414000005"/>
  </r>
  <r>
    <x v="0"/>
    <m/>
    <x v="0"/>
    <m/>
    <m/>
    <m/>
    <m/>
    <m/>
    <m/>
    <m/>
    <m/>
    <m/>
    <m/>
    <m/>
    <n v="9800"/>
    <n v="116228"/>
    <s v="EPER"/>
    <n v="7414000005"/>
  </r>
  <r>
    <x v="0"/>
    <m/>
    <x v="0"/>
    <m/>
    <m/>
    <m/>
    <m/>
    <m/>
    <m/>
    <m/>
    <m/>
    <m/>
    <m/>
    <m/>
    <n v="8600"/>
    <n v="630982"/>
    <s v="EPER"/>
    <n v="7414000005"/>
  </r>
  <r>
    <x v="0"/>
    <m/>
    <x v="0"/>
    <m/>
    <m/>
    <m/>
    <m/>
    <m/>
    <m/>
    <m/>
    <m/>
    <m/>
    <m/>
    <m/>
    <n v="129000"/>
    <n v="1950480"/>
    <s v="EPER"/>
    <n v="7414000005"/>
  </r>
  <r>
    <x v="0"/>
    <m/>
    <x v="0"/>
    <m/>
    <m/>
    <m/>
    <m/>
    <m/>
    <m/>
    <m/>
    <m/>
    <m/>
    <m/>
    <m/>
    <n v="2400"/>
    <n v="1260216"/>
    <s v="EPER"/>
    <n v="7414000005"/>
  </r>
  <r>
    <x v="0"/>
    <m/>
    <x v="0"/>
    <m/>
    <m/>
    <m/>
    <m/>
    <m/>
    <m/>
    <m/>
    <m/>
    <m/>
    <m/>
    <m/>
    <n v="5600"/>
    <n v="382200"/>
    <s v="EPER"/>
    <n v="7414000005"/>
  </r>
  <r>
    <x v="0"/>
    <m/>
    <x v="0"/>
    <m/>
    <m/>
    <m/>
    <m/>
    <m/>
    <m/>
    <m/>
    <m/>
    <m/>
    <m/>
    <m/>
    <n v="156400"/>
    <n v="2241212"/>
    <s v="EPER"/>
    <n v="7414000005"/>
  </r>
  <r>
    <x v="0"/>
    <m/>
    <x v="0"/>
    <m/>
    <m/>
    <m/>
    <m/>
    <m/>
    <m/>
    <m/>
    <m/>
    <m/>
    <m/>
    <m/>
    <n v="1072"/>
    <n v="104685.53931199999"/>
    <s v="EPER"/>
    <n v="7414000005"/>
  </r>
  <r>
    <x v="0"/>
    <m/>
    <x v="0"/>
    <m/>
    <m/>
    <m/>
    <m/>
    <m/>
    <m/>
    <m/>
    <m/>
    <m/>
    <m/>
    <m/>
    <n v="228935"/>
    <n v="2173414.5687799999"/>
    <s v="EPER"/>
    <n v="7414000005"/>
  </r>
  <r>
    <x v="0"/>
    <m/>
    <x v="0"/>
    <m/>
    <m/>
    <m/>
    <m/>
    <m/>
    <m/>
    <m/>
    <m/>
    <m/>
    <m/>
    <m/>
    <n v="311790"/>
    <n v="2911545.8417699998"/>
    <s v="EPER"/>
    <n v="7414000005"/>
  </r>
  <r>
    <x v="0"/>
    <m/>
    <x v="0"/>
    <m/>
    <m/>
    <m/>
    <m/>
    <m/>
    <m/>
    <m/>
    <m/>
    <m/>
    <m/>
    <m/>
    <n v="2430"/>
    <n v="1641173.4"/>
    <s v="EPER"/>
    <n v="7414000005"/>
  </r>
  <r>
    <x v="0"/>
    <m/>
    <x v="0"/>
    <m/>
    <m/>
    <m/>
    <m/>
    <m/>
    <m/>
    <m/>
    <m/>
    <m/>
    <m/>
    <m/>
    <n v="525"/>
    <n v="367841.25"/>
    <s v="EPER"/>
    <n v="7414000005"/>
  </r>
  <r>
    <x v="0"/>
    <m/>
    <x v="0"/>
    <m/>
    <m/>
    <m/>
    <m/>
    <m/>
    <m/>
    <m/>
    <m/>
    <m/>
    <m/>
    <m/>
    <n v="1080"/>
    <n v="1243080"/>
    <s v="EPER"/>
    <n v="7414000005"/>
  </r>
  <r>
    <x v="0"/>
    <m/>
    <x v="0"/>
    <m/>
    <m/>
    <m/>
    <m/>
    <m/>
    <m/>
    <m/>
    <m/>
    <m/>
    <m/>
    <m/>
    <n v="11600"/>
    <n v="2410596"/>
    <s v="EPER"/>
    <n v="7414000005"/>
  </r>
  <r>
    <x v="0"/>
    <m/>
    <x v="0"/>
    <m/>
    <m/>
    <m/>
    <m/>
    <m/>
    <m/>
    <m/>
    <m/>
    <m/>
    <m/>
    <m/>
    <n v="1200"/>
    <n v="326328"/>
    <s v="EPER"/>
    <n v="7414000005"/>
  </r>
  <r>
    <x v="0"/>
    <m/>
    <x v="0"/>
    <m/>
    <m/>
    <m/>
    <m/>
    <m/>
    <m/>
    <m/>
    <m/>
    <m/>
    <m/>
    <m/>
    <n v="4000"/>
    <n v="772600"/>
    <s v="EPER"/>
    <n v="7414000005"/>
  </r>
  <r>
    <x v="0"/>
    <m/>
    <x v="0"/>
    <m/>
    <m/>
    <m/>
    <m/>
    <m/>
    <m/>
    <m/>
    <m/>
    <m/>
    <m/>
    <m/>
    <n v="29000"/>
    <n v="786480"/>
    <s v="EPER"/>
    <n v="7414000005"/>
  </r>
  <r>
    <x v="0"/>
    <m/>
    <x v="0"/>
    <m/>
    <m/>
    <m/>
    <m/>
    <m/>
    <m/>
    <m/>
    <m/>
    <m/>
    <m/>
    <m/>
    <n v="18400"/>
    <n v="3246496"/>
    <s v="EPER"/>
    <n v="7414000005"/>
  </r>
  <r>
    <x v="0"/>
    <m/>
    <x v="0"/>
    <m/>
    <m/>
    <m/>
    <m/>
    <m/>
    <m/>
    <m/>
    <m/>
    <m/>
    <m/>
    <m/>
    <n v="23300"/>
    <n v="2425996"/>
    <s v="EPER"/>
    <n v="7414000005"/>
  </r>
  <r>
    <x v="0"/>
    <m/>
    <x v="0"/>
    <m/>
    <m/>
    <m/>
    <m/>
    <m/>
    <m/>
    <m/>
    <m/>
    <m/>
    <m/>
    <m/>
    <n v="15697"/>
    <n v="1549770.288253"/>
    <s v="EPER"/>
    <n v="7414000005"/>
  </r>
  <r>
    <x v="0"/>
    <m/>
    <x v="0"/>
    <m/>
    <m/>
    <m/>
    <m/>
    <m/>
    <m/>
    <m/>
    <m/>
    <m/>
    <m/>
    <m/>
    <n v="17750"/>
    <n v="1761643.0895"/>
    <s v="EPER"/>
    <n v="7414000005"/>
  </r>
  <r>
    <x v="0"/>
    <m/>
    <x v="0"/>
    <m/>
    <m/>
    <m/>
    <m/>
    <m/>
    <m/>
    <m/>
    <m/>
    <m/>
    <m/>
    <m/>
    <n v="5330"/>
    <n v="506206.87351"/>
    <s v="EPER"/>
    <n v="7414000005"/>
  </r>
  <r>
    <x v="0"/>
    <m/>
    <x v="0"/>
    <m/>
    <m/>
    <m/>
    <m/>
    <m/>
    <m/>
    <m/>
    <m/>
    <m/>
    <m/>
    <m/>
    <n v="18336"/>
    <n v="1685295.149856"/>
    <s v="EPER"/>
    <n v="7414000005"/>
  </r>
  <r>
    <x v="0"/>
    <m/>
    <x v="0"/>
    <m/>
    <m/>
    <m/>
    <m/>
    <m/>
    <m/>
    <m/>
    <m/>
    <m/>
    <m/>
    <m/>
    <n v="9390"/>
    <n v="872842.78316999995"/>
    <s v="EPER"/>
    <n v="7414000005"/>
  </r>
  <r>
    <x v="0"/>
    <m/>
    <x v="0"/>
    <m/>
    <m/>
    <m/>
    <m/>
    <m/>
    <m/>
    <m/>
    <m/>
    <m/>
    <m/>
    <m/>
    <n v="9384"/>
    <n v="832343.18623200001"/>
    <s v="EPER"/>
    <n v="7414000005"/>
  </r>
  <r>
    <x v="0"/>
    <m/>
    <x v="0"/>
    <m/>
    <m/>
    <m/>
    <m/>
    <m/>
    <m/>
    <m/>
    <m/>
    <m/>
    <m/>
    <m/>
    <n v="18740"/>
    <n v="1748707.95808"/>
    <s v="EPER"/>
    <n v="7414000005"/>
  </r>
  <r>
    <x v="0"/>
    <m/>
    <x v="0"/>
    <m/>
    <m/>
    <m/>
    <m/>
    <m/>
    <m/>
    <m/>
    <m/>
    <m/>
    <m/>
    <m/>
    <n v="16620"/>
    <n v="1576642.4721599999"/>
    <s v="EPER"/>
    <n v="7414000005"/>
  </r>
  <r>
    <x v="0"/>
    <m/>
    <x v="0"/>
    <m/>
    <m/>
    <m/>
    <m/>
    <m/>
    <m/>
    <m/>
    <m/>
    <m/>
    <m/>
    <m/>
    <n v="46662"/>
    <n v="4426831.2659339998"/>
    <s v="EPER"/>
    <n v="7414000005"/>
  </r>
  <r>
    <x v="0"/>
    <m/>
    <x v="0"/>
    <m/>
    <m/>
    <m/>
    <m/>
    <m/>
    <m/>
    <m/>
    <m/>
    <m/>
    <m/>
    <m/>
    <n v="31021"/>
    <n v="2776052.693765"/>
    <s v="EPER"/>
    <n v="7414000005"/>
  </r>
  <r>
    <x v="0"/>
    <m/>
    <x v="0"/>
    <m/>
    <m/>
    <m/>
    <m/>
    <m/>
    <m/>
    <m/>
    <m/>
    <m/>
    <m/>
    <m/>
    <n v="46364"/>
    <n v="3996443.6425919998"/>
    <s v="EPER"/>
    <n v="7414000005"/>
  </r>
  <r>
    <x v="0"/>
    <m/>
    <x v="0"/>
    <m/>
    <m/>
    <m/>
    <m/>
    <m/>
    <m/>
    <m/>
    <m/>
    <m/>
    <m/>
    <m/>
    <n v="31170"/>
    <n v="2695249.7641799999"/>
    <s v="EPER"/>
    <n v="7414000005"/>
  </r>
  <r>
    <x v="0"/>
    <m/>
    <x v="0"/>
    <m/>
    <m/>
    <m/>
    <m/>
    <m/>
    <m/>
    <m/>
    <m/>
    <m/>
    <m/>
    <m/>
    <n v="1504"/>
    <n v="152582.25286400001"/>
    <s v="EPER"/>
    <n v="7414000005"/>
  </r>
  <r>
    <x v="0"/>
    <m/>
    <x v="0"/>
    <m/>
    <m/>
    <m/>
    <m/>
    <m/>
    <m/>
    <m/>
    <m/>
    <m/>
    <m/>
    <m/>
    <n v="1379"/>
    <n v="123617.934188"/>
    <s v="EPER"/>
    <n v="7414000005"/>
  </r>
  <r>
    <x v="0"/>
    <m/>
    <x v="0"/>
    <m/>
    <m/>
    <m/>
    <m/>
    <m/>
    <m/>
    <m/>
    <m/>
    <m/>
    <m/>
    <m/>
    <n v="37318"/>
    <n v="3050330.7774800002"/>
    <s v="EPER"/>
    <n v="7414000005"/>
  </r>
  <r>
    <x v="0"/>
    <m/>
    <x v="0"/>
    <m/>
    <m/>
    <m/>
    <m/>
    <m/>
    <m/>
    <m/>
    <m/>
    <m/>
    <m/>
    <m/>
    <n v="5580"/>
    <n v="464260.24638000003"/>
    <s v="EPER"/>
    <n v="7414000005"/>
  </r>
  <r>
    <x v="0"/>
    <m/>
    <x v="0"/>
    <m/>
    <m/>
    <m/>
    <m/>
    <m/>
    <m/>
    <m/>
    <m/>
    <m/>
    <m/>
    <m/>
    <n v="45593"/>
    <n v="3745916.6398510002"/>
    <s v="EPER"/>
    <n v="7414000005"/>
  </r>
  <r>
    <x v="0"/>
    <m/>
    <x v="0"/>
    <m/>
    <m/>
    <m/>
    <m/>
    <m/>
    <m/>
    <m/>
    <m/>
    <m/>
    <m/>
    <m/>
    <n v="2000"/>
    <n v="628840"/>
    <s v="EPER"/>
    <n v="7414000005"/>
  </r>
  <r>
    <x v="0"/>
    <m/>
    <x v="0"/>
    <m/>
    <m/>
    <m/>
    <m/>
    <m/>
    <m/>
    <m/>
    <m/>
    <m/>
    <m/>
    <m/>
    <n v="11900"/>
    <n v="52181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946"/>
    <n v="8071745"/>
    <s v="EPER"/>
    <n v="7414000005"/>
  </r>
  <r>
    <x v="0"/>
    <m/>
    <x v="0"/>
    <m/>
    <m/>
    <m/>
    <m/>
    <m/>
    <m/>
    <m/>
    <m/>
    <m/>
    <m/>
    <m/>
    <n v="14400"/>
    <n v="522432"/>
    <s v="EPER"/>
    <n v="7414000005"/>
  </r>
  <r>
    <x v="0"/>
    <m/>
    <x v="0"/>
    <m/>
    <m/>
    <m/>
    <m/>
    <m/>
    <m/>
    <m/>
    <m/>
    <m/>
    <m/>
    <m/>
    <n v="1900"/>
    <n v="259065"/>
    <s v="EPER"/>
    <n v="7414000005"/>
  </r>
  <r>
    <x v="0"/>
    <m/>
    <x v="0"/>
    <m/>
    <m/>
    <m/>
    <m/>
    <m/>
    <m/>
    <m/>
    <m/>
    <m/>
    <m/>
    <m/>
    <n v="40257"/>
    <n v="3945501.3733379999"/>
    <s v="EPER"/>
    <n v="7414000005"/>
  </r>
  <r>
    <x v="0"/>
    <m/>
    <x v="0"/>
    <m/>
    <m/>
    <m/>
    <m/>
    <m/>
    <m/>
    <m/>
    <m/>
    <m/>
    <m/>
    <m/>
    <n v="4500"/>
    <n v="702000"/>
    <s v="EPER"/>
    <n v="7414000005"/>
  </r>
  <r>
    <x v="0"/>
    <m/>
    <x v="0"/>
    <m/>
    <m/>
    <m/>
    <m/>
    <m/>
    <m/>
    <m/>
    <m/>
    <m/>
    <m/>
    <m/>
    <n v="3621"/>
    <n v="2471513.5499999998"/>
    <s v="EPER"/>
    <n v="7414000005"/>
  </r>
  <r>
    <x v="0"/>
    <m/>
    <x v="0"/>
    <m/>
    <m/>
    <m/>
    <m/>
    <m/>
    <m/>
    <m/>
    <m/>
    <m/>
    <m/>
    <m/>
    <n v="1728933"/>
    <n v="5872791.2042760001"/>
    <s v="EPER"/>
    <n v="7414000005"/>
  </r>
  <r>
    <x v="0"/>
    <m/>
    <x v="0"/>
    <m/>
    <m/>
    <m/>
    <m/>
    <m/>
    <m/>
    <m/>
    <m/>
    <m/>
    <m/>
    <m/>
    <n v="19000"/>
    <n v="596790"/>
    <s v="EPER"/>
    <n v="7414000005"/>
  </r>
  <r>
    <x v="0"/>
    <m/>
    <x v="0"/>
    <m/>
    <m/>
    <m/>
    <m/>
    <m/>
    <m/>
    <m/>
    <m/>
    <m/>
    <m/>
    <m/>
    <n v="3169"/>
    <n v="2458167.2730029998"/>
    <s v="EPER"/>
    <n v="7414000005"/>
  </r>
  <r>
    <x v="0"/>
    <m/>
    <x v="0"/>
    <m/>
    <m/>
    <m/>
    <m/>
    <m/>
    <m/>
    <m/>
    <m/>
    <m/>
    <m/>
    <m/>
    <n v="6500"/>
    <n v="4856659.8080000002"/>
    <s v="EPER"/>
    <n v="7414000005"/>
  </r>
  <r>
    <x v="0"/>
    <m/>
    <x v="0"/>
    <m/>
    <m/>
    <m/>
    <m/>
    <m/>
    <m/>
    <m/>
    <m/>
    <m/>
    <m/>
    <m/>
    <n v="2128"/>
    <n v="1629886.023024"/>
    <s v="EPER"/>
    <n v="7414000005"/>
  </r>
  <r>
    <x v="0"/>
    <m/>
    <x v="0"/>
    <m/>
    <m/>
    <m/>
    <m/>
    <m/>
    <m/>
    <m/>
    <m/>
    <m/>
    <m/>
    <m/>
    <n v="3718"/>
    <n v="2546417.8894440001"/>
    <s v="EPER"/>
    <n v="7414000005"/>
  </r>
  <r>
    <x v="0"/>
    <m/>
    <x v="0"/>
    <m/>
    <m/>
    <m/>
    <m/>
    <m/>
    <m/>
    <m/>
    <m/>
    <m/>
    <m/>
    <m/>
    <n v="2212"/>
    <n v="1709714.44658"/>
    <s v="EPER"/>
    <n v="7414000005"/>
  </r>
  <r>
    <x v="0"/>
    <m/>
    <x v="0"/>
    <m/>
    <m/>
    <m/>
    <m/>
    <m/>
    <m/>
    <m/>
    <m/>
    <m/>
    <m/>
    <m/>
    <n v="2373"/>
    <n v="1712344.08072"/>
    <s v="EPER"/>
    <n v="7414000005"/>
  </r>
  <r>
    <x v="0"/>
    <m/>
    <x v="0"/>
    <m/>
    <m/>
    <m/>
    <m/>
    <m/>
    <m/>
    <m/>
    <m/>
    <m/>
    <m/>
    <m/>
    <n v="1222"/>
    <n v="777146.93141800002"/>
    <s v="EPER"/>
    <n v="7414000005"/>
  </r>
  <r>
    <x v="0"/>
    <m/>
    <x v="0"/>
    <m/>
    <m/>
    <m/>
    <m/>
    <m/>
    <m/>
    <m/>
    <m/>
    <m/>
    <m/>
    <m/>
    <n v="2810"/>
    <n v="1993328.97221"/>
    <s v="EPER"/>
    <n v="7414000005"/>
  </r>
  <r>
    <x v="0"/>
    <m/>
    <x v="0"/>
    <m/>
    <m/>
    <m/>
    <m/>
    <m/>
    <m/>
    <m/>
    <m/>
    <m/>
    <m/>
    <m/>
    <n v="5009"/>
    <n v="3478305.6356830001"/>
    <s v="EPER"/>
    <n v="7414000005"/>
  </r>
  <r>
    <x v="0"/>
    <m/>
    <x v="0"/>
    <m/>
    <m/>
    <m/>
    <m/>
    <m/>
    <m/>
    <m/>
    <m/>
    <m/>
    <m/>
    <m/>
    <n v="15000"/>
    <n v="880050"/>
    <s v="EPER"/>
    <n v="7414000005"/>
  </r>
  <r>
    <x v="0"/>
    <m/>
    <x v="0"/>
    <m/>
    <m/>
    <m/>
    <m/>
    <m/>
    <m/>
    <m/>
    <m/>
    <m/>
    <m/>
    <m/>
    <n v="2035"/>
    <n v="2218150"/>
    <s v="EPER"/>
    <n v="7414000005"/>
  </r>
  <r>
    <x v="0"/>
    <m/>
    <x v="0"/>
    <m/>
    <m/>
    <m/>
    <m/>
    <m/>
    <m/>
    <m/>
    <m/>
    <m/>
    <m/>
    <m/>
    <n v="33700"/>
    <n v="2199262"/>
    <s v="EPER"/>
    <n v="7414000005"/>
  </r>
  <r>
    <x v="0"/>
    <m/>
    <x v="0"/>
    <m/>
    <m/>
    <m/>
    <m/>
    <m/>
    <m/>
    <m/>
    <m/>
    <m/>
    <m/>
    <m/>
    <n v="1352"/>
    <n v="2415348"/>
    <s v="EPER"/>
    <n v="7414000005"/>
  </r>
  <r>
    <x v="0"/>
    <m/>
    <x v="0"/>
    <m/>
    <m/>
    <m/>
    <m/>
    <m/>
    <m/>
    <m/>
    <m/>
    <m/>
    <m/>
    <m/>
    <n v="422"/>
    <n v="41210.165661999999"/>
    <s v="EPER"/>
    <n v="7414000005"/>
  </r>
  <r>
    <x v="0"/>
    <m/>
    <x v="0"/>
    <m/>
    <m/>
    <m/>
    <m/>
    <m/>
    <m/>
    <m/>
    <m/>
    <m/>
    <m/>
    <m/>
    <n v="89744"/>
    <n v="851992.56147199997"/>
    <s v="EPER"/>
    <n v="7414000005"/>
  </r>
  <r>
    <x v="0"/>
    <m/>
    <x v="0"/>
    <m/>
    <m/>
    <m/>
    <m/>
    <m/>
    <m/>
    <m/>
    <m/>
    <m/>
    <m/>
    <m/>
    <n v="122230"/>
    <n v="1141403.6634899999"/>
    <s v="EPER"/>
    <n v="7414000005"/>
  </r>
  <r>
    <x v="0"/>
    <m/>
    <x v="0"/>
    <m/>
    <m/>
    <m/>
    <m/>
    <m/>
    <m/>
    <m/>
    <m/>
    <m/>
    <m/>
    <m/>
    <n v="970"/>
    <n v="655118.6"/>
    <s v="EPER"/>
    <n v="7414000005"/>
  </r>
  <r>
    <x v="0"/>
    <m/>
    <x v="0"/>
    <m/>
    <m/>
    <m/>
    <m/>
    <m/>
    <m/>
    <m/>
    <m/>
    <m/>
    <m/>
    <m/>
    <n v="215"/>
    <n v="150639.75"/>
    <s v="EPER"/>
    <n v="7414000005"/>
  </r>
  <r>
    <x v="0"/>
    <m/>
    <x v="0"/>
    <m/>
    <m/>
    <m/>
    <m/>
    <m/>
    <m/>
    <m/>
    <m/>
    <m/>
    <m/>
    <m/>
    <n v="440"/>
    <n v="506440"/>
    <s v="EPER"/>
    <n v="7414000005"/>
  </r>
  <r>
    <x v="0"/>
    <m/>
    <x v="0"/>
    <m/>
    <m/>
    <m/>
    <m/>
    <m/>
    <m/>
    <m/>
    <m/>
    <m/>
    <m/>
    <m/>
    <n v="6233"/>
    <n v="615386.26531699998"/>
    <s v="EPER"/>
    <n v="7414000005"/>
  </r>
  <r>
    <x v="0"/>
    <m/>
    <x v="0"/>
    <m/>
    <m/>
    <m/>
    <m/>
    <m/>
    <m/>
    <m/>
    <m/>
    <m/>
    <m/>
    <m/>
    <n v="7000"/>
    <n v="694732.48600000003"/>
    <s v="EPER"/>
    <n v="7414000005"/>
  </r>
  <r>
    <x v="0"/>
    <m/>
    <x v="0"/>
    <m/>
    <m/>
    <m/>
    <m/>
    <m/>
    <m/>
    <m/>
    <m/>
    <m/>
    <m/>
    <m/>
    <n v="2110"/>
    <n v="200393.34017000001"/>
    <s v="EPER"/>
    <n v="7414000005"/>
  </r>
  <r>
    <x v="0"/>
    <m/>
    <x v="0"/>
    <m/>
    <m/>
    <m/>
    <m/>
    <m/>
    <m/>
    <m/>
    <m/>
    <m/>
    <m/>
    <m/>
    <n v="7269"/>
    <n v="668107.02684900002"/>
    <s v="EPER"/>
    <n v="7414000005"/>
  </r>
  <r>
    <x v="0"/>
    <m/>
    <x v="0"/>
    <m/>
    <m/>
    <m/>
    <m/>
    <m/>
    <m/>
    <m/>
    <m/>
    <m/>
    <m/>
    <m/>
    <n v="3730"/>
    <n v="346720.29619000002"/>
    <s v="EPER"/>
    <n v="7414000005"/>
  </r>
  <r>
    <x v="0"/>
    <m/>
    <x v="0"/>
    <m/>
    <m/>
    <m/>
    <m/>
    <m/>
    <m/>
    <m/>
    <m/>
    <m/>
    <m/>
    <m/>
    <n v="3697"/>
    <n v="327916.960731"/>
    <s v="EPER"/>
    <n v="7414000005"/>
  </r>
  <r>
    <x v="0"/>
    <m/>
    <x v="0"/>
    <m/>
    <m/>
    <m/>
    <m/>
    <m/>
    <m/>
    <m/>
    <m/>
    <m/>
    <m/>
    <m/>
    <n v="7820"/>
    <n v="729716.98144"/>
    <s v="EPER"/>
    <n v="7414000005"/>
  </r>
  <r>
    <x v="0"/>
    <m/>
    <x v="0"/>
    <m/>
    <m/>
    <m/>
    <m/>
    <m/>
    <m/>
    <m/>
    <m/>
    <m/>
    <m/>
    <m/>
    <n v="6520"/>
    <n v="618514.37535999995"/>
    <s v="EPER"/>
    <n v="7414000005"/>
  </r>
  <r>
    <x v="0"/>
    <m/>
    <x v="0"/>
    <m/>
    <m/>
    <m/>
    <m/>
    <m/>
    <m/>
    <m/>
    <m/>
    <m/>
    <m/>
    <m/>
    <n v="24003"/>
    <n v="2277168.3784710001"/>
    <s v="EPER"/>
    <n v="7414000005"/>
  </r>
  <r>
    <x v="0"/>
    <m/>
    <x v="0"/>
    <m/>
    <m/>
    <m/>
    <m/>
    <m/>
    <m/>
    <m/>
    <m/>
    <m/>
    <m/>
    <m/>
    <n v="7354"/>
    <n v="658105.52561000001"/>
    <s v="EPER"/>
    <n v="7414000005"/>
  </r>
  <r>
    <x v="0"/>
    <m/>
    <x v="0"/>
    <m/>
    <m/>
    <m/>
    <m/>
    <m/>
    <m/>
    <m/>
    <m/>
    <m/>
    <m/>
    <m/>
    <n v="18137"/>
    <n v="1563357.3105359999"/>
    <s v="EPER"/>
    <n v="7414000005"/>
  </r>
  <r>
    <x v="0"/>
    <m/>
    <x v="0"/>
    <m/>
    <m/>
    <m/>
    <m/>
    <m/>
    <m/>
    <m/>
    <m/>
    <m/>
    <m/>
    <m/>
    <n v="14719"/>
    <n v="1272742.4215259999"/>
    <s v="EPER"/>
    <n v="7414000005"/>
  </r>
  <r>
    <x v="0"/>
    <m/>
    <x v="0"/>
    <m/>
    <m/>
    <m/>
    <m/>
    <m/>
    <m/>
    <m/>
    <m/>
    <m/>
    <m/>
    <m/>
    <n v="543"/>
    <n v="48676.242396000001"/>
    <s v="EPER"/>
    <n v="7414000005"/>
  </r>
  <r>
    <x v="0"/>
    <m/>
    <x v="0"/>
    <m/>
    <m/>
    <m/>
    <m/>
    <m/>
    <m/>
    <m/>
    <m/>
    <m/>
    <m/>
    <m/>
    <n v="11957"/>
    <n v="977351.54902000003"/>
    <s v="EPER"/>
    <n v="7414000005"/>
  </r>
  <r>
    <x v="0"/>
    <m/>
    <x v="0"/>
    <m/>
    <m/>
    <m/>
    <m/>
    <m/>
    <m/>
    <m/>
    <m/>
    <m/>
    <m/>
    <m/>
    <n v="2220"/>
    <n v="184705.68942000001"/>
    <s v="EPER"/>
    <n v="7414000005"/>
  </r>
  <r>
    <x v="0"/>
    <m/>
    <x v="0"/>
    <m/>
    <m/>
    <m/>
    <m/>
    <m/>
    <m/>
    <m/>
    <m/>
    <m/>
    <m/>
    <m/>
    <n v="18260"/>
    <n v="1500239.90182"/>
    <s v="EPER"/>
    <n v="7414000005"/>
  </r>
  <r>
    <x v="0"/>
    <m/>
    <x v="0"/>
    <m/>
    <m/>
    <m/>
    <m/>
    <m/>
    <m/>
    <m/>
    <m/>
    <m/>
    <m/>
    <m/>
    <n v="389"/>
    <n v="3319142.5"/>
    <s v="EPER"/>
    <n v="7414000005"/>
  </r>
  <r>
    <x v="0"/>
    <m/>
    <x v="0"/>
    <m/>
    <m/>
    <m/>
    <m/>
    <m/>
    <m/>
    <m/>
    <m/>
    <m/>
    <m/>
    <m/>
    <n v="16462"/>
    <n v="1613404.963308"/>
    <s v="EPER"/>
    <n v="7414000005"/>
  </r>
  <r>
    <x v="0"/>
    <m/>
    <x v="0"/>
    <m/>
    <m/>
    <m/>
    <m/>
    <m/>
    <m/>
    <m/>
    <m/>
    <m/>
    <m/>
    <m/>
    <n v="1367"/>
    <n v="933045.85"/>
    <s v="EPER"/>
    <n v="7414000005"/>
  </r>
  <r>
    <x v="0"/>
    <m/>
    <x v="0"/>
    <m/>
    <m/>
    <m/>
    <m/>
    <m/>
    <m/>
    <m/>
    <m/>
    <m/>
    <m/>
    <m/>
    <n v="2891290"/>
    <n v="9075874.9616"/>
    <s v="EPER"/>
    <n v="7414000005"/>
  </r>
  <r>
    <x v="0"/>
    <m/>
    <x v="0"/>
    <m/>
    <m/>
    <m/>
    <m/>
    <m/>
    <m/>
    <m/>
    <m/>
    <m/>
    <m/>
    <m/>
    <n v="667038"/>
    <n v="2265776.0013359999"/>
    <s v="EPER"/>
    <n v="7414000005"/>
  </r>
  <r>
    <x v="0"/>
    <m/>
    <x v="0"/>
    <m/>
    <m/>
    <m/>
    <m/>
    <m/>
    <m/>
    <m/>
    <m/>
    <m/>
    <m/>
    <m/>
    <n v="1166"/>
    <n v="904456.62364200002"/>
    <s v="EPER"/>
    <n v="7414000005"/>
  </r>
  <r>
    <x v="0"/>
    <m/>
    <x v="0"/>
    <m/>
    <m/>
    <m/>
    <m/>
    <m/>
    <m/>
    <m/>
    <m/>
    <m/>
    <m/>
    <m/>
    <n v="2547"/>
    <n v="1903063.466304"/>
    <s v="EPER"/>
    <n v="7414000005"/>
  </r>
  <r>
    <x v="0"/>
    <m/>
    <x v="0"/>
    <m/>
    <m/>
    <m/>
    <m/>
    <m/>
    <m/>
    <m/>
    <m/>
    <m/>
    <m/>
    <m/>
    <n v="863"/>
    <n v="660992.31102899997"/>
    <s v="EPER"/>
    <n v="7414000005"/>
  </r>
  <r>
    <x v="0"/>
    <m/>
    <x v="0"/>
    <m/>
    <m/>
    <m/>
    <m/>
    <m/>
    <m/>
    <m/>
    <m/>
    <m/>
    <m/>
    <m/>
    <n v="1460"/>
    <n v="999938.17067999998"/>
    <s v="EPER"/>
    <n v="7414000005"/>
  </r>
  <r>
    <x v="0"/>
    <m/>
    <x v="0"/>
    <m/>
    <m/>
    <m/>
    <m/>
    <m/>
    <m/>
    <m/>
    <m/>
    <m/>
    <m/>
    <m/>
    <n v="859"/>
    <n v="663944.26293500001"/>
    <s v="EPER"/>
    <n v="7414000005"/>
  </r>
  <r>
    <x v="0"/>
    <m/>
    <x v="0"/>
    <m/>
    <m/>
    <m/>
    <m/>
    <m/>
    <m/>
    <m/>
    <m/>
    <m/>
    <m/>
    <m/>
    <n v="1076"/>
    <n v="776435.83264000004"/>
    <s v="EPER"/>
    <n v="7414000005"/>
  </r>
  <r>
    <x v="0"/>
    <m/>
    <x v="0"/>
    <m/>
    <m/>
    <m/>
    <m/>
    <m/>
    <m/>
    <m/>
    <m/>
    <m/>
    <m/>
    <m/>
    <n v="485"/>
    <n v="308442.112715"/>
    <s v="EPER"/>
    <n v="7414000005"/>
  </r>
  <r>
    <x v="0"/>
    <m/>
    <x v="0"/>
    <m/>
    <m/>
    <m/>
    <m/>
    <m/>
    <m/>
    <m/>
    <m/>
    <m/>
    <m/>
    <m/>
    <n v="1096"/>
    <n v="777469.23613600002"/>
    <s v="EPER"/>
    <n v="7414000005"/>
  </r>
  <r>
    <x v="0"/>
    <m/>
    <x v="0"/>
    <m/>
    <m/>
    <m/>
    <m/>
    <m/>
    <m/>
    <m/>
    <m/>
    <m/>
    <m/>
    <m/>
    <n v="1970"/>
    <n v="1367990.0383899999"/>
    <s v="EPER"/>
    <n v="7414000005"/>
  </r>
  <r>
    <x v="0"/>
    <m/>
    <x v="0"/>
    <m/>
    <m/>
    <m/>
    <m/>
    <m/>
    <m/>
    <m/>
    <m/>
    <m/>
    <m/>
    <m/>
    <n v="820"/>
    <n v="893800"/>
    <s v="EPER"/>
    <n v="7414000005"/>
  </r>
  <r>
    <x v="0"/>
    <m/>
    <x v="0"/>
    <m/>
    <m/>
    <m/>
    <m/>
    <m/>
    <m/>
    <m/>
    <m/>
    <m/>
    <m/>
    <m/>
    <n v="8"/>
    <n v="14292"/>
    <s v="EPER"/>
    <n v="7414000005"/>
  </r>
  <r>
    <x v="0"/>
    <m/>
    <x v="0"/>
    <m/>
    <m/>
    <m/>
    <m/>
    <m/>
    <m/>
    <m/>
    <m/>
    <m/>
    <m/>
    <m/>
    <n v="1"/>
    <n v="97.654420999999999"/>
    <s v="EPER"/>
    <n v="7414000005"/>
  </r>
  <r>
    <x v="0"/>
    <m/>
    <x v="0"/>
    <m/>
    <m/>
    <m/>
    <m/>
    <m/>
    <m/>
    <m/>
    <m/>
    <m/>
    <m/>
    <m/>
    <n v="150"/>
    <n v="1424.0382"/>
    <s v="EPER"/>
    <n v="7414000005"/>
  </r>
  <r>
    <x v="0"/>
    <m/>
    <x v="0"/>
    <m/>
    <m/>
    <m/>
    <m/>
    <m/>
    <m/>
    <m/>
    <m/>
    <m/>
    <m/>
    <m/>
    <n v="240"/>
    <n v="2241.1591199999998"/>
    <s v="EPER"/>
    <n v="7414000005"/>
  </r>
  <r>
    <x v="0"/>
    <m/>
    <x v="0"/>
    <m/>
    <m/>
    <m/>
    <m/>
    <m/>
    <m/>
    <m/>
    <m/>
    <m/>
    <m/>
    <m/>
    <n v="9"/>
    <n v="888.57314099999996"/>
    <s v="EPER"/>
    <n v="7414000005"/>
  </r>
  <r>
    <x v="0"/>
    <m/>
    <x v="0"/>
    <m/>
    <m/>
    <m/>
    <m/>
    <m/>
    <m/>
    <m/>
    <m/>
    <m/>
    <m/>
    <m/>
    <n v="8"/>
    <n v="793.97998399999994"/>
    <s v="EPER"/>
    <n v="7414000005"/>
  </r>
  <r>
    <x v="0"/>
    <m/>
    <x v="0"/>
    <m/>
    <m/>
    <m/>
    <m/>
    <m/>
    <m/>
    <m/>
    <m/>
    <m/>
    <m/>
    <m/>
    <n v="1"/>
    <n v="91.911821000000003"/>
    <s v="EPER"/>
    <n v="7414000005"/>
  </r>
  <r>
    <x v="0"/>
    <m/>
    <x v="0"/>
    <m/>
    <m/>
    <m/>
    <m/>
    <m/>
    <m/>
    <m/>
    <m/>
    <m/>
    <m/>
    <m/>
    <n v="10"/>
    <n v="929.54503"/>
    <s v="EPER"/>
    <n v="7414000005"/>
  </r>
  <r>
    <x v="0"/>
    <m/>
    <x v="0"/>
    <m/>
    <m/>
    <m/>
    <m/>
    <m/>
    <m/>
    <m/>
    <m/>
    <m/>
    <m/>
    <m/>
    <n v="4"/>
    <n v="354.79249199999998"/>
    <s v="EPER"/>
    <n v="7414000005"/>
  </r>
  <r>
    <x v="0"/>
    <m/>
    <x v="0"/>
    <m/>
    <m/>
    <m/>
    <m/>
    <m/>
    <m/>
    <m/>
    <m/>
    <m/>
    <m/>
    <m/>
    <n v="20"/>
    <n v="1866.2838400000001"/>
    <s v="EPER"/>
    <n v="7414000005"/>
  </r>
  <r>
    <x v="0"/>
    <m/>
    <x v="0"/>
    <m/>
    <m/>
    <m/>
    <m/>
    <m/>
    <m/>
    <m/>
    <m/>
    <m/>
    <m/>
    <m/>
    <n v="10"/>
    <n v="948.64167999999995"/>
    <s v="EPER"/>
    <n v="7414000005"/>
  </r>
  <r>
    <x v="0"/>
    <m/>
    <x v="0"/>
    <m/>
    <m/>
    <m/>
    <m/>
    <m/>
    <m/>
    <m/>
    <m/>
    <m/>
    <m/>
    <m/>
    <n v="32"/>
    <n v="3035.8450240000002"/>
    <s v="EPER"/>
    <n v="7414000005"/>
  </r>
  <r>
    <x v="0"/>
    <m/>
    <x v="0"/>
    <m/>
    <m/>
    <m/>
    <m/>
    <m/>
    <m/>
    <m/>
    <m/>
    <m/>
    <m/>
    <m/>
    <n v="11"/>
    <n v="984.38411499999995"/>
    <s v="EPER"/>
    <n v="7414000005"/>
  </r>
  <r>
    <x v="0"/>
    <m/>
    <x v="0"/>
    <m/>
    <m/>
    <m/>
    <m/>
    <m/>
    <m/>
    <m/>
    <m/>
    <m/>
    <m/>
    <m/>
    <n v="45"/>
    <n v="3878.8707599999998"/>
    <s v="EPER"/>
    <n v="7414000005"/>
  </r>
  <r>
    <x v="0"/>
    <m/>
    <x v="0"/>
    <m/>
    <m/>
    <m/>
    <m/>
    <m/>
    <m/>
    <m/>
    <m/>
    <m/>
    <m/>
    <m/>
    <n v="14"/>
    <n v="1210.570956"/>
    <s v="EPER"/>
    <n v="7414000005"/>
  </r>
  <r>
    <x v="0"/>
    <m/>
    <x v="0"/>
    <m/>
    <m/>
    <m/>
    <m/>
    <m/>
    <m/>
    <m/>
    <m/>
    <m/>
    <m/>
    <m/>
    <n v="3"/>
    <n v="304.35289799999998"/>
    <s v="EPER"/>
    <n v="7414000005"/>
  </r>
  <r>
    <x v="0"/>
    <m/>
    <x v="0"/>
    <m/>
    <m/>
    <m/>
    <m/>
    <m/>
    <m/>
    <m/>
    <m/>
    <m/>
    <m/>
    <m/>
    <n v="32"/>
    <n v="2615.6435200000001"/>
    <s v="EPER"/>
    <n v="7414000005"/>
  </r>
  <r>
    <x v="0"/>
    <m/>
    <x v="0"/>
    <m/>
    <m/>
    <m/>
    <m/>
    <m/>
    <m/>
    <m/>
    <m/>
    <m/>
    <m/>
    <m/>
    <n v="2"/>
    <n v="166.401522"/>
    <s v="EPER"/>
    <n v="7414000005"/>
  </r>
  <r>
    <x v="0"/>
    <m/>
    <x v="0"/>
    <m/>
    <m/>
    <m/>
    <m/>
    <m/>
    <m/>
    <m/>
    <m/>
    <m/>
    <m/>
    <m/>
    <n v="2"/>
    <n v="164.31981400000001"/>
    <s v="EPER"/>
    <n v="7414000005"/>
  </r>
  <r>
    <x v="0"/>
    <m/>
    <x v="0"/>
    <m/>
    <m/>
    <m/>
    <m/>
    <m/>
    <m/>
    <m/>
    <m/>
    <m/>
    <m/>
    <m/>
    <n v="4870"/>
    <n v="15287.1248"/>
    <s v="EPER"/>
    <n v="7414000005"/>
  </r>
  <r>
    <x v="0"/>
    <m/>
    <x v="0"/>
    <m/>
    <m/>
    <m/>
    <m/>
    <m/>
    <m/>
    <m/>
    <m/>
    <m/>
    <m/>
    <m/>
    <n v="4881"/>
    <n v="16579.644132000001"/>
    <s v="EPER"/>
    <n v="7414000005"/>
  </r>
  <r>
    <x v="0"/>
    <m/>
    <x v="0"/>
    <m/>
    <m/>
    <m/>
    <m/>
    <m/>
    <m/>
    <m/>
    <m/>
    <m/>
    <m/>
    <m/>
    <n v="2"/>
    <n v="1551.383574"/>
    <s v="EPER"/>
    <n v="7414000005"/>
  </r>
  <r>
    <x v="0"/>
    <m/>
    <x v="0"/>
    <m/>
    <m/>
    <m/>
    <m/>
    <m/>
    <m/>
    <m/>
    <m/>
    <m/>
    <m/>
    <m/>
    <n v="1"/>
    <n v="747.17843200000004"/>
    <s v="EPER"/>
    <n v="7414000005"/>
  </r>
  <r>
    <x v="0"/>
    <m/>
    <x v="0"/>
    <m/>
    <m/>
    <m/>
    <m/>
    <m/>
    <m/>
    <m/>
    <m/>
    <m/>
    <m/>
    <m/>
    <n v="1"/>
    <n v="684.88915799999995"/>
    <s v="EPER"/>
    <n v="7414000005"/>
  </r>
  <r>
    <x v="0"/>
    <m/>
    <x v="0"/>
    <m/>
    <m/>
    <m/>
    <m/>
    <m/>
    <m/>
    <m/>
    <m/>
    <m/>
    <m/>
    <m/>
    <n v="1"/>
    <n v="772.926965"/>
    <s v="EPER"/>
    <n v="7414000005"/>
  </r>
  <r>
    <x v="0"/>
    <m/>
    <x v="0"/>
    <m/>
    <m/>
    <m/>
    <m/>
    <m/>
    <m/>
    <m/>
    <m/>
    <m/>
    <m/>
    <m/>
    <n v="2"/>
    <n v="1443.1892800000001"/>
    <s v="EPER"/>
    <n v="7414000005"/>
  </r>
  <r>
    <x v="0"/>
    <m/>
    <x v="0"/>
    <m/>
    <m/>
    <m/>
    <m/>
    <m/>
    <m/>
    <m/>
    <m/>
    <m/>
    <m/>
    <m/>
    <n v="1"/>
    <n v="709.36974099999998"/>
    <s v="EPER"/>
    <n v="7414000005"/>
  </r>
  <r>
    <x v="0"/>
    <m/>
    <x v="0"/>
    <m/>
    <m/>
    <m/>
    <m/>
    <m/>
    <m/>
    <m/>
    <m/>
    <m/>
    <m/>
    <m/>
    <n v="3"/>
    <n v="2083.233561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60"/>
    <n v="26982.400000000001"/>
    <s v="EPER"/>
    <n v="7414000005"/>
  </r>
  <r>
    <x v="0"/>
    <m/>
    <x v="0"/>
    <m/>
    <m/>
    <m/>
    <m/>
    <m/>
    <m/>
    <m/>
    <m/>
    <m/>
    <m/>
    <m/>
    <n v="3870"/>
    <n v="48297.599999999999"/>
    <s v="EPER"/>
    <n v="7414000005"/>
  </r>
  <r>
    <x v="0"/>
    <m/>
    <x v="0"/>
    <m/>
    <m/>
    <m/>
    <m/>
    <m/>
    <m/>
    <m/>
    <m/>
    <m/>
    <m/>
    <m/>
    <n v="1070"/>
    <n v="78505.899999999994"/>
    <s v="EPER"/>
    <n v="7414000005"/>
  </r>
  <r>
    <x v="0"/>
    <m/>
    <x v="0"/>
    <m/>
    <m/>
    <m/>
    <m/>
    <m/>
    <m/>
    <m/>
    <m/>
    <m/>
    <m/>
    <m/>
    <n v="14690"/>
    <n v="222112.8"/>
    <s v="EPER"/>
    <n v="7414000005"/>
  </r>
  <r>
    <x v="0"/>
    <m/>
    <x v="0"/>
    <m/>
    <m/>
    <m/>
    <m/>
    <m/>
    <m/>
    <m/>
    <m/>
    <m/>
    <m/>
    <m/>
    <n v="190"/>
    <n v="99767.1"/>
    <s v="EPER"/>
    <n v="7414000005"/>
  </r>
  <r>
    <x v="0"/>
    <m/>
    <x v="0"/>
    <m/>
    <m/>
    <m/>
    <m/>
    <m/>
    <m/>
    <m/>
    <m/>
    <m/>
    <m/>
    <m/>
    <n v="520"/>
    <n v="35490"/>
    <s v="EPER"/>
    <n v="7414000005"/>
  </r>
  <r>
    <x v="0"/>
    <m/>
    <x v="0"/>
    <m/>
    <m/>
    <m/>
    <m/>
    <m/>
    <m/>
    <m/>
    <m/>
    <m/>
    <m/>
    <m/>
    <n v="13160"/>
    <n v="188582.8"/>
    <s v="EPER"/>
    <n v="7414000005"/>
  </r>
  <r>
    <x v="0"/>
    <m/>
    <x v="0"/>
    <m/>
    <m/>
    <m/>
    <m/>
    <m/>
    <m/>
    <m/>
    <m/>
    <m/>
    <m/>
    <m/>
    <n v="92910"/>
    <n v="867608.72433"/>
    <s v="EPER"/>
    <n v="7414000005"/>
  </r>
  <r>
    <x v="0"/>
    <m/>
    <x v="0"/>
    <m/>
    <m/>
    <m/>
    <m/>
    <m/>
    <m/>
    <m/>
    <m/>
    <m/>
    <m/>
    <m/>
    <n v="80"/>
    <n v="21755.200000000001"/>
    <s v="EPER"/>
    <n v="7414000005"/>
  </r>
  <r>
    <x v="0"/>
    <m/>
    <x v="0"/>
    <m/>
    <m/>
    <m/>
    <m/>
    <m/>
    <m/>
    <m/>
    <m/>
    <m/>
    <m/>
    <m/>
    <n v="510"/>
    <n v="98506.5"/>
    <s v="EPER"/>
    <n v="7414000005"/>
  </r>
  <r>
    <x v="0"/>
    <m/>
    <x v="0"/>
    <m/>
    <m/>
    <m/>
    <m/>
    <m/>
    <m/>
    <m/>
    <m/>
    <m/>
    <m/>
    <m/>
    <n v="2280"/>
    <n v="61833.599999999999"/>
    <s v="EPER"/>
    <n v="7414000005"/>
  </r>
  <r>
    <x v="0"/>
    <m/>
    <x v="0"/>
    <m/>
    <m/>
    <m/>
    <m/>
    <m/>
    <m/>
    <m/>
    <m/>
    <m/>
    <m/>
    <m/>
    <n v="1700"/>
    <n v="299948"/>
    <s v="EPER"/>
    <n v="7414000005"/>
  </r>
  <r>
    <x v="0"/>
    <m/>
    <x v="0"/>
    <m/>
    <m/>
    <m/>
    <m/>
    <m/>
    <m/>
    <m/>
    <m/>
    <m/>
    <m/>
    <m/>
    <n v="2140"/>
    <n v="222816.8"/>
    <s v="EPER"/>
    <n v="7414000005"/>
  </r>
  <r>
    <x v="0"/>
    <m/>
    <x v="0"/>
    <m/>
    <m/>
    <m/>
    <m/>
    <m/>
    <m/>
    <m/>
    <m/>
    <m/>
    <m/>
    <m/>
    <n v="4990"/>
    <n v="492664.44150999998"/>
    <s v="EPER"/>
    <n v="7414000005"/>
  </r>
  <r>
    <x v="0"/>
    <m/>
    <x v="0"/>
    <m/>
    <m/>
    <m/>
    <m/>
    <m/>
    <m/>
    <m/>
    <m/>
    <m/>
    <m/>
    <m/>
    <n v="1321"/>
    <n v="131105.944858"/>
    <s v="EPER"/>
    <n v="7414000005"/>
  </r>
  <r>
    <x v="0"/>
    <m/>
    <x v="0"/>
    <m/>
    <m/>
    <m/>
    <m/>
    <m/>
    <m/>
    <m/>
    <m/>
    <m/>
    <m/>
    <m/>
    <n v="5320"/>
    <n v="505257.14204000001"/>
    <s v="EPER"/>
    <n v="7414000005"/>
  </r>
  <r>
    <x v="0"/>
    <m/>
    <x v="0"/>
    <m/>
    <m/>
    <m/>
    <m/>
    <m/>
    <m/>
    <m/>
    <m/>
    <m/>
    <m/>
    <m/>
    <n v="3051"/>
    <n v="280422.96587100002"/>
    <s v="EPER"/>
    <n v="7414000005"/>
  </r>
  <r>
    <x v="0"/>
    <m/>
    <x v="0"/>
    <m/>
    <m/>
    <m/>
    <m/>
    <m/>
    <m/>
    <m/>
    <m/>
    <m/>
    <m/>
    <m/>
    <n v="5564"/>
    <n v="493516.35637200001"/>
    <s v="EPER"/>
    <n v="7414000005"/>
  </r>
  <r>
    <x v="0"/>
    <m/>
    <x v="0"/>
    <m/>
    <m/>
    <m/>
    <m/>
    <m/>
    <m/>
    <m/>
    <m/>
    <m/>
    <m/>
    <m/>
    <n v="3909"/>
    <n v="364765.17652799998"/>
    <s v="EPER"/>
    <n v="7414000005"/>
  </r>
  <r>
    <x v="0"/>
    <m/>
    <x v="0"/>
    <m/>
    <m/>
    <m/>
    <m/>
    <m/>
    <m/>
    <m/>
    <m/>
    <m/>
    <m/>
    <m/>
    <n v="14699"/>
    <n v="1394496.437743"/>
    <s v="EPER"/>
    <n v="7414000005"/>
  </r>
  <r>
    <x v="0"/>
    <m/>
    <x v="0"/>
    <m/>
    <m/>
    <m/>
    <m/>
    <m/>
    <m/>
    <m/>
    <m/>
    <m/>
    <m/>
    <m/>
    <n v="67"/>
    <n v="5995.7941549999996"/>
    <s v="EPER"/>
    <n v="7414000005"/>
  </r>
  <r>
    <x v="0"/>
    <m/>
    <x v="0"/>
    <m/>
    <m/>
    <m/>
    <m/>
    <m/>
    <m/>
    <m/>
    <m/>
    <m/>
    <m/>
    <m/>
    <n v="8610"/>
    <n v="742157.27208000002"/>
    <s v="EPER"/>
    <n v="7414000005"/>
  </r>
  <r>
    <x v="0"/>
    <m/>
    <x v="0"/>
    <m/>
    <m/>
    <m/>
    <m/>
    <m/>
    <m/>
    <m/>
    <m/>
    <m/>
    <m/>
    <m/>
    <n v="11652"/>
    <n v="1007540.912808"/>
    <s v="EPER"/>
    <n v="7414000005"/>
  </r>
  <r>
    <x v="0"/>
    <m/>
    <x v="0"/>
    <m/>
    <m/>
    <m/>
    <m/>
    <m/>
    <m/>
    <m/>
    <m/>
    <m/>
    <m/>
    <m/>
    <n v="411"/>
    <n v="41696.347026000003"/>
    <s v="EPER"/>
    <n v="7414000005"/>
  </r>
  <r>
    <x v="0"/>
    <m/>
    <x v="0"/>
    <m/>
    <m/>
    <m/>
    <m/>
    <m/>
    <m/>
    <m/>
    <m/>
    <m/>
    <m/>
    <m/>
    <n v="327"/>
    <n v="29313.317244000002"/>
    <s v="EPER"/>
    <n v="7414000005"/>
  </r>
  <r>
    <x v="0"/>
    <m/>
    <x v="0"/>
    <m/>
    <m/>
    <m/>
    <m/>
    <m/>
    <m/>
    <m/>
    <m/>
    <m/>
    <m/>
    <m/>
    <n v="8295"/>
    <n v="678023.84369999997"/>
    <s v="EPER"/>
    <n v="7414000005"/>
  </r>
  <r>
    <x v="0"/>
    <m/>
    <x v="0"/>
    <m/>
    <m/>
    <m/>
    <m/>
    <m/>
    <m/>
    <m/>
    <m/>
    <m/>
    <m/>
    <m/>
    <n v="1440"/>
    <n v="119809.09583999999"/>
    <s v="EPER"/>
    <n v="7414000005"/>
  </r>
  <r>
    <x v="0"/>
    <m/>
    <x v="0"/>
    <m/>
    <m/>
    <m/>
    <m/>
    <m/>
    <m/>
    <m/>
    <m/>
    <m/>
    <m/>
    <m/>
    <n v="794"/>
    <n v="65234.966158000003"/>
    <s v="EPER"/>
    <n v="7414000005"/>
  </r>
  <r>
    <x v="0"/>
    <m/>
    <x v="0"/>
    <m/>
    <m/>
    <m/>
    <m/>
    <m/>
    <m/>
    <m/>
    <m/>
    <m/>
    <m/>
    <m/>
    <n v="270"/>
    <n v="84893.4"/>
    <s v="EPER"/>
    <n v="7414000005"/>
  </r>
  <r>
    <x v="0"/>
    <m/>
    <x v="0"/>
    <m/>
    <m/>
    <m/>
    <m/>
    <m/>
    <m/>
    <m/>
    <m/>
    <m/>
    <m/>
    <m/>
    <n v="760"/>
    <n v="33326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810"/>
    <n v="29386.799999999999"/>
    <s v="EPER"/>
    <n v="7414000005"/>
  </r>
  <r>
    <x v="0"/>
    <m/>
    <x v="0"/>
    <m/>
    <m/>
    <m/>
    <m/>
    <m/>
    <m/>
    <m/>
    <m/>
    <m/>
    <m/>
    <m/>
    <n v="280"/>
    <n v="38178"/>
    <s v="EPER"/>
    <n v="7414000005"/>
  </r>
  <r>
    <x v="0"/>
    <m/>
    <x v="0"/>
    <m/>
    <m/>
    <m/>
    <m/>
    <m/>
    <m/>
    <m/>
    <m/>
    <m/>
    <m/>
    <m/>
    <n v="5100"/>
    <n v="15045"/>
    <s v="EPER"/>
    <n v="7414000005"/>
  </r>
  <r>
    <x v="0"/>
    <m/>
    <x v="0"/>
    <m/>
    <m/>
    <m/>
    <m/>
    <m/>
    <m/>
    <m/>
    <m/>
    <m/>
    <m/>
    <m/>
    <n v="4205"/>
    <n v="412122.94196999999"/>
    <s v="EPER"/>
    <n v="7414000005"/>
  </r>
  <r>
    <x v="0"/>
    <m/>
    <x v="0"/>
    <m/>
    <m/>
    <m/>
    <m/>
    <m/>
    <m/>
    <m/>
    <m/>
    <m/>
    <m/>
    <m/>
    <n v="450"/>
    <n v="70200"/>
    <s v="EPER"/>
    <n v="7414000005"/>
  </r>
  <r>
    <x v="0"/>
    <m/>
    <x v="0"/>
    <m/>
    <m/>
    <m/>
    <m/>
    <m/>
    <m/>
    <m/>
    <m/>
    <m/>
    <m/>
    <m/>
    <n v="780000"/>
    <n v="3576203.28"/>
    <s v="EPER"/>
    <n v="7414000005"/>
  </r>
  <r>
    <x v="0"/>
    <m/>
    <x v="0"/>
    <m/>
    <m/>
    <m/>
    <m/>
    <m/>
    <m/>
    <m/>
    <m/>
    <m/>
    <m/>
    <m/>
    <n v="3174398"/>
    <n v="10782706.243256001"/>
    <s v="EPER"/>
    <n v="7414000005"/>
  </r>
  <r>
    <x v="0"/>
    <m/>
    <x v="0"/>
    <m/>
    <m/>
    <m/>
    <m/>
    <m/>
    <m/>
    <m/>
    <m/>
    <m/>
    <m/>
    <m/>
    <n v="1180"/>
    <n v="37063.800000000003"/>
    <s v="EPER"/>
    <n v="7414000005"/>
  </r>
  <r>
    <x v="0"/>
    <m/>
    <x v="0"/>
    <m/>
    <m/>
    <m/>
    <m/>
    <m/>
    <m/>
    <m/>
    <m/>
    <m/>
    <m/>
    <m/>
    <n v="97"/>
    <n v="75242.103338999994"/>
    <s v="EPER"/>
    <n v="7414000005"/>
  </r>
  <r>
    <x v="0"/>
    <m/>
    <x v="0"/>
    <m/>
    <m/>
    <m/>
    <m/>
    <m/>
    <m/>
    <m/>
    <m/>
    <m/>
    <m/>
    <m/>
    <n v="650"/>
    <n v="485665.98080000002"/>
    <s v="EPER"/>
    <n v="7414000005"/>
  </r>
  <r>
    <x v="0"/>
    <m/>
    <x v="0"/>
    <m/>
    <m/>
    <m/>
    <m/>
    <m/>
    <m/>
    <m/>
    <m/>
    <m/>
    <m/>
    <m/>
    <n v="328"/>
    <n v="251223.033624"/>
    <s v="EPER"/>
    <n v="7414000005"/>
  </r>
  <r>
    <x v="0"/>
    <m/>
    <x v="0"/>
    <m/>
    <m/>
    <m/>
    <m/>
    <m/>
    <m/>
    <m/>
    <m/>
    <m/>
    <m/>
    <m/>
    <n v="208"/>
    <n v="142456.94486399999"/>
    <s v="EPER"/>
    <n v="7414000005"/>
  </r>
  <r>
    <x v="0"/>
    <m/>
    <x v="0"/>
    <m/>
    <m/>
    <m/>
    <m/>
    <m/>
    <m/>
    <m/>
    <m/>
    <m/>
    <m/>
    <m/>
    <n v="206"/>
    <n v="159222.95478999999"/>
    <s v="EPER"/>
    <n v="7414000005"/>
  </r>
  <r>
    <x v="0"/>
    <m/>
    <x v="0"/>
    <m/>
    <m/>
    <m/>
    <m/>
    <m/>
    <m/>
    <m/>
    <m/>
    <m/>
    <m/>
    <m/>
    <n v="92"/>
    <n v="66386.706879999998"/>
    <s v="EPER"/>
    <n v="7414000005"/>
  </r>
  <r>
    <x v="0"/>
    <m/>
    <x v="0"/>
    <m/>
    <m/>
    <m/>
    <m/>
    <m/>
    <m/>
    <m/>
    <m/>
    <m/>
    <m/>
    <m/>
    <n v="203"/>
    <n v="144002.05742299999"/>
    <s v="EPER"/>
    <n v="7414000005"/>
  </r>
  <r>
    <x v="0"/>
    <m/>
    <x v="0"/>
    <m/>
    <m/>
    <m/>
    <m/>
    <m/>
    <m/>
    <m/>
    <m/>
    <m/>
    <m/>
    <m/>
    <n v="1930"/>
    <n v="113233.1"/>
    <s v="EPER"/>
    <n v="7414000005"/>
  </r>
  <r>
    <x v="0"/>
    <m/>
    <x v="0"/>
    <m/>
    <m/>
    <m/>
    <m/>
    <m/>
    <m/>
    <m/>
    <m/>
    <m/>
    <m/>
    <m/>
    <n v="3000"/>
    <n v="195780"/>
    <s v="EPER"/>
    <n v="7414000005"/>
  </r>
  <r>
    <x v="0"/>
    <m/>
    <x v="0"/>
    <m/>
    <m/>
    <m/>
    <m/>
    <m/>
    <m/>
    <m/>
    <m/>
    <m/>
    <m/>
    <m/>
    <n v="11"/>
    <n v="1855.04"/>
    <s v="EPER"/>
    <n v="7414000005"/>
  </r>
  <r>
    <x v="0"/>
    <m/>
    <x v="0"/>
    <m/>
    <m/>
    <m/>
    <m/>
    <m/>
    <m/>
    <m/>
    <m/>
    <m/>
    <m/>
    <m/>
    <n v="258"/>
    <n v="3219.84"/>
    <s v="EPER"/>
    <n v="7414000005"/>
  </r>
  <r>
    <x v="0"/>
    <m/>
    <x v="0"/>
    <m/>
    <m/>
    <m/>
    <m/>
    <m/>
    <m/>
    <m/>
    <m/>
    <m/>
    <m/>
    <m/>
    <n v="71"/>
    <n v="5209.2700000000004"/>
    <s v="EPER"/>
    <n v="7414000005"/>
  </r>
  <r>
    <x v="0"/>
    <m/>
    <x v="0"/>
    <m/>
    <m/>
    <m/>
    <m/>
    <m/>
    <m/>
    <m/>
    <m/>
    <m/>
    <m/>
    <m/>
    <n v="978"/>
    <n v="14787.36"/>
    <s v="EPER"/>
    <n v="7414000005"/>
  </r>
  <r>
    <x v="0"/>
    <m/>
    <x v="0"/>
    <m/>
    <m/>
    <m/>
    <m/>
    <m/>
    <m/>
    <m/>
    <m/>
    <m/>
    <m/>
    <m/>
    <n v="13"/>
    <n v="6826.17"/>
    <s v="EPER"/>
    <n v="7414000005"/>
  </r>
  <r>
    <x v="0"/>
    <m/>
    <x v="0"/>
    <m/>
    <m/>
    <m/>
    <m/>
    <m/>
    <m/>
    <m/>
    <m/>
    <m/>
    <m/>
    <m/>
    <n v="35"/>
    <n v="2388.75"/>
    <s v="EPER"/>
    <n v="7414000005"/>
  </r>
  <r>
    <x v="0"/>
    <m/>
    <x v="0"/>
    <m/>
    <m/>
    <m/>
    <m/>
    <m/>
    <m/>
    <m/>
    <m/>
    <m/>
    <m/>
    <m/>
    <n v="877"/>
    <n v="12567.41"/>
    <s v="EPER"/>
    <n v="7414000005"/>
  </r>
  <r>
    <x v="0"/>
    <m/>
    <x v="0"/>
    <m/>
    <m/>
    <m/>
    <m/>
    <m/>
    <m/>
    <m/>
    <m/>
    <m/>
    <m/>
    <m/>
    <n v="7970"/>
    <n v="74425.159109999993"/>
    <s v="EPER"/>
    <n v="7414000005"/>
  </r>
  <r>
    <x v="0"/>
    <m/>
    <x v="0"/>
    <m/>
    <m/>
    <m/>
    <m/>
    <m/>
    <m/>
    <m/>
    <m/>
    <m/>
    <m/>
    <m/>
    <n v="5"/>
    <n v="1359.7"/>
    <s v="EPER"/>
    <n v="7414000005"/>
  </r>
  <r>
    <x v="0"/>
    <m/>
    <x v="0"/>
    <m/>
    <m/>
    <m/>
    <m/>
    <m/>
    <m/>
    <m/>
    <m/>
    <m/>
    <m/>
    <m/>
    <n v="34"/>
    <n v="6567.1"/>
    <s v="EPER"/>
    <n v="7414000005"/>
  </r>
  <r>
    <x v="0"/>
    <m/>
    <x v="0"/>
    <m/>
    <m/>
    <m/>
    <m/>
    <m/>
    <m/>
    <m/>
    <m/>
    <m/>
    <m/>
    <m/>
    <n v="151"/>
    <n v="4095.12"/>
    <s v="EPER"/>
    <n v="7414000005"/>
  </r>
  <r>
    <x v="0"/>
    <m/>
    <x v="0"/>
    <m/>
    <m/>
    <m/>
    <m/>
    <m/>
    <m/>
    <m/>
    <m/>
    <m/>
    <m/>
    <m/>
    <n v="113"/>
    <n v="19937.72"/>
    <s v="EPER"/>
    <n v="7414000005"/>
  </r>
  <r>
    <x v="0"/>
    <m/>
    <x v="0"/>
    <m/>
    <m/>
    <m/>
    <m/>
    <m/>
    <m/>
    <m/>
    <m/>
    <m/>
    <m/>
    <m/>
    <n v="143"/>
    <n v="14889.16"/>
    <s v="EPER"/>
    <n v="7414000005"/>
  </r>
  <r>
    <x v="0"/>
    <m/>
    <x v="0"/>
    <m/>
    <m/>
    <m/>
    <m/>
    <m/>
    <m/>
    <m/>
    <m/>
    <m/>
    <m/>
    <m/>
    <n v="480"/>
    <n v="47390.567519999997"/>
    <s v="EPER"/>
    <n v="7414000005"/>
  </r>
  <r>
    <x v="0"/>
    <m/>
    <x v="0"/>
    <m/>
    <m/>
    <m/>
    <m/>
    <m/>
    <m/>
    <m/>
    <m/>
    <m/>
    <m/>
    <m/>
    <n v="163"/>
    <n v="16177.342173999999"/>
    <s v="EPER"/>
    <n v="7414000005"/>
  </r>
  <r>
    <x v="0"/>
    <m/>
    <x v="0"/>
    <m/>
    <m/>
    <m/>
    <m/>
    <m/>
    <m/>
    <m/>
    <m/>
    <m/>
    <m/>
    <m/>
    <n v="440"/>
    <n v="41788.184679999998"/>
    <s v="EPER"/>
    <n v="7414000005"/>
  </r>
  <r>
    <x v="0"/>
    <m/>
    <x v="0"/>
    <m/>
    <m/>
    <m/>
    <m/>
    <m/>
    <m/>
    <m/>
    <m/>
    <m/>
    <m/>
    <m/>
    <n v="351"/>
    <n v="32261.049170999999"/>
    <s v="EPER"/>
    <n v="7414000005"/>
  </r>
  <r>
    <x v="0"/>
    <m/>
    <x v="0"/>
    <m/>
    <m/>
    <m/>
    <m/>
    <m/>
    <m/>
    <m/>
    <m/>
    <m/>
    <m/>
    <m/>
    <n v="435"/>
    <n v="38583.683505000001"/>
    <s v="EPER"/>
    <n v="7414000005"/>
  </r>
  <r>
    <x v="0"/>
    <m/>
    <x v="0"/>
    <m/>
    <m/>
    <m/>
    <m/>
    <m/>
    <m/>
    <m/>
    <m/>
    <m/>
    <m/>
    <m/>
    <n v="356"/>
    <n v="33219.852352000002"/>
    <s v="EPER"/>
    <n v="7414000005"/>
  </r>
  <r>
    <x v="0"/>
    <m/>
    <x v="0"/>
    <m/>
    <m/>
    <m/>
    <m/>
    <m/>
    <m/>
    <m/>
    <m/>
    <m/>
    <m/>
    <m/>
    <n v="890"/>
    <n v="84434.439729999998"/>
    <s v="EPER"/>
    <n v="7414000005"/>
  </r>
  <r>
    <x v="0"/>
    <m/>
    <x v="0"/>
    <m/>
    <m/>
    <m/>
    <m/>
    <m/>
    <m/>
    <m/>
    <m/>
    <m/>
    <m/>
    <m/>
    <n v="60"/>
    <n v="5369.3679000000002"/>
    <s v="EPER"/>
    <n v="7414000005"/>
  </r>
  <r>
    <x v="0"/>
    <m/>
    <x v="0"/>
    <m/>
    <m/>
    <m/>
    <m/>
    <m/>
    <m/>
    <m/>
    <m/>
    <m/>
    <m/>
    <m/>
    <n v="500"/>
    <n v="43098.563999999998"/>
    <s v="EPER"/>
    <n v="7414000005"/>
  </r>
  <r>
    <x v="0"/>
    <m/>
    <x v="0"/>
    <m/>
    <m/>
    <m/>
    <m/>
    <m/>
    <m/>
    <m/>
    <m/>
    <m/>
    <m/>
    <m/>
    <n v="785"/>
    <n v="67878.442890000006"/>
    <s v="EPER"/>
    <n v="7414000005"/>
  </r>
  <r>
    <x v="0"/>
    <m/>
    <x v="0"/>
    <m/>
    <m/>
    <m/>
    <m/>
    <m/>
    <m/>
    <m/>
    <m/>
    <m/>
    <m/>
    <m/>
    <n v="34"/>
    <n v="3449.332844"/>
    <s v="EPER"/>
    <n v="7414000005"/>
  </r>
  <r>
    <x v="0"/>
    <m/>
    <x v="0"/>
    <m/>
    <m/>
    <m/>
    <m/>
    <m/>
    <m/>
    <m/>
    <m/>
    <m/>
    <m/>
    <m/>
    <n v="28"/>
    <n v="2510.008816"/>
    <s v="EPER"/>
    <n v="7414000005"/>
  </r>
  <r>
    <x v="0"/>
    <m/>
    <x v="0"/>
    <m/>
    <m/>
    <m/>
    <m/>
    <m/>
    <m/>
    <m/>
    <m/>
    <m/>
    <m/>
    <m/>
    <n v="236"/>
    <n v="19290.37096"/>
    <s v="EPER"/>
    <n v="7414000005"/>
  </r>
  <r>
    <x v="0"/>
    <m/>
    <x v="0"/>
    <m/>
    <m/>
    <m/>
    <m/>
    <m/>
    <m/>
    <m/>
    <m/>
    <m/>
    <m/>
    <m/>
    <n v="100"/>
    <n v="8320.0761000000002"/>
    <s v="EPER"/>
    <n v="7414000005"/>
  </r>
  <r>
    <x v="0"/>
    <m/>
    <x v="0"/>
    <m/>
    <m/>
    <m/>
    <m/>
    <m/>
    <m/>
    <m/>
    <m/>
    <m/>
    <m/>
    <m/>
    <n v="35"/>
    <n v="2875.5967449999998"/>
    <s v="EPER"/>
    <n v="7414000005"/>
  </r>
  <r>
    <x v="0"/>
    <m/>
    <x v="0"/>
    <m/>
    <m/>
    <m/>
    <m/>
    <m/>
    <m/>
    <m/>
    <m/>
    <m/>
    <m/>
    <m/>
    <n v="18"/>
    <n v="5659.56"/>
    <s v="EPER"/>
    <n v="7414000005"/>
  </r>
  <r>
    <x v="0"/>
    <m/>
    <x v="0"/>
    <m/>
    <m/>
    <m/>
    <m/>
    <m/>
    <m/>
    <m/>
    <m/>
    <m/>
    <m/>
    <m/>
    <n v="50"/>
    <n v="2192.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54"/>
    <n v="1959.12"/>
    <s v="EPER"/>
    <n v="7414000005"/>
  </r>
  <r>
    <x v="0"/>
    <m/>
    <x v="0"/>
    <m/>
    <m/>
    <m/>
    <m/>
    <m/>
    <m/>
    <m/>
    <m/>
    <m/>
    <m/>
    <m/>
    <n v="18"/>
    <n v="2454.3000000000002"/>
    <s v="EPER"/>
    <n v="7414000005"/>
  </r>
  <r>
    <x v="0"/>
    <m/>
    <x v="0"/>
    <m/>
    <m/>
    <m/>
    <m/>
    <m/>
    <m/>
    <m/>
    <m/>
    <m/>
    <m/>
    <m/>
    <n v="390"/>
    <n v="1150.5"/>
    <s v="EPER"/>
    <n v="7414000005"/>
  </r>
  <r>
    <x v="0"/>
    <m/>
    <x v="0"/>
    <m/>
    <m/>
    <m/>
    <m/>
    <m/>
    <m/>
    <m/>
    <m/>
    <m/>
    <m/>
    <m/>
    <n v="395"/>
    <n v="38713.094429999997"/>
    <s v="EPER"/>
    <n v="7414000005"/>
  </r>
  <r>
    <x v="0"/>
    <m/>
    <x v="0"/>
    <m/>
    <m/>
    <m/>
    <m/>
    <m/>
    <m/>
    <m/>
    <m/>
    <m/>
    <m/>
    <m/>
    <n v="30"/>
    <n v="4680"/>
    <s v="EPER"/>
    <n v="7414000005"/>
  </r>
  <r>
    <x v="0"/>
    <m/>
    <x v="0"/>
    <m/>
    <m/>
    <m/>
    <m/>
    <m/>
    <m/>
    <m/>
    <m/>
    <m/>
    <m/>
    <m/>
    <n v="52000"/>
    <n v="238413.552"/>
    <s v="EPER"/>
    <n v="7414000005"/>
  </r>
  <r>
    <x v="0"/>
    <m/>
    <x v="0"/>
    <m/>
    <m/>
    <m/>
    <m/>
    <m/>
    <m/>
    <m/>
    <m/>
    <m/>
    <m/>
    <m/>
    <n v="203484"/>
    <n v="691188.75364799995"/>
    <s v="EPER"/>
    <n v="7414000005"/>
  </r>
  <r>
    <x v="0"/>
    <m/>
    <x v="0"/>
    <m/>
    <m/>
    <m/>
    <m/>
    <m/>
    <m/>
    <m/>
    <m/>
    <m/>
    <m/>
    <m/>
    <n v="76"/>
    <n v="2387.16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9"/>
    <n v="6981.2260829999996"/>
    <s v="EPER"/>
    <n v="7414000005"/>
  </r>
  <r>
    <x v="0"/>
    <m/>
    <x v="0"/>
    <m/>
    <m/>
    <m/>
    <m/>
    <m/>
    <m/>
    <m/>
    <m/>
    <m/>
    <m/>
    <m/>
    <n v="60"/>
    <n v="44830.70592"/>
    <s v="EPER"/>
    <n v="7414000005"/>
  </r>
  <r>
    <x v="0"/>
    <m/>
    <x v="0"/>
    <m/>
    <m/>
    <m/>
    <m/>
    <m/>
    <m/>
    <m/>
    <m/>
    <m/>
    <m/>
    <m/>
    <n v="24"/>
    <n v="18382.173191999998"/>
    <s v="EPER"/>
    <n v="7414000005"/>
  </r>
  <r>
    <x v="0"/>
    <m/>
    <x v="0"/>
    <m/>
    <m/>
    <m/>
    <m/>
    <m/>
    <m/>
    <m/>
    <m/>
    <m/>
    <m/>
    <m/>
    <n v="24"/>
    <n v="16437.339791999999"/>
    <s v="EPER"/>
    <n v="7414000005"/>
  </r>
  <r>
    <x v="0"/>
    <m/>
    <x v="0"/>
    <m/>
    <m/>
    <m/>
    <m/>
    <m/>
    <m/>
    <m/>
    <m/>
    <m/>
    <m/>
    <m/>
    <n v="20"/>
    <n v="15458.5393"/>
    <s v="EPER"/>
    <n v="7414000005"/>
  </r>
  <r>
    <x v="0"/>
    <m/>
    <x v="0"/>
    <m/>
    <m/>
    <m/>
    <m/>
    <m/>
    <m/>
    <m/>
    <m/>
    <m/>
    <m/>
    <m/>
    <n v="6"/>
    <n v="4329.5678399999997"/>
    <s v="EPER"/>
    <n v="7414000005"/>
  </r>
  <r>
    <x v="0"/>
    <m/>
    <x v="0"/>
    <m/>
    <m/>
    <m/>
    <m/>
    <m/>
    <m/>
    <m/>
    <m/>
    <m/>
    <m/>
    <m/>
    <n v="15"/>
    <n v="10640.546114999999"/>
    <s v="EPER"/>
    <n v="7414000005"/>
  </r>
  <r>
    <x v="0"/>
    <m/>
    <x v="0"/>
    <m/>
    <m/>
    <m/>
    <m/>
    <m/>
    <m/>
    <m/>
    <m/>
    <m/>
    <m/>
    <m/>
    <n v="140"/>
    <n v="8213.7999999999993"/>
    <s v="EPER"/>
    <n v="7414000005"/>
  </r>
  <r>
    <x v="0"/>
    <m/>
    <x v="0"/>
    <m/>
    <m/>
    <m/>
    <m/>
    <m/>
    <m/>
    <m/>
    <m/>
    <m/>
    <m/>
    <m/>
    <n v="200"/>
    <n v="13052"/>
    <s v="EPER"/>
    <n v="7414000005"/>
  </r>
  <r>
    <x v="0"/>
    <m/>
    <x v="0"/>
    <m/>
    <m/>
    <m/>
    <m/>
    <m/>
    <m/>
    <m/>
    <m/>
    <m/>
    <m/>
    <m/>
    <n v="784170"/>
    <n v="7322707.2797100004"/>
    <s v="EPER"/>
    <n v="7414000005"/>
  </r>
  <r>
    <x v="0"/>
    <m/>
    <x v="0"/>
    <m/>
    <m/>
    <m/>
    <m/>
    <m/>
    <m/>
    <m/>
    <m/>
    <m/>
    <m/>
    <m/>
    <n v="73540"/>
    <n v="607298.10010000004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2000"/>
    <n v="980866.32"/>
    <s v="EPER"/>
    <n v="7414000005"/>
  </r>
  <r>
    <x v="0"/>
    <m/>
    <x v="0"/>
    <m/>
    <m/>
    <m/>
    <m/>
    <m/>
    <m/>
    <m/>
    <m/>
    <m/>
    <m/>
    <m/>
    <n v="25000"/>
    <n v="2053997.675"/>
    <s v="EPER"/>
    <n v="7414000005"/>
  </r>
  <r>
    <x v="0"/>
    <m/>
    <x v="0"/>
    <m/>
    <m/>
    <m/>
    <m/>
    <m/>
    <m/>
    <m/>
    <m/>
    <m/>
    <m/>
    <m/>
    <n v="2459952"/>
    <n v="8355896.0749439998"/>
    <s v="EPER"/>
    <n v="7414000005"/>
  </r>
  <r>
    <x v="0"/>
    <m/>
    <x v="0"/>
    <m/>
    <m/>
    <m/>
    <m/>
    <m/>
    <m/>
    <m/>
    <m/>
    <m/>
    <m/>
    <m/>
    <n v="6000"/>
    <n v="4109334.947999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3000"/>
    <n v="2083233.561"/>
    <s v="EPER"/>
    <n v="7414000005"/>
  </r>
  <r>
    <x v="0"/>
    <m/>
    <x v="0"/>
    <m/>
    <m/>
    <m/>
    <m/>
    <m/>
    <m/>
    <m/>
    <m/>
    <m/>
    <m/>
    <m/>
    <n v="94140"/>
    <n v="879094.66481999995"/>
    <s v="EPER"/>
    <n v="7414000005"/>
  </r>
  <r>
    <x v="0"/>
    <m/>
    <x v="0"/>
    <m/>
    <m/>
    <m/>
    <m/>
    <m/>
    <m/>
    <m/>
    <m/>
    <m/>
    <m/>
    <m/>
    <n v="61500"/>
    <n v="507870.9975"/>
    <s v="EPER"/>
    <n v="7414000005"/>
  </r>
  <r>
    <x v="0"/>
    <m/>
    <x v="0"/>
    <m/>
    <m/>
    <m/>
    <m/>
    <m/>
    <m/>
    <m/>
    <m/>
    <m/>
    <m/>
    <m/>
    <n v="3250"/>
    <n v="320873.63425"/>
    <s v="EPER"/>
    <n v="7414000005"/>
  </r>
  <r>
    <x v="0"/>
    <m/>
    <x v="0"/>
    <m/>
    <m/>
    <m/>
    <m/>
    <m/>
    <m/>
    <m/>
    <m/>
    <m/>
    <m/>
    <m/>
    <n v="1390"/>
    <n v="137954.02222000001"/>
    <s v="EPER"/>
    <n v="7414000005"/>
  </r>
  <r>
    <x v="0"/>
    <m/>
    <x v="0"/>
    <m/>
    <m/>
    <m/>
    <m/>
    <m/>
    <m/>
    <m/>
    <m/>
    <m/>
    <m/>
    <m/>
    <n v="2360"/>
    <n v="224136.62692000001"/>
    <s v="EPER"/>
    <n v="7414000005"/>
  </r>
  <r>
    <x v="0"/>
    <m/>
    <x v="0"/>
    <m/>
    <m/>
    <m/>
    <m/>
    <m/>
    <m/>
    <m/>
    <m/>
    <m/>
    <m/>
    <m/>
    <n v="610"/>
    <n v="56066.210809999997"/>
    <s v="EPER"/>
    <n v="7414000005"/>
  </r>
  <r>
    <x v="0"/>
    <m/>
    <x v="0"/>
    <m/>
    <m/>
    <m/>
    <m/>
    <m/>
    <m/>
    <m/>
    <m/>
    <m/>
    <m/>
    <m/>
    <n v="3398"/>
    <n v="301396.22195400001"/>
    <s v="EPER"/>
    <n v="7414000005"/>
  </r>
  <r>
    <x v="0"/>
    <m/>
    <x v="0"/>
    <m/>
    <m/>
    <m/>
    <m/>
    <m/>
    <m/>
    <m/>
    <m/>
    <m/>
    <m/>
    <m/>
    <n v="14130"/>
    <n v="1318529.53296"/>
    <s v="EPER"/>
    <n v="7414000005"/>
  </r>
  <r>
    <x v="0"/>
    <m/>
    <x v="0"/>
    <m/>
    <m/>
    <m/>
    <m/>
    <m/>
    <m/>
    <m/>
    <m/>
    <m/>
    <m/>
    <m/>
    <n v="23720"/>
    <n v="2250320.1240400001"/>
    <s v="EPER"/>
    <n v="7414000005"/>
  </r>
  <r>
    <x v="0"/>
    <m/>
    <x v="0"/>
    <m/>
    <m/>
    <m/>
    <m/>
    <m/>
    <m/>
    <m/>
    <m/>
    <m/>
    <m/>
    <m/>
    <n v="10888"/>
    <n v="974361.29492000001"/>
    <s v="EPER"/>
    <n v="7414000005"/>
  </r>
  <r>
    <x v="0"/>
    <m/>
    <x v="0"/>
    <m/>
    <m/>
    <m/>
    <m/>
    <m/>
    <m/>
    <m/>
    <m/>
    <m/>
    <m/>
    <m/>
    <n v="23180"/>
    <n v="1998049.42704"/>
    <s v="EPER"/>
    <n v="7414000005"/>
  </r>
  <r>
    <x v="0"/>
    <m/>
    <x v="0"/>
    <m/>
    <m/>
    <m/>
    <m/>
    <m/>
    <m/>
    <m/>
    <m/>
    <m/>
    <m/>
    <m/>
    <n v="16135"/>
    <n v="1395183.02679"/>
    <s v="EPER"/>
    <n v="7414000005"/>
  </r>
  <r>
    <x v="0"/>
    <m/>
    <x v="0"/>
    <m/>
    <m/>
    <m/>
    <m/>
    <m/>
    <m/>
    <m/>
    <m/>
    <m/>
    <m/>
    <m/>
    <n v="360"/>
    <n v="32271.54192"/>
    <s v="EPER"/>
    <n v="7414000005"/>
  </r>
  <r>
    <x v="0"/>
    <m/>
    <x v="0"/>
    <m/>
    <m/>
    <m/>
    <m/>
    <m/>
    <m/>
    <m/>
    <m/>
    <m/>
    <m/>
    <m/>
    <n v="16756"/>
    <n v="1369616.33816"/>
    <s v="EPER"/>
    <n v="7414000005"/>
  </r>
  <r>
    <x v="0"/>
    <m/>
    <x v="0"/>
    <m/>
    <m/>
    <m/>
    <m/>
    <m/>
    <m/>
    <m/>
    <m/>
    <m/>
    <m/>
    <m/>
    <n v="1410"/>
    <n v="117313.07300999999"/>
    <s v="EPER"/>
    <n v="7414000005"/>
  </r>
  <r>
    <x v="0"/>
    <m/>
    <x v="0"/>
    <m/>
    <m/>
    <m/>
    <m/>
    <m/>
    <m/>
    <m/>
    <m/>
    <m/>
    <m/>
    <m/>
    <n v="4893"/>
    <n v="402008.42495100002"/>
    <s v="EPER"/>
    <n v="7414000005"/>
  </r>
  <r>
    <x v="0"/>
    <m/>
    <x v="0"/>
    <m/>
    <m/>
    <m/>
    <m/>
    <m/>
    <m/>
    <m/>
    <m/>
    <m/>
    <m/>
    <m/>
    <n v="29050"/>
    <n v="98676.226599999995"/>
    <s v="EPER"/>
    <n v="7414000005"/>
  </r>
  <r>
    <x v="0"/>
    <m/>
    <x v="0"/>
    <m/>
    <m/>
    <m/>
    <m/>
    <m/>
    <m/>
    <m/>
    <m/>
    <m/>
    <m/>
    <m/>
    <n v="1625"/>
    <n v="1260499.1538750001"/>
    <s v="EPER"/>
    <n v="7414000005"/>
  </r>
  <r>
    <x v="0"/>
    <m/>
    <x v="0"/>
    <m/>
    <m/>
    <m/>
    <m/>
    <m/>
    <m/>
    <m/>
    <m/>
    <m/>
    <m/>
    <m/>
    <n v="1995"/>
    <n v="1490620.97184"/>
    <s v="EPER"/>
    <n v="7414000005"/>
  </r>
  <r>
    <x v="0"/>
    <m/>
    <x v="0"/>
    <m/>
    <m/>
    <m/>
    <m/>
    <m/>
    <m/>
    <m/>
    <m/>
    <m/>
    <m/>
    <m/>
    <n v="1821"/>
    <n v="1247183.1567180001"/>
    <s v="EPER"/>
    <n v="7414000005"/>
  </r>
  <r>
    <x v="0"/>
    <m/>
    <x v="0"/>
    <m/>
    <m/>
    <m/>
    <m/>
    <m/>
    <m/>
    <m/>
    <m/>
    <m/>
    <m/>
    <m/>
    <n v="1689"/>
    <n v="1305473.6438849999"/>
    <s v="EPER"/>
    <n v="7414000005"/>
  </r>
  <r>
    <x v="0"/>
    <m/>
    <x v="0"/>
    <m/>
    <m/>
    <m/>
    <m/>
    <m/>
    <m/>
    <m/>
    <m/>
    <m/>
    <m/>
    <m/>
    <n v="1521"/>
    <n v="1097545.44744"/>
    <s v="EPER"/>
    <n v="7414000005"/>
  </r>
  <r>
    <x v="0"/>
    <m/>
    <x v="0"/>
    <m/>
    <m/>
    <m/>
    <m/>
    <m/>
    <m/>
    <m/>
    <m/>
    <m/>
    <m/>
    <m/>
    <n v="508"/>
    <n v="323069.26445199997"/>
    <s v="EPER"/>
    <n v="7414000005"/>
  </r>
  <r>
    <x v="0"/>
    <m/>
    <x v="0"/>
    <m/>
    <m/>
    <m/>
    <m/>
    <m/>
    <m/>
    <m/>
    <m/>
    <m/>
    <m/>
    <m/>
    <n v="127"/>
    <n v="90089.957106999995"/>
    <s v="EPER"/>
    <n v="7414000005"/>
  </r>
  <r>
    <x v="0"/>
    <m/>
    <x v="0"/>
    <m/>
    <m/>
    <m/>
    <m/>
    <m/>
    <m/>
    <m/>
    <m/>
    <m/>
    <m/>
    <m/>
    <n v="1790"/>
    <n v="1242996.024729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668079"/>
    <n v="2413756.7334989998"/>
    <s v="EPER"/>
    <n v="7414000005"/>
  </r>
  <r>
    <x v="0"/>
    <m/>
    <x v="0"/>
    <m/>
    <m/>
    <m/>
    <m/>
    <m/>
    <m/>
    <m/>
    <m/>
    <m/>
    <m/>
    <m/>
    <n v="3853660"/>
    <n v="528132210.60523999"/>
    <s v="EPER"/>
    <n v="7414000005"/>
  </r>
  <r>
    <x v="0"/>
    <m/>
    <x v="0"/>
    <m/>
    <m/>
    <m/>
    <m/>
    <m/>
    <m/>
    <m/>
    <m/>
    <m/>
    <m/>
    <m/>
    <n v="11235729"/>
    <n v="1539821985.9903059"/>
    <s v="EPER"/>
    <n v="7414000005"/>
  </r>
  <r>
    <x v="0"/>
    <m/>
    <x v="0"/>
    <m/>
    <m/>
    <m/>
    <m/>
    <m/>
    <m/>
    <m/>
    <m/>
    <m/>
    <m/>
    <m/>
    <n v="15500"/>
    <n v="2613920"/>
    <s v="EPER"/>
    <n v="7414000005"/>
  </r>
  <r>
    <x v="0"/>
    <m/>
    <x v="0"/>
    <m/>
    <m/>
    <m/>
    <m/>
    <m/>
    <m/>
    <m/>
    <m/>
    <m/>
    <m/>
    <m/>
    <n v="80000"/>
    <n v="998400"/>
    <s v="EPER"/>
    <n v="7414000005"/>
  </r>
  <r>
    <x v="0"/>
    <m/>
    <x v="0"/>
    <m/>
    <m/>
    <m/>
    <m/>
    <m/>
    <m/>
    <m/>
    <m/>
    <m/>
    <m/>
    <m/>
    <n v="33657"/>
    <n v="399172.02"/>
    <s v="EPER"/>
    <n v="7414000005"/>
  </r>
  <r>
    <x v="0"/>
    <m/>
    <x v="0"/>
    <m/>
    <m/>
    <m/>
    <m/>
    <m/>
    <m/>
    <m/>
    <m/>
    <m/>
    <m/>
    <m/>
    <n v="30000"/>
    <n v="2201100"/>
    <s v="EPER"/>
    <n v="7414000005"/>
  </r>
  <r>
    <x v="0"/>
    <m/>
    <x v="0"/>
    <m/>
    <m/>
    <m/>
    <m/>
    <m/>
    <m/>
    <m/>
    <m/>
    <m/>
    <m/>
    <m/>
    <n v="543000"/>
    <n v="8210160"/>
    <s v="EPER"/>
    <n v="7414000005"/>
  </r>
  <r>
    <x v="0"/>
    <m/>
    <x v="0"/>
    <m/>
    <m/>
    <m/>
    <m/>
    <m/>
    <m/>
    <m/>
    <m/>
    <m/>
    <m/>
    <m/>
    <n v="8200"/>
    <n v="4305738"/>
    <s v="EPER"/>
    <n v="7414000005"/>
  </r>
  <r>
    <x v="0"/>
    <m/>
    <x v="0"/>
    <m/>
    <m/>
    <m/>
    <m/>
    <m/>
    <m/>
    <m/>
    <m/>
    <m/>
    <m/>
    <m/>
    <n v="28700"/>
    <n v="1958775"/>
    <s v="EPER"/>
    <n v="7414000005"/>
  </r>
  <r>
    <x v="0"/>
    <m/>
    <x v="0"/>
    <m/>
    <m/>
    <m/>
    <m/>
    <m/>
    <m/>
    <m/>
    <m/>
    <m/>
    <m/>
    <m/>
    <n v="620000"/>
    <n v="8884600"/>
    <s v="EPER"/>
    <n v="7414000005"/>
  </r>
  <r>
    <x v="0"/>
    <m/>
    <x v="0"/>
    <m/>
    <m/>
    <m/>
    <m/>
    <m/>
    <m/>
    <m/>
    <m/>
    <m/>
    <m/>
    <m/>
    <n v="6300"/>
    <n v="784287"/>
    <s v="EPER"/>
    <n v="7414000005"/>
  </r>
  <r>
    <x v="0"/>
    <m/>
    <x v="0"/>
    <m/>
    <m/>
    <m/>
    <m/>
    <m/>
    <m/>
    <m/>
    <m/>
    <m/>
    <m/>
    <m/>
    <n v="213000"/>
    <n v="4283430"/>
    <s v="EPER"/>
    <n v="7414000005"/>
  </r>
  <r>
    <x v="0"/>
    <m/>
    <x v="0"/>
    <m/>
    <m/>
    <m/>
    <m/>
    <m/>
    <m/>
    <m/>
    <m/>
    <m/>
    <m/>
    <m/>
    <n v="29629"/>
    <n v="1629595"/>
    <s v="EPER"/>
    <n v="7414000005"/>
  </r>
  <r>
    <x v="0"/>
    <m/>
    <x v="0"/>
    <m/>
    <m/>
    <m/>
    <m/>
    <m/>
    <m/>
    <m/>
    <m/>
    <m/>
    <m/>
    <m/>
    <n v="8140"/>
    <n v="5497593.2000000002"/>
    <s v="EPER"/>
    <n v="7414000005"/>
  </r>
  <r>
    <x v="0"/>
    <m/>
    <x v="0"/>
    <m/>
    <m/>
    <m/>
    <m/>
    <m/>
    <m/>
    <m/>
    <m/>
    <m/>
    <m/>
    <m/>
    <n v="0"/>
    <n v="44802929.479999997"/>
    <s v="EPER"/>
    <n v="7414000005"/>
  </r>
  <r>
    <x v="0"/>
    <m/>
    <x v="0"/>
    <m/>
    <m/>
    <m/>
    <m/>
    <m/>
    <m/>
    <m/>
    <m/>
    <m/>
    <m/>
    <m/>
    <n v="1930"/>
    <n v="1352254.5"/>
    <s v="EPER"/>
    <n v="7414000005"/>
  </r>
  <r>
    <x v="0"/>
    <m/>
    <x v="0"/>
    <m/>
    <m/>
    <m/>
    <m/>
    <m/>
    <m/>
    <m/>
    <m/>
    <m/>
    <m/>
    <m/>
    <n v="2670"/>
    <n v="3073170"/>
    <s v="EPER"/>
    <n v="7414000005"/>
  </r>
  <r>
    <x v="0"/>
    <m/>
    <x v="0"/>
    <m/>
    <m/>
    <m/>
    <m/>
    <m/>
    <m/>
    <m/>
    <m/>
    <m/>
    <m/>
    <m/>
    <n v="48800"/>
    <n v="10141128"/>
    <s v="EPER"/>
    <n v="7414000005"/>
  </r>
  <r>
    <x v="0"/>
    <m/>
    <x v="0"/>
    <m/>
    <m/>
    <m/>
    <m/>
    <m/>
    <m/>
    <m/>
    <m/>
    <m/>
    <m/>
    <m/>
    <n v="2790"/>
    <n v="2338299"/>
    <s v="EPER"/>
    <n v="7414000005"/>
  </r>
  <r>
    <x v="0"/>
    <m/>
    <x v="0"/>
    <m/>
    <m/>
    <m/>
    <m/>
    <m/>
    <m/>
    <m/>
    <m/>
    <m/>
    <m/>
    <m/>
    <n v="21901"/>
    <n v="6420226.1570260003"/>
    <s v="EPER"/>
    <n v="7414000005"/>
  </r>
  <r>
    <x v="0"/>
    <m/>
    <x v="0"/>
    <m/>
    <m/>
    <m/>
    <m/>
    <m/>
    <m/>
    <m/>
    <m/>
    <m/>
    <m/>
    <m/>
    <n v="223079"/>
    <n v="6893141.0999999996"/>
    <s v="EPER"/>
    <n v="7414000005"/>
  </r>
  <r>
    <x v="0"/>
    <m/>
    <x v="0"/>
    <m/>
    <m/>
    <m/>
    <m/>
    <m/>
    <m/>
    <m/>
    <m/>
    <m/>
    <m/>
    <m/>
    <n v="151410"/>
    <n v="10421550.300000001"/>
    <s v="EPER"/>
    <n v="7414000005"/>
  </r>
  <r>
    <x v="0"/>
    <m/>
    <x v="0"/>
    <m/>
    <m/>
    <m/>
    <m/>
    <m/>
    <m/>
    <m/>
    <m/>
    <m/>
    <m/>
    <m/>
    <n v="2648"/>
    <n v="2536784"/>
    <s v="EPER"/>
    <n v="7414000005"/>
  </r>
  <r>
    <x v="0"/>
    <m/>
    <x v="0"/>
    <m/>
    <m/>
    <m/>
    <m/>
    <m/>
    <m/>
    <m/>
    <m/>
    <m/>
    <m/>
    <m/>
    <n v="350000"/>
    <n v="9306500"/>
    <s v="EPER"/>
    <n v="7414000005"/>
  </r>
  <r>
    <x v="0"/>
    <m/>
    <x v="0"/>
    <m/>
    <m/>
    <m/>
    <m/>
    <m/>
    <m/>
    <m/>
    <m/>
    <m/>
    <m/>
    <m/>
    <n v="126663"/>
    <n v="3097794.2044139998"/>
    <s v="EPER"/>
    <n v="7414000005"/>
  </r>
  <r>
    <x v="0"/>
    <m/>
    <x v="0"/>
    <m/>
    <m/>
    <m/>
    <m/>
    <m/>
    <m/>
    <m/>
    <m/>
    <m/>
    <m/>
    <m/>
    <n v="3200"/>
    <n v="870208"/>
    <s v="EPER"/>
    <n v="7414000005"/>
  </r>
  <r>
    <x v="0"/>
    <m/>
    <x v="0"/>
    <m/>
    <m/>
    <m/>
    <m/>
    <m/>
    <m/>
    <m/>
    <m/>
    <m/>
    <m/>
    <m/>
    <n v="15600"/>
    <n v="3013140"/>
    <s v="EPER"/>
    <n v="7414000005"/>
  </r>
  <r>
    <x v="0"/>
    <m/>
    <x v="0"/>
    <m/>
    <m/>
    <m/>
    <m/>
    <m/>
    <m/>
    <m/>
    <m/>
    <m/>
    <m/>
    <m/>
    <n v="105000"/>
    <n v="2847600"/>
    <s v="EPER"/>
    <n v="7414000005"/>
  </r>
  <r>
    <x v="0"/>
    <m/>
    <x v="0"/>
    <m/>
    <m/>
    <m/>
    <m/>
    <m/>
    <m/>
    <m/>
    <m/>
    <m/>
    <m/>
    <m/>
    <n v="79700"/>
    <n v="14062268"/>
    <s v="EPER"/>
    <n v="7414000005"/>
  </r>
  <r>
    <x v="0"/>
    <m/>
    <x v="0"/>
    <m/>
    <m/>
    <m/>
    <m/>
    <m/>
    <m/>
    <m/>
    <m/>
    <m/>
    <m/>
    <m/>
    <n v="90000"/>
    <n v="9370800"/>
    <s v="EPER"/>
    <n v="7414000005"/>
  </r>
  <r>
    <x v="0"/>
    <m/>
    <x v="0"/>
    <m/>
    <m/>
    <m/>
    <m/>
    <m/>
    <m/>
    <m/>
    <m/>
    <m/>
    <m/>
    <m/>
    <n v="3631"/>
    <n v="312981.77176799998"/>
    <s v="EPER"/>
    <n v="7414000005"/>
  </r>
  <r>
    <x v="0"/>
    <m/>
    <x v="0"/>
    <m/>
    <m/>
    <m/>
    <m/>
    <m/>
    <m/>
    <m/>
    <m/>
    <m/>
    <m/>
    <m/>
    <n v="1043412"/>
    <n v="90223161.595847994"/>
    <s v="EPER"/>
    <n v="7414000005"/>
  </r>
  <r>
    <x v="0"/>
    <m/>
    <x v="0"/>
    <m/>
    <m/>
    <m/>
    <m/>
    <m/>
    <m/>
    <m/>
    <m/>
    <m/>
    <m/>
    <m/>
    <n v="604560"/>
    <n v="61333196.004960001"/>
    <s v="EPER"/>
    <n v="7414000005"/>
  </r>
  <r>
    <x v="0"/>
    <m/>
    <x v="0"/>
    <m/>
    <m/>
    <m/>
    <m/>
    <m/>
    <m/>
    <m/>
    <m/>
    <m/>
    <m/>
    <m/>
    <n v="1454000"/>
    <n v="130341172.088"/>
    <s v="EPER"/>
    <n v="7414000005"/>
  </r>
  <r>
    <x v="0"/>
    <m/>
    <x v="0"/>
    <m/>
    <m/>
    <m/>
    <m/>
    <m/>
    <m/>
    <m/>
    <m/>
    <m/>
    <m/>
    <m/>
    <n v="2471689"/>
    <n v="202033041.13453999"/>
    <s v="EPER"/>
    <n v="7414000005"/>
  </r>
  <r>
    <x v="0"/>
    <m/>
    <x v="0"/>
    <m/>
    <m/>
    <m/>
    <m/>
    <m/>
    <m/>
    <m/>
    <m/>
    <m/>
    <m/>
    <m/>
    <n v="150000"/>
    <n v="12323986.050000001"/>
    <s v="EPER"/>
    <n v="7414000005"/>
  </r>
  <r>
    <x v="0"/>
    <m/>
    <x v="0"/>
    <m/>
    <m/>
    <m/>
    <m/>
    <m/>
    <m/>
    <m/>
    <m/>
    <m/>
    <m/>
    <m/>
    <n v="10700"/>
    <n v="3364294"/>
    <s v="EPER"/>
    <n v="7414000005"/>
  </r>
  <r>
    <x v="0"/>
    <m/>
    <x v="0"/>
    <m/>
    <m/>
    <m/>
    <m/>
    <m/>
    <m/>
    <m/>
    <m/>
    <m/>
    <m/>
    <m/>
    <n v="24998"/>
    <n v="1096162.3"/>
    <s v="EPER"/>
    <n v="7414000005"/>
  </r>
  <r>
    <x v="0"/>
    <m/>
    <x v="0"/>
    <m/>
    <m/>
    <m/>
    <m/>
    <m/>
    <m/>
    <m/>
    <m/>
    <m/>
    <m/>
    <m/>
    <n v="1486193"/>
    <n v="14861930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560"/>
    <n v="21843200"/>
    <s v="EPER"/>
    <n v="7414000005"/>
  </r>
  <r>
    <x v="0"/>
    <m/>
    <x v="0"/>
    <m/>
    <m/>
    <m/>
    <m/>
    <m/>
    <m/>
    <m/>
    <m/>
    <m/>
    <m/>
    <m/>
    <n v="6700"/>
    <n v="1062821"/>
    <s v="EPER"/>
    <n v="7414000005"/>
  </r>
  <r>
    <x v="0"/>
    <m/>
    <x v="0"/>
    <m/>
    <m/>
    <m/>
    <m/>
    <m/>
    <m/>
    <m/>
    <m/>
    <m/>
    <m/>
    <m/>
    <n v="37000"/>
    <n v="1342360"/>
    <s v="EPER"/>
    <n v="7414000005"/>
  </r>
  <r>
    <x v="0"/>
    <m/>
    <x v="0"/>
    <m/>
    <m/>
    <m/>
    <m/>
    <m/>
    <m/>
    <m/>
    <m/>
    <m/>
    <m/>
    <m/>
    <n v="178000"/>
    <n v="950520"/>
    <s v="EPER"/>
    <n v="7414000005"/>
  </r>
  <r>
    <x v="0"/>
    <m/>
    <x v="0"/>
    <m/>
    <m/>
    <m/>
    <m/>
    <m/>
    <m/>
    <m/>
    <m/>
    <m/>
    <m/>
    <m/>
    <n v="2000"/>
    <n v="272700"/>
    <s v="EPER"/>
    <n v="7414000005"/>
  </r>
  <r>
    <x v="0"/>
    <m/>
    <x v="0"/>
    <m/>
    <m/>
    <m/>
    <m/>
    <m/>
    <m/>
    <m/>
    <m/>
    <m/>
    <m/>
    <m/>
    <n v="11100"/>
    <n v="1731600"/>
    <s v="EPER"/>
    <n v="7414000005"/>
  </r>
  <r>
    <x v="0"/>
    <m/>
    <x v="0"/>
    <m/>
    <m/>
    <m/>
    <m/>
    <m/>
    <m/>
    <m/>
    <m/>
    <m/>
    <m/>
    <m/>
    <n v="1749360"/>
    <n v="513909487.19999999"/>
    <s v="EPER"/>
    <n v="7414000005"/>
  </r>
  <r>
    <x v="0"/>
    <m/>
    <x v="0"/>
    <m/>
    <m/>
    <m/>
    <m/>
    <m/>
    <m/>
    <m/>
    <m/>
    <m/>
    <m/>
    <m/>
    <n v="12480"/>
    <n v="8518224"/>
    <s v="EPER"/>
    <n v="7414000005"/>
  </r>
  <r>
    <x v="0"/>
    <m/>
    <x v="0"/>
    <m/>
    <m/>
    <m/>
    <m/>
    <m/>
    <m/>
    <m/>
    <m/>
    <m/>
    <m/>
    <m/>
    <n v="530"/>
    <n v="4547135"/>
    <s v="EPER"/>
    <n v="7414000005"/>
  </r>
  <r>
    <x v="0"/>
    <m/>
    <x v="0"/>
    <m/>
    <m/>
    <m/>
    <m/>
    <m/>
    <m/>
    <m/>
    <m/>
    <m/>
    <m/>
    <m/>
    <n v="222000"/>
    <n v="9390600"/>
    <s v="EPER"/>
    <n v="7414000005"/>
  </r>
  <r>
    <x v="0"/>
    <m/>
    <x v="0"/>
    <m/>
    <m/>
    <m/>
    <m/>
    <m/>
    <m/>
    <m/>
    <m/>
    <m/>
    <m/>
    <m/>
    <n v="37784"/>
    <n v="12167203.944488"/>
    <s v="EPER"/>
    <n v="7414000005"/>
  </r>
  <r>
    <x v="0"/>
    <m/>
    <x v="0"/>
    <m/>
    <m/>
    <m/>
    <m/>
    <m/>
    <m/>
    <m/>
    <m/>
    <m/>
    <m/>
    <m/>
    <n v="31420"/>
    <n v="8045094.6133000003"/>
    <s v="EPER"/>
    <n v="7414000005"/>
  </r>
  <r>
    <x v="0"/>
    <m/>
    <x v="0"/>
    <m/>
    <m/>
    <m/>
    <m/>
    <m/>
    <m/>
    <m/>
    <m/>
    <m/>
    <m/>
    <m/>
    <n v="36517"/>
    <n v="9752811.8818779998"/>
    <s v="EPER"/>
    <n v="7414000005"/>
  </r>
  <r>
    <x v="0"/>
    <m/>
    <x v="0"/>
    <m/>
    <m/>
    <m/>
    <m/>
    <m/>
    <m/>
    <m/>
    <m/>
    <m/>
    <m/>
    <m/>
    <n v="72000"/>
    <n v="2261520"/>
    <s v="EPER"/>
    <n v="7414000005"/>
  </r>
  <r>
    <x v="0"/>
    <m/>
    <x v="0"/>
    <m/>
    <m/>
    <m/>
    <m/>
    <m/>
    <m/>
    <m/>
    <m/>
    <m/>
    <m/>
    <m/>
    <n v="43483"/>
    <n v="33304668.204489"/>
    <s v="EPER"/>
    <n v="7414000005"/>
  </r>
  <r>
    <x v="0"/>
    <m/>
    <x v="0"/>
    <m/>
    <m/>
    <m/>
    <m/>
    <m/>
    <m/>
    <m/>
    <m/>
    <m/>
    <m/>
    <m/>
    <n v="95054"/>
    <n v="65101454.024531998"/>
    <s v="EPER"/>
    <n v="7414000005"/>
  </r>
  <r>
    <x v="0"/>
    <m/>
    <x v="0"/>
    <m/>
    <m/>
    <m/>
    <m/>
    <m/>
    <m/>
    <m/>
    <m/>
    <m/>
    <m/>
    <m/>
    <n v="65179"/>
    <n v="50378606.651735"/>
    <s v="EPER"/>
    <n v="7414000005"/>
  </r>
  <r>
    <x v="0"/>
    <m/>
    <x v="0"/>
    <m/>
    <m/>
    <m/>
    <m/>
    <m/>
    <m/>
    <m/>
    <m/>
    <m/>
    <m/>
    <m/>
    <n v="50524"/>
    <n v="36457847.591360003"/>
    <s v="EPER"/>
    <n v="7414000005"/>
  </r>
  <r>
    <x v="0"/>
    <m/>
    <x v="0"/>
    <m/>
    <m/>
    <m/>
    <m/>
    <m/>
    <m/>
    <m/>
    <m/>
    <m/>
    <m/>
    <m/>
    <n v="4491"/>
    <n v="2856110.3674289999"/>
    <s v="EPER"/>
    <n v="7414000005"/>
  </r>
  <r>
    <x v="0"/>
    <m/>
    <x v="0"/>
    <m/>
    <m/>
    <m/>
    <m/>
    <m/>
    <m/>
    <m/>
    <m/>
    <m/>
    <m/>
    <m/>
    <n v="62831"/>
    <n v="44570410.196771003"/>
    <s v="EPER"/>
    <n v="7414000005"/>
  </r>
  <r>
    <x v="0"/>
    <m/>
    <x v="0"/>
    <m/>
    <m/>
    <m/>
    <m/>
    <m/>
    <m/>
    <m/>
    <m/>
    <m/>
    <m/>
    <m/>
    <n v="83974"/>
    <n v="58312485.017137997"/>
    <s v="EPER"/>
    <n v="7414000005"/>
  </r>
  <r>
    <x v="0"/>
    <m/>
    <x v="0"/>
    <m/>
    <m/>
    <m/>
    <m/>
    <m/>
    <m/>
    <m/>
    <m/>
    <m/>
    <m/>
    <m/>
    <n v="65000"/>
    <n v="3813550"/>
    <s v="EPER"/>
    <n v="7414000005"/>
  </r>
  <r>
    <x v="0"/>
    <m/>
    <x v="0"/>
    <m/>
    <m/>
    <m/>
    <m/>
    <m/>
    <m/>
    <m/>
    <m/>
    <m/>
    <m/>
    <m/>
    <n v="5130"/>
    <n v="5591700"/>
    <s v="EPER"/>
    <n v="7414000005"/>
  </r>
  <r>
    <x v="0"/>
    <m/>
    <x v="0"/>
    <m/>
    <m/>
    <m/>
    <m/>
    <m/>
    <m/>
    <m/>
    <m/>
    <m/>
    <m/>
    <m/>
    <n v="4000"/>
    <n v="4.0000000000000001E-3"/>
    <s v="EPER"/>
    <n v="7414000005"/>
  </r>
  <r>
    <x v="0"/>
    <m/>
    <x v="0"/>
    <m/>
    <m/>
    <m/>
    <m/>
    <m/>
    <m/>
    <m/>
    <m/>
    <m/>
    <m/>
    <m/>
    <n v="80000"/>
    <n v="967200"/>
    <s v="EPER"/>
    <n v="7414000005"/>
  </r>
  <r>
    <x v="0"/>
    <m/>
    <x v="0"/>
    <m/>
    <m/>
    <m/>
    <m/>
    <m/>
    <m/>
    <m/>
    <m/>
    <m/>
    <m/>
    <m/>
    <n v="144000"/>
    <n v="939744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8910"/>
    <n v="879687.40959000005"/>
    <s v="EPER"/>
    <n v="7414000005"/>
  </r>
  <r>
    <x v="0"/>
    <m/>
    <x v="0"/>
    <m/>
    <m/>
    <m/>
    <m/>
    <m/>
    <m/>
    <m/>
    <m/>
    <m/>
    <m/>
    <m/>
    <n v="13346"/>
    <n v="1324557.108308"/>
    <s v="EPER"/>
    <n v="7414000005"/>
  </r>
  <r>
    <x v="0"/>
    <m/>
    <x v="0"/>
    <m/>
    <m/>
    <m/>
    <m/>
    <m/>
    <m/>
    <m/>
    <m/>
    <m/>
    <m/>
    <m/>
    <n v="4700"/>
    <n v="446373.79090000002"/>
    <s v="EPER"/>
    <n v="7414000005"/>
  </r>
  <r>
    <x v="0"/>
    <m/>
    <x v="0"/>
    <m/>
    <m/>
    <m/>
    <m/>
    <m/>
    <m/>
    <m/>
    <m/>
    <m/>
    <m/>
    <m/>
    <n v="4675"/>
    <n v="429687.76317499997"/>
    <s v="EPER"/>
    <n v="7414000005"/>
  </r>
  <r>
    <x v="0"/>
    <m/>
    <x v="0"/>
    <m/>
    <m/>
    <m/>
    <m/>
    <m/>
    <m/>
    <m/>
    <m/>
    <m/>
    <m/>
    <m/>
    <n v="20034"/>
    <n v="1776978.196182"/>
    <s v="EPER"/>
    <n v="7414000005"/>
  </r>
  <r>
    <x v="0"/>
    <m/>
    <x v="0"/>
    <m/>
    <m/>
    <m/>
    <m/>
    <m/>
    <m/>
    <m/>
    <m/>
    <m/>
    <m/>
    <m/>
    <n v="27662"/>
    <n v="2581257.1791039999"/>
    <s v="EPER"/>
    <n v="7414000005"/>
  </r>
  <r>
    <x v="0"/>
    <m/>
    <x v="0"/>
    <m/>
    <m/>
    <m/>
    <m/>
    <m/>
    <m/>
    <m/>
    <m/>
    <m/>
    <m/>
    <m/>
    <n v="27986"/>
    <n v="2655036.213802"/>
    <s v="EPER"/>
    <n v="7414000005"/>
  </r>
  <r>
    <x v="0"/>
    <m/>
    <x v="0"/>
    <m/>
    <m/>
    <m/>
    <m/>
    <m/>
    <m/>
    <m/>
    <m/>
    <m/>
    <m/>
    <m/>
    <n v="24133"/>
    <n v="2159649.2588450001"/>
    <s v="EPER"/>
    <n v="7414000005"/>
  </r>
  <r>
    <x v="0"/>
    <m/>
    <x v="0"/>
    <m/>
    <m/>
    <m/>
    <m/>
    <m/>
    <m/>
    <m/>
    <m/>
    <m/>
    <m/>
    <m/>
    <n v="32013"/>
    <n v="2759428.6586640002"/>
    <s v="EPER"/>
    <n v="7414000005"/>
  </r>
  <r>
    <x v="0"/>
    <m/>
    <x v="0"/>
    <m/>
    <m/>
    <m/>
    <m/>
    <m/>
    <m/>
    <m/>
    <m/>
    <m/>
    <m/>
    <m/>
    <n v="19806"/>
    <n v="1712612.025324"/>
    <s v="EPER"/>
    <n v="7414000005"/>
  </r>
  <r>
    <x v="0"/>
    <m/>
    <x v="0"/>
    <m/>
    <m/>
    <m/>
    <m/>
    <m/>
    <m/>
    <m/>
    <m/>
    <m/>
    <m/>
    <m/>
    <n v="1346"/>
    <n v="136553.00023599999"/>
    <s v="EPER"/>
    <n v="7414000005"/>
  </r>
  <r>
    <x v="0"/>
    <m/>
    <x v="0"/>
    <m/>
    <m/>
    <m/>
    <m/>
    <m/>
    <m/>
    <m/>
    <m/>
    <m/>
    <m/>
    <m/>
    <n v="2349"/>
    <n v="210571.811028"/>
    <s v="EPER"/>
    <n v="7414000005"/>
  </r>
  <r>
    <x v="0"/>
    <m/>
    <x v="0"/>
    <m/>
    <m/>
    <m/>
    <m/>
    <m/>
    <m/>
    <m/>
    <m/>
    <m/>
    <m/>
    <m/>
    <n v="35416"/>
    <n v="2894863.4657600001"/>
    <s v="EPER"/>
    <n v="7414000005"/>
  </r>
  <r>
    <x v="0"/>
    <m/>
    <x v="0"/>
    <m/>
    <m/>
    <m/>
    <m/>
    <m/>
    <m/>
    <m/>
    <m/>
    <m/>
    <m/>
    <m/>
    <n v="4925"/>
    <n v="409763.74792499997"/>
    <s v="EPER"/>
    <n v="7414000005"/>
  </r>
  <r>
    <x v="0"/>
    <m/>
    <x v="0"/>
    <m/>
    <m/>
    <m/>
    <m/>
    <m/>
    <m/>
    <m/>
    <m/>
    <m/>
    <m/>
    <m/>
    <n v="15299"/>
    <n v="1256964.417193"/>
    <s v="EPER"/>
    <n v="7414000005"/>
  </r>
  <r>
    <x v="0"/>
    <m/>
    <x v="0"/>
    <m/>
    <m/>
    <m/>
    <m/>
    <m/>
    <m/>
    <m/>
    <m/>
    <m/>
    <m/>
    <m/>
    <n v="39"/>
    <n v="3822.3055260000001"/>
    <s v="EPER"/>
    <n v="7414000005"/>
  </r>
  <r>
    <x v="0"/>
    <m/>
    <x v="0"/>
    <m/>
    <m/>
    <m/>
    <m/>
    <m/>
    <m/>
    <m/>
    <m/>
    <m/>
    <m/>
    <m/>
    <n v="183266"/>
    <n v="622512.81735200004"/>
    <s v="EPER"/>
    <n v="7414000005"/>
  </r>
  <r>
    <x v="0"/>
    <m/>
    <x v="0"/>
    <m/>
    <m/>
    <m/>
    <m/>
    <m/>
    <m/>
    <m/>
    <m/>
    <m/>
    <m/>
    <m/>
    <n v="355"/>
    <n v="275370.58438499999"/>
    <s v="EPER"/>
    <n v="7414000005"/>
  </r>
  <r>
    <x v="0"/>
    <m/>
    <x v="0"/>
    <m/>
    <m/>
    <m/>
    <m/>
    <m/>
    <m/>
    <m/>
    <m/>
    <m/>
    <m/>
    <m/>
    <n v="2720"/>
    <n v="2032325.33504"/>
    <s v="EPER"/>
    <n v="7414000005"/>
  </r>
  <r>
    <x v="0"/>
    <m/>
    <x v="0"/>
    <m/>
    <m/>
    <m/>
    <m/>
    <m/>
    <m/>
    <m/>
    <m/>
    <m/>
    <m/>
    <m/>
    <n v="2426"/>
    <n v="1858131.3401579999"/>
    <s v="EPER"/>
    <n v="7414000005"/>
  </r>
  <r>
    <x v="0"/>
    <m/>
    <x v="0"/>
    <m/>
    <m/>
    <m/>
    <m/>
    <m/>
    <m/>
    <m/>
    <m/>
    <m/>
    <m/>
    <m/>
    <n v="5019"/>
    <n v="3437458.6840019999"/>
    <s v="EPER"/>
    <n v="7414000005"/>
  </r>
  <r>
    <x v="0"/>
    <m/>
    <x v="0"/>
    <m/>
    <m/>
    <m/>
    <m/>
    <m/>
    <m/>
    <m/>
    <m/>
    <m/>
    <m/>
    <m/>
    <n v="2824"/>
    <n v="2182745.7491600001"/>
    <s v="EPER"/>
    <n v="7414000005"/>
  </r>
  <r>
    <x v="0"/>
    <m/>
    <x v="0"/>
    <m/>
    <m/>
    <m/>
    <m/>
    <m/>
    <m/>
    <m/>
    <m/>
    <m/>
    <m/>
    <m/>
    <n v="3330"/>
    <n v="2402910.1512000002"/>
    <s v="EPER"/>
    <n v="7414000005"/>
  </r>
  <r>
    <x v="0"/>
    <m/>
    <x v="0"/>
    <m/>
    <m/>
    <m/>
    <m/>
    <m/>
    <m/>
    <m/>
    <m/>
    <m/>
    <m/>
    <m/>
    <n v="1182"/>
    <n v="751708.40665799996"/>
    <s v="EPER"/>
    <n v="7414000005"/>
  </r>
  <r>
    <x v="0"/>
    <m/>
    <x v="0"/>
    <m/>
    <m/>
    <m/>
    <m/>
    <m/>
    <m/>
    <m/>
    <m/>
    <m/>
    <m/>
    <m/>
    <n v="1011"/>
    <n v="717172.80815099995"/>
    <s v="EPER"/>
    <n v="7414000005"/>
  </r>
  <r>
    <x v="0"/>
    <m/>
    <x v="0"/>
    <m/>
    <m/>
    <m/>
    <m/>
    <m/>
    <m/>
    <m/>
    <m/>
    <m/>
    <m/>
    <m/>
    <n v="5255"/>
    <n v="3649130.787684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4500000"/>
    <n v="43263684"/>
    <s v="EPER"/>
    <n v="7414000005"/>
  </r>
  <r>
    <x v="0"/>
    <m/>
    <x v="0"/>
    <m/>
    <m/>
    <m/>
    <m/>
    <m/>
    <m/>
    <m/>
    <m/>
    <m/>
    <m/>
    <m/>
    <n v="85065"/>
    <n v="807572.06322000001"/>
    <s v="EPER"/>
    <n v="7414000005"/>
  </r>
  <r>
    <x v="0"/>
    <m/>
    <x v="0"/>
    <m/>
    <m/>
    <m/>
    <m/>
    <m/>
    <m/>
    <m/>
    <m/>
    <m/>
    <m/>
    <m/>
    <n v="339672"/>
    <n v="3171912.5025360002"/>
    <s v="EPER"/>
    <n v="7414000005"/>
  </r>
  <r>
    <x v="0"/>
    <m/>
    <x v="0"/>
    <m/>
    <m/>
    <m/>
    <m/>
    <m/>
    <m/>
    <m/>
    <m/>
    <m/>
    <m/>
    <m/>
    <n v="396010"/>
    <n v="3639386.15337"/>
    <s v="EPER"/>
    <n v="7414000005"/>
  </r>
  <r>
    <x v="0"/>
    <m/>
    <x v="0"/>
    <m/>
    <m/>
    <m/>
    <m/>
    <m/>
    <m/>
    <m/>
    <m/>
    <m/>
    <m/>
    <m/>
    <n v="95990"/>
    <n v="864989.69551999995"/>
    <s v="EPER"/>
    <n v="7414000005"/>
  </r>
  <r>
    <x v="0"/>
    <m/>
    <x v="0"/>
    <m/>
    <m/>
    <m/>
    <m/>
    <m/>
    <m/>
    <m/>
    <m/>
    <m/>
    <m/>
    <m/>
    <n v="178190"/>
    <n v="1471504.6023500001"/>
    <s v="EPER"/>
    <n v="7414000005"/>
  </r>
  <r>
    <x v="0"/>
    <m/>
    <x v="0"/>
    <m/>
    <m/>
    <m/>
    <m/>
    <m/>
    <m/>
    <m/>
    <m/>
    <m/>
    <m/>
    <m/>
    <n v="3475671"/>
    <n v="11806061.934012"/>
    <s v="EPER"/>
    <n v="7414000005"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s v="PENSIONES"/>
    <s v="Gestion"/>
    <x v="0"/>
    <s v="FORTE TABASCO"/>
    <n v="31054.78"/>
    <n v="0"/>
    <n v="31054.78"/>
    <s v="El Cliente no ha enviado su información / ya se solicitó vía correo "/>
  </r>
  <r>
    <m/>
    <m/>
    <x v="1"/>
    <m/>
    <m/>
    <m/>
    <m/>
    <m/>
  </r>
  <r>
    <s v="PENSIONES"/>
    <s v="Gestion"/>
    <x v="2"/>
    <s v="Envasabon Pensiones"/>
    <n v="-647.04999999999995"/>
    <n v="0"/>
    <n v="-647.04999999999995"/>
    <s v="CONTRATO CON POSICION DE $682.60"/>
  </r>
  <r>
    <s v="PENSIONES"/>
    <s v="Gestion"/>
    <x v="3"/>
    <s v="MANTARA"/>
    <n v="-18704512.940000001"/>
    <n v="0"/>
    <n v="-18704512.940000001"/>
    <s v="Cancelacion de contrato"/>
  </r>
  <r>
    <s v="PENSIONES"/>
    <s v="Gestion"/>
    <x v="4"/>
    <s v="CHARTIS"/>
    <n v="-103140348.26000001"/>
    <n v="0"/>
    <n v="-103140348.26000001"/>
    <s v="Cancelacion de contrato"/>
  </r>
  <r>
    <s v="F AHORRO"/>
    <s v="Gestion"/>
    <x v="5"/>
    <s v="SERV. PANAMERICANOS DE PROTECCIÓN"/>
    <n v="2069057.89"/>
    <n v="0"/>
    <n v="2069057.89"/>
    <s v="El Cliente no ha enviado su información / ya se solicitó vía correo "/>
  </r>
  <r>
    <s v="PENSIONES"/>
    <s v="Gestion"/>
    <x v="0"/>
    <s v="FORTE TABASCO"/>
    <n v="-604601.4"/>
    <n v="0"/>
    <n v="-604601.4"/>
    <s v="El Cliente no ha enviado su información / ya se solicitó vía correo "/>
  </r>
  <r>
    <s v="F AHORRO"/>
    <s v="Gestion"/>
    <x v="5"/>
    <s v="SERV. PANAMERICANOS DE PROTECCIÓN"/>
    <n v="2061277.72"/>
    <n v="0"/>
    <n v="2061277.72"/>
    <s v="El Cliente no ha enviado su información / ya se solicitó vía correo "/>
  </r>
  <r>
    <s v="F AHORRO"/>
    <s v="Gestion"/>
    <x v="5"/>
    <s v="SERV. PANAMERICANOS DE PROTECCIÓN"/>
    <n v="2038359.8"/>
    <n v="0"/>
    <n v="2038359.8"/>
    <s v="El Cliente no ha enviado su información / ya se solicitó vía correo "/>
  </r>
  <r>
    <s v="F AHORRO"/>
    <s v="Gestion"/>
    <x v="5"/>
    <s v="SERV. PANAMERICANOS DE PROTECCIÓN"/>
    <n v="1960623.51"/>
    <n v="0"/>
    <n v="1960623.51"/>
    <s v="El Cliente no ha enviado su información / ya se solicitó vía correo "/>
  </r>
  <r>
    <s v="F AHORRO"/>
    <s v="Gestion"/>
    <x v="5"/>
    <s v="SERV. PANAMERICANOS DE PROTECCIÓN"/>
    <n v="2170433.7200000002"/>
    <n v="0"/>
    <n v="2170433.7200000002"/>
    <s v="El Cliente no ha enviado su información / ya se solicitó vía correo "/>
  </r>
  <r>
    <s v="F AHORRO"/>
    <s v="Gestion"/>
    <x v="5"/>
    <s v="SERV. PANAMERICANOS DE PROTECCIÓN"/>
    <n v="1942702.82"/>
    <n v="0"/>
    <n v="1942702.82"/>
    <s v="El Cliente no ha enviado su información / ya se solicitó vía correo "/>
  </r>
  <r>
    <s v="F AHORRO"/>
    <s v="Gestion"/>
    <x v="5"/>
    <s v="SERV. PANAMERICANOS DE PROTECCIÓN"/>
    <n v="-2419615.39"/>
    <n v="0"/>
    <n v="-2419615.39"/>
    <s v="El Cliente no ha enviado su información / ya se solicitó vía correo "/>
  </r>
  <r>
    <s v="CAJA DE AHORRO "/>
    <s v="Gestion"/>
    <x v="6"/>
    <s v="SERVICIOS PAN AMERICANO DE PROTECCION CAJA DE AHORRO"/>
    <n v="55020.52"/>
    <n v="0"/>
    <n v="55020.52"/>
    <s v="El Cliente no ha enviado su información / ya se solicitó vía correo "/>
  </r>
  <r>
    <s v="CAJA DE AHORRO "/>
    <s v="Gestion"/>
    <x v="6"/>
    <s v="SERVICIOS PAN AMERICANO DE PROTECCION CAJA DE AHORRO"/>
    <n v="-661842.36"/>
    <n v="0"/>
    <n v="-661842.36"/>
    <s v="El Cliente no ha enviado su información / ya se solicitó vía correo "/>
  </r>
  <r>
    <s v="PENSIONES"/>
    <s v="Gestion"/>
    <x v="0"/>
    <s v="FORTE TABASCO"/>
    <n v="331073.77"/>
    <n v="0"/>
    <n v="331073.77"/>
    <s v="El Cliente no ha enviado su información / ya se solicitó vía correo "/>
  </r>
  <r>
    <s v="PENSIONES"/>
    <s v="Gestion"/>
    <x v="0"/>
    <s v="FORTE TABASCO"/>
    <n v="298356.01"/>
    <n v="0"/>
    <n v="298356.01"/>
    <s v="El Cliente no ha enviado su información / ya se solicitó vía correo "/>
  </r>
  <r>
    <s v="CAJA DE AHORRO "/>
    <s v="Gestion"/>
    <x v="6"/>
    <s v="SERVICIOS PAN AMERICANO DE PROTECCION CAJA DE AHORRO"/>
    <n v="18000"/>
    <n v="0"/>
    <n v="18000"/>
    <s v="El Cliente no ha enviado su información / ya se solicitó vía correo "/>
  </r>
  <r>
    <s v="CAJA DE AHORRO "/>
    <s v="Gestion"/>
    <x v="6"/>
    <s v="SERVICIOS PAN AMERICANO DE PROTECCION CAJA DE AHORRO"/>
    <n v="66863.91"/>
    <n v="0"/>
    <n v="66863.91"/>
    <s v="El Cliente no ha enviado su información / ya se solicitó vía correo "/>
  </r>
  <r>
    <s v="CAJA DE AHORRO "/>
    <s v="Gestion"/>
    <x v="6"/>
    <s v="SERVICIOS PAN AMERICANO DE PROTECCION CAJA DE AHORRO"/>
    <n v="11670"/>
    <n v="0"/>
    <n v="11670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4230.76"/>
    <n v="0"/>
    <n v="4230.76"/>
    <s v="El Cliente no ha enviado su información / ya se solicitó vía correo "/>
  </r>
  <r>
    <s v="PENSIONES"/>
    <s v="Gestion"/>
    <x v="0"/>
    <s v="FORTE TABASCO"/>
    <n v="434948.02"/>
    <n v="0"/>
    <n v="434948.02"/>
    <s v="El Cliente no ha enviado su información / ya se solicitó vía correo "/>
  </r>
  <r>
    <s v="CAJA DE AHORRO "/>
    <s v="Gestion"/>
    <x v="6"/>
    <s v="SERVICIOS PAN AMERICANO DE PROTECCION CAJA DE AHORRO"/>
    <n v="48482.13"/>
    <n v="0"/>
    <n v="48482.13"/>
    <s v="El Cliente no ha enviado su información / ya se solicitó vía correo "/>
  </r>
  <r>
    <s v="CAJA DE AHORRO "/>
    <s v="Gestion"/>
    <x v="6"/>
    <s v="SERVICIOS PAN AMERICANO DE PROTECCION CAJA DE AHORRO"/>
    <n v="141692.41"/>
    <n v="0"/>
    <n v="141692.41"/>
    <s v="El Cliente no ha enviado su información / ya se solicitó vía correo "/>
  </r>
  <r>
    <s v="CAJA DE AHORRO "/>
    <s v="Gestion"/>
    <x v="6"/>
    <s v="SERVICIOS PAN AMERICANO DE PROTECCION CAJA DE AHORRO"/>
    <n v="-350095.95"/>
    <n v="0"/>
    <n v="-350095.95"/>
    <s v="El Cliente no ha enviado su información / ya se solicitó vía correo "/>
  </r>
  <r>
    <s v="CAJA DE AHORRO "/>
    <s v="Gestion"/>
    <x v="6"/>
    <s v="SERVICIOS PAN AMERICANO DE PROTECCION CAJA DE AHORRO"/>
    <n v="62651.09"/>
    <n v="0"/>
    <n v="62651.09"/>
    <s v="El Cliente no ha enviado su información / ya se solicitó vía correo "/>
  </r>
  <r>
    <s v="PENSIONES"/>
    <s v="Gestion"/>
    <x v="0"/>
    <s v="FORTE TABASCO"/>
    <n v="1817831.03"/>
    <n v="0"/>
    <n v="1817831.03"/>
    <s v="El Cliente no ha enviado su información / ya se solicitó vía correo "/>
  </r>
  <r>
    <s v="CAJA DE AHORRO "/>
    <s v="Gestion"/>
    <x v="6"/>
    <s v="SERVICIOS PAN AMERICANO DE PROTECCION CAJA DE AHORRO"/>
    <n v="-87534.38"/>
    <n v="0"/>
    <n v="-87534.38"/>
    <s v="El Cliente no ha enviado su información / ya se solicitó vía correo "/>
  </r>
  <r>
    <s v="PENSIONES"/>
    <s v="Gestion"/>
    <x v="0"/>
    <s v="FORTE TABASCO"/>
    <n v="51199.7"/>
    <n v="0"/>
    <n v="51199.7"/>
    <s v="El Cliente no ha enviado su información / ya se solicitó vía correo "/>
  </r>
  <r>
    <s v="CAJA DE AHORRO "/>
    <s v="Gestion"/>
    <x v="6"/>
    <s v="SERVICIOS PAN AMERICANO DE PROTECCION CAJA DE AHORRO"/>
    <n v="-623994.22"/>
    <n v="0"/>
    <n v="-623994.22"/>
    <s v="El Cliente no ha enviado su información / ya se solicitó vía correo "/>
  </r>
  <r>
    <s v="CAJA DE AHORRO "/>
    <s v="Gestion"/>
    <x v="6"/>
    <s v="SERVICIOS PAN AMERICANO DE PROTECCION CAJA DE AHORRO"/>
    <n v="-208800"/>
    <n v="0"/>
    <n v="-208800"/>
    <s v="El Cliente no ha enviado su información / ya se solicitó vía correo "/>
  </r>
  <r>
    <s v="CAJA DE AHORRO "/>
    <s v="Gestion"/>
    <x v="6"/>
    <s v="SERVICIOS PAN AMERICANO DE PROTECCION CAJA DE AHORRO"/>
    <n v="6156.73"/>
    <n v="0"/>
    <n v="6156.73"/>
    <s v="El Cliente no ha enviado su información / ya se solicitó vía correo "/>
  </r>
  <r>
    <s v="CAJA DE AHORRO "/>
    <s v="Gestion"/>
    <x v="6"/>
    <s v="SERVICIOS PAN AMERICANO DE PROTECCION CAJA DE AHORRO"/>
    <n v="3639.06"/>
    <n v="0"/>
    <n v="3639.06"/>
    <s v="El Cliente no ha enviado su información / ya se solicitó vía correo "/>
  </r>
  <r>
    <s v="CAJA DE AHORRO "/>
    <s v="Gestion"/>
    <x v="6"/>
    <s v="SERVICIOS PAN AMERICANO DE PROTECCION CAJA DE AHORRO"/>
    <n v="-658792.95999999996"/>
    <n v="0"/>
    <n v="-658792.95999999996"/>
    <s v="El Cliente no ha enviado su información / ya se solicitó vía correo "/>
  </r>
  <r>
    <s v="CAJA DE AHORRO "/>
    <s v="Gestion"/>
    <x v="6"/>
    <s v="SERVICIOS PAN AMERICANO DE PROTECCION CAJA DE AHORRO"/>
    <n v="90000"/>
    <n v="0"/>
    <n v="90000"/>
    <s v="El Cliente no ha enviado su información / ya se solicitó vía correo "/>
  </r>
  <r>
    <s v="CAJA DE AHORRO "/>
    <s v="Gestion"/>
    <x v="6"/>
    <s v="SERVICIOS PAN AMERICANO DE PROTECCION CAJA DE AHORRO"/>
    <n v="70000"/>
    <n v="0"/>
    <n v="70000"/>
    <s v="El Cliente no ha enviado su información / ya se solicitó vía correo "/>
  </r>
  <r>
    <s v="PENSIONES"/>
    <s v="Gestion"/>
    <x v="0"/>
    <s v="FORTE TABASCO"/>
    <n v="109453.71"/>
    <n v="0"/>
    <n v="109453.71"/>
    <s v="El Cliente no ha enviado su información / ya se solicitó vía correo "/>
  </r>
  <r>
    <s v="CAJA DE AHORRO "/>
    <s v="Gestion"/>
    <x v="6"/>
    <s v="SERVICIOS PAN AMERICANO DE PROTECCION CAJA DE AHORRO"/>
    <n v="13461.52"/>
    <n v="0"/>
    <n v="13461.52"/>
    <s v="El Cliente no ha enviado su información / ya se solicitó vía correo "/>
  </r>
  <r>
    <s v="CAJA DE AHORRO "/>
    <s v="Gestion"/>
    <x v="6"/>
    <s v="SERVICIOS PAN AMERICANO DE PROTECCION CAJA DE AHORRO"/>
    <n v="18999.98"/>
    <n v="0"/>
    <n v="18999.98"/>
    <s v="El Cliente no ha enviado su información / ya se solicitó vía correo "/>
  </r>
  <r>
    <s v="CAJA DE AHORRO "/>
    <s v="Gestion"/>
    <x v="6"/>
    <s v="SERVICIOS PAN AMERICANO DE PROTECCION CAJA DE AHORRO"/>
    <n v="176286.21"/>
    <n v="0"/>
    <n v="176286.21"/>
    <s v="El Cliente no ha enviado su información / ya se solicitó vía correo "/>
  </r>
  <r>
    <s v="CAJA DE AHORRO "/>
    <s v="Gestion"/>
    <x v="6"/>
    <s v="SERVICIOS PAN AMERICANO DE PROTECCION CAJA DE AHORRO"/>
    <n v="10616"/>
    <n v="0"/>
    <n v="10616"/>
    <s v="El Cliente no ha enviado su información / ya se solicitó vía correo "/>
  </r>
  <r>
    <s v="CAJA DE AHORRO "/>
    <s v="Gestion"/>
    <x v="6"/>
    <s v="SERVICIOS PAN AMERICANO DE PROTECCION CAJA DE AHORRO"/>
    <n v="-389115.65"/>
    <n v="0"/>
    <n v="-389115.65"/>
    <s v="El Cliente no ha enviado su información / ya se solicitó vía correo "/>
  </r>
  <r>
    <s v="CAJA DE AHORRO "/>
    <s v="Gestion"/>
    <x v="6"/>
    <s v="SERVICIOS PAN AMERICANO DE PROTECCION CAJA DE AHORRO"/>
    <n v="4281"/>
    <n v="0"/>
    <n v="4281"/>
    <s v="El Cliente no ha enviado su información / ya se solicitó vía correo "/>
  </r>
  <r>
    <s v="CAJA DE AHORRO "/>
    <s v="Gestion"/>
    <x v="6"/>
    <s v="SERVICIOS PAN AMERICANO DE PROTECCION CAJA DE AHORRO"/>
    <n v="4292.3599999999997"/>
    <n v="0"/>
    <n v="4292.3599999999997"/>
    <s v="El Cliente no ha enviado su información / ya se solicitó vía correo "/>
  </r>
  <r>
    <s v="F AHORRO"/>
    <s v="Gestion"/>
    <x v="7"/>
    <s v="DANONE OAM FDO AHORRO"/>
    <n v="-3446505.38"/>
    <n v="0"/>
    <n v="-3446505.38"/>
    <s v="CONTRATO LIQUIDADO"/>
  </r>
  <r>
    <s v="PENSIONES"/>
    <s v="Gestion"/>
    <x v="0"/>
    <s v="FORTE TABASCO"/>
    <n v="268564.27"/>
    <n v="0"/>
    <n v="268564.27"/>
    <s v="El Cliente no ha enviado su información / ya se solicitó vía correo "/>
  </r>
  <r>
    <s v="F AHORRO"/>
    <s v="Gestion"/>
    <x v="5"/>
    <s v="SERV. PANAMERICANOS DE PROTECCIÓN"/>
    <n v="1967081.69"/>
    <n v="0"/>
    <n v="1967081.69"/>
    <s v="El Cliente no ha enviado su información / ya se solicitó vía correo "/>
  </r>
  <r>
    <s v="CAJA DE AHORRO "/>
    <s v="Gestion"/>
    <x v="6"/>
    <s v="SERVICIOS PAN AMERICANO DE PROTECCION CAJA DE AHORRO"/>
    <n v="119241.17"/>
    <n v="0"/>
    <n v="119241.17"/>
    <s v="El Cliente no ha enviado su información / ya se solicitó vía correo "/>
  </r>
  <r>
    <s v="F AHORRO"/>
    <s v="Gestion"/>
    <x v="8"/>
    <s v="Elevadores OTIS Fondo de Ahorro Sindicalizados"/>
    <n v="508146.72"/>
    <n v="0"/>
    <n v="508146.72"/>
    <s v="El Cliente no ha enviado su información / ya se solicitó vía correo "/>
  </r>
  <r>
    <s v="PENSIONES"/>
    <s v="Gestion"/>
    <x v="9"/>
    <s v="UNIVERSIDAD AUTONOMA DE AGUASCALIENTES"/>
    <n v="873686.84"/>
    <n v="855777.31"/>
    <n v="17909.529999999799"/>
    <s v="El Cliente no ha enviado su información / ya se solicitó vía correo "/>
  </r>
  <r>
    <s v="PENSIONES"/>
    <s v="Gestion"/>
    <x v="10"/>
    <s v="UNIVERSIDAD AUTONOMA DE AGUASCALIENTES"/>
    <n v="351097.05"/>
    <n v="318240.8"/>
    <n v="32856.250000000298"/>
    <s v="El Cliente no ha enviado su información / ya se solicitó vía correo "/>
  </r>
  <r>
    <s v="PENSIONES"/>
    <s v="Gestion"/>
    <x v="11"/>
    <s v="UNIVERSIDAD AUTONOMA DE AGUASCALIENTES"/>
    <n v="2831914.35"/>
    <n v="1828029.32"/>
    <n v="1003885.03"/>
    <s v="El Cliente no ha enviado su información / ya se solicitó vía correo "/>
  </r>
  <r>
    <s v="PENSIONES"/>
    <s v="Gestion"/>
    <x v="12"/>
    <s v="SANTEMP35"/>
    <n v="-28432.35"/>
    <n v="0"/>
    <n v="-28432.35"/>
    <s v="T+2"/>
  </r>
  <r>
    <s v="PENSIONES"/>
    <s v="Gestion"/>
    <x v="13"/>
    <s v="SANTCIA35"/>
    <n v="-58311.03"/>
    <n v="0"/>
    <n v="-58311.03"/>
    <s v="T+2"/>
  </r>
  <r>
    <s v="PENSIONES"/>
    <s v="Gestion"/>
    <x v="0"/>
    <s v="FORTE TABASCO"/>
    <n v="327759.62"/>
    <n v="0"/>
    <n v="327759.62"/>
    <s v="El Cliente no ha enviado su información / ya se solicitó vía correo "/>
  </r>
  <r>
    <s v="F AHORRO"/>
    <s v="Gestion"/>
    <x v="5"/>
    <s v="SERV. PANAMERICANOS DE PROTECCIÓN"/>
    <n v="1872439.43"/>
    <n v="0"/>
    <n v="1872439.43"/>
    <s v="El Cliente no ha enviado su información / ya se solicitó vía correo "/>
  </r>
  <r>
    <s v="CAJA DE AHORRO "/>
    <s v="Gestion"/>
    <x v="6"/>
    <s v="SERVICIOS PAN AMERICANO DE PROTECCION CAJA DE AHORRO"/>
    <n v="-294867.21999999997"/>
    <n v="0"/>
    <n v="-294867.21999999997"/>
    <s v="El Cliente no ha enviado su información / ya se solicitó vía correo "/>
  </r>
  <r>
    <s v="F AHORRO"/>
    <s v="Gestion"/>
    <x v="8"/>
    <s v="Elevadores OTIS Fondo de Ahorro Sindicalizados"/>
    <n v="517259.28"/>
    <n v="0"/>
    <n v="517259.28"/>
    <s v="El Cliente no ha enviado su información / ya se solicitó vía correo "/>
  </r>
  <r>
    <s v="PENSIONES"/>
    <s v="Gestion"/>
    <x v="0"/>
    <s v="FORTE TABASCO"/>
    <n v="184746"/>
    <n v="0"/>
    <n v="184746"/>
    <s v="El Cliente no ha enviado su información / ya se solicitó vía correo "/>
  </r>
  <r>
    <s v="F AHORRO"/>
    <s v="Gestion"/>
    <x v="8"/>
    <s v="Elevadores OTIS Fondo de Ahorro Sindicalizados"/>
    <n v="497664.44"/>
    <n v="0"/>
    <n v="497664.44"/>
    <s v="El Cliente no ha enviado su información / ya se solicitó vía correo "/>
  </r>
  <r>
    <s v="PENSIONES"/>
    <s v="Gestion"/>
    <x v="14"/>
    <s v="SANTEP20"/>
    <n v="3390671.97"/>
    <n v="0"/>
    <n v="3390671.97"/>
    <s v="T+2"/>
  </r>
  <r>
    <s v="PENSIONES"/>
    <s v="Gestion"/>
    <x v="15"/>
    <s v="GESTION EMPL"/>
    <n v="115985.68"/>
    <n v="0"/>
    <n v="115985.68"/>
    <s v="T+2"/>
  </r>
  <r>
    <s v="PENSIONES"/>
    <s v="Gestion"/>
    <x v="16"/>
    <s v="GESTION CIA"/>
    <n v="242424.47"/>
    <n v="0"/>
    <n v="242424.47"/>
    <s v="T+2"/>
  </r>
  <r>
    <s v="PENSIONES"/>
    <s v="Gestion"/>
    <x v="17"/>
    <s v="INCLUSION FINANCIERA"/>
    <n v="44711.37"/>
    <n v="0"/>
    <n v="44711.37"/>
    <s v="T+2"/>
  </r>
  <r>
    <s v="PENSIONES"/>
    <s v="Gestion"/>
    <x v="18"/>
    <s v="INCLUSION FINANCIERA"/>
    <n v="19029.52"/>
    <n v="0"/>
    <n v="19029.52"/>
    <s v="T+2"/>
  </r>
  <r>
    <s v="PENSIONES"/>
    <s v="Gestion"/>
    <x v="19"/>
    <s v="GESBAN-AEMP"/>
    <n v="74306.69"/>
    <n v="0"/>
    <n v="74306.69"/>
    <s v="T+2"/>
  </r>
  <r>
    <s v="PENSIONES"/>
    <s v="Gestion"/>
    <x v="20"/>
    <s v="GESBAN-HACIA"/>
    <n v="159827.01"/>
    <n v="0"/>
    <n v="159827.01"/>
    <s v="T+2"/>
  </r>
  <r>
    <s v="PENSIONES"/>
    <s v="Gestion"/>
    <x v="12"/>
    <s v="SANTEMP35"/>
    <n v="4328510.0999999996"/>
    <n v="0"/>
    <n v="4328510.0999999996"/>
    <s v="T+2"/>
  </r>
  <r>
    <s v="PENSIONES"/>
    <s v="Gestion"/>
    <x v="21"/>
    <s v="SANTEMP50"/>
    <n v="1309456.73"/>
    <n v="0"/>
    <n v="1309456.73"/>
    <s v="T+2"/>
  </r>
  <r>
    <s v="PENSIONES"/>
    <s v="Gestion"/>
    <x v="22"/>
    <s v="SANTEMP60"/>
    <n v="1298922.24"/>
    <n v="0"/>
    <n v="1298922.24"/>
    <s v="T+2"/>
  </r>
  <r>
    <s v="PENSIONES"/>
    <s v="Gestion"/>
    <x v="23"/>
    <s v="C.B. EMPL"/>
    <n v="23167.33"/>
    <n v="0"/>
    <n v="23167.33"/>
    <s v="T+2"/>
  </r>
  <r>
    <s v="PENSIONES"/>
    <s v="Gestion"/>
    <x v="24"/>
    <s v="C.B. CIA"/>
    <n v="50859.16"/>
    <n v="0"/>
    <n v="50859.16"/>
    <s v="T+2"/>
  </r>
  <r>
    <s v="CAJA DE AHORRO "/>
    <s v="Gestion"/>
    <x v="6"/>
    <s v="SERVICIOS PAN AMERICANO DE PROTECCION CAJA DE AHORRO"/>
    <n v="121332.75"/>
    <n v="0"/>
    <n v="121332.75"/>
    <s v="El Cliente no ha enviado su información / ya se solicitó vía correo "/>
  </r>
  <r>
    <s v="PENSIONES"/>
    <s v="Gestion"/>
    <x v="25"/>
    <s v="BANCO S3 CIA"/>
    <n v="120471.67"/>
    <n v="0"/>
    <n v="120471.67"/>
    <s v="T+2"/>
  </r>
  <r>
    <s v="PENSIONES"/>
    <s v="Gestion"/>
    <x v="26"/>
    <s v="BANCO S3 EMP"/>
    <n v="56551.03"/>
    <n v="0"/>
    <n v="56551.03"/>
    <s v="T+2"/>
  </r>
  <r>
    <s v="PENSIONES"/>
    <s v="Gestion"/>
    <x v="26"/>
    <s v="BANCO S3 EMP"/>
    <n v="-7023.91"/>
    <n v="0"/>
    <n v="-7023.91"/>
    <s v="T+2"/>
  </r>
  <r>
    <s v="PENSIONES"/>
    <s v="Gestion"/>
    <x v="15"/>
    <s v="GESTION EMPL"/>
    <n v="-210603.38"/>
    <n v="0"/>
    <n v="-210603.38"/>
    <s v="T+2"/>
  </r>
  <r>
    <s v="PENSIONES"/>
    <s v="Gestion"/>
    <x v="16"/>
    <s v="GESTION CIA"/>
    <n v="-225952.55"/>
    <n v="0"/>
    <n v="-225952.55"/>
    <s v="T+2"/>
  </r>
  <r>
    <s v="F AHORRO"/>
    <s v="Gestion"/>
    <x v="8"/>
    <s v="Elevadores OTIS Fondo de Ahorro Sindicalizados"/>
    <n v="542109.96"/>
    <n v="0"/>
    <n v="542109.96"/>
    <s v="El Cliente no ha enviado su información / ya se solicitó vía correo "/>
  </r>
  <r>
    <s v="CAJA DE AHORRO "/>
    <s v="Gestion"/>
    <x v="6"/>
    <s v="SERVICIOS PAN AMERICANO DE PROTECCION CAJA DE AHORRO"/>
    <n v="37515.54"/>
    <n v="0"/>
    <n v="37515.54"/>
    <s v="El Cliente no ha enviado su información / ya se solicitó vía correo "/>
  </r>
  <r>
    <s v="PENSIONES"/>
    <s v="Gestion"/>
    <x v="14"/>
    <s v="SANTEP20"/>
    <n v="-3906939.16"/>
    <n v="0"/>
    <n v="-3906939.16"/>
    <s v="T+2"/>
  </r>
  <r>
    <s v="PENSIONES"/>
    <s v="Gestion"/>
    <x v="12"/>
    <s v="SANTEMP35"/>
    <n v="-9039171.5600000005"/>
    <n v="0"/>
    <n v="-9039171.5600000005"/>
    <s v="T+2"/>
  </r>
  <r>
    <s v="PENSIONES"/>
    <s v="Gestion"/>
    <x v="21"/>
    <s v="SANTEMP50"/>
    <n v="-4414481.1500000004"/>
    <n v="0"/>
    <n v="-4414481.1500000004"/>
    <s v="T+2"/>
  </r>
  <r>
    <s v="PENSIONES"/>
    <s v="Gestion"/>
    <x v="22"/>
    <s v="SANTEMP60"/>
    <n v="3602034.32"/>
    <n v="0"/>
    <n v="3602034.32"/>
    <s v="T+2"/>
  </r>
  <r>
    <n v="0"/>
    <n v="0"/>
    <x v="27"/>
    <s v="CFE"/>
    <n v="1741792"/>
    <n v="0"/>
    <n v="1741792"/>
    <s v="El Cliente no ha enviado su información / ya se solicitó vía correo "/>
  </r>
  <r>
    <s v="PENSIONES"/>
    <s v="Gestion"/>
    <x v="14"/>
    <s v="SANTEP20"/>
    <n v="3529258.74"/>
    <n v="0"/>
    <n v="3529258.74"/>
    <s v="T+2"/>
  </r>
  <r>
    <s v="PENSIONES"/>
    <s v="Gestion"/>
    <x v="15"/>
    <s v="GESTION EMPL"/>
    <n v="122330.12"/>
    <n v="0"/>
    <n v="122330.12"/>
    <s v="T+2"/>
  </r>
  <r>
    <s v="PENSIONES"/>
    <s v="Gestion"/>
    <x v="16"/>
    <s v="GESTION CIA"/>
    <n v="257539.06"/>
    <n v="0"/>
    <n v="257539.06"/>
    <s v="T+2"/>
  </r>
  <r>
    <s v="PENSIONES"/>
    <s v="Gestion"/>
    <x v="17"/>
    <s v="INCLUSION FINANCIERA"/>
    <n v="46706.37"/>
    <n v="0"/>
    <n v="46706.37"/>
    <s v="T+2"/>
  </r>
  <r>
    <s v="PENSIONES"/>
    <s v="Gestion"/>
    <x v="18"/>
    <s v="INCLUSION FINANCIERA"/>
    <n v="19694.52"/>
    <n v="0"/>
    <n v="19694.52"/>
    <s v="T+2"/>
  </r>
  <r>
    <s v="PENSIONES"/>
    <s v="Gestion"/>
    <x v="19"/>
    <s v="GESBAN-AEMP"/>
    <n v="75086.67"/>
    <n v="0"/>
    <n v="75086.67"/>
    <s v="T+2"/>
  </r>
  <r>
    <s v="PENSIONES"/>
    <s v="Gestion"/>
    <x v="20"/>
    <s v="GESBAN-HACIA"/>
    <n v="162362.76999999999"/>
    <n v="0"/>
    <n v="162362.76999999999"/>
    <s v="T+2"/>
  </r>
  <r>
    <s v="PENSIONES"/>
    <s v="Gestion"/>
    <x v="12"/>
    <s v="SANTEMP35"/>
    <n v="4306948.6900000004"/>
    <n v="0"/>
    <n v="4306948.6900000004"/>
    <s v="T+2"/>
  </r>
  <r>
    <s v="PENSIONES"/>
    <s v="Gestion"/>
    <x v="21"/>
    <s v="SANTEMP50"/>
    <n v="1349325.79"/>
    <n v="0"/>
    <n v="1349325.79"/>
    <s v="T+2"/>
  </r>
  <r>
    <s v="PENSIONES"/>
    <s v="Gestion"/>
    <x v="22"/>
    <s v="SANTEMP60"/>
    <n v="1333999.6499999999"/>
    <n v="0"/>
    <n v="1333999.6499999999"/>
    <s v="T+2"/>
  </r>
  <r>
    <s v="PENSIONES"/>
    <s v="Gestion"/>
    <x v="23"/>
    <s v="C.B. EMPL"/>
    <n v="20030.91"/>
    <n v="0"/>
    <n v="20030.91"/>
    <s v="T+2"/>
  </r>
  <r>
    <s v="PENSIONES"/>
    <s v="Gestion"/>
    <x v="24"/>
    <s v="C.B. CIA"/>
    <n v="45351.11"/>
    <n v="0"/>
    <n v="45351.11"/>
    <s v="T+2"/>
  </r>
  <r>
    <s v="PENSIONES"/>
    <s v="Gestion"/>
    <x v="25"/>
    <s v="BANCO S3 CIA"/>
    <n v="124027.91"/>
    <n v="0"/>
    <n v="124027.91"/>
    <s v="T+2"/>
  </r>
  <r>
    <s v="PENSIONES"/>
    <s v="Gestion"/>
    <x v="26"/>
    <s v="BANCO S3 EMP"/>
    <n v="57654.1"/>
    <n v="0"/>
    <n v="57654.1"/>
    <s v="T+2"/>
  </r>
  <r>
    <s v="F AHORRO"/>
    <s v="Gestion"/>
    <x v="8"/>
    <s v="Elevadores OTIS Fondo de Ahorro Sindicalizados"/>
    <n v="488879.84"/>
    <n v="0"/>
    <n v="488879.84"/>
    <s v="El Cliente no ha enviado su información / ya se solicitó vía correo "/>
  </r>
  <r>
    <s v="CAJA DE AHORRO "/>
    <s v="Gestion"/>
    <x v="6"/>
    <s v="SERVICIOS PAN AMERICANO DE PROTECCION CAJA DE AHORRO"/>
    <n v="13846.16"/>
    <n v="0"/>
    <n v="13846.16"/>
    <s v="El Cliente no ha enviado su información / ya se solicitó vía correo "/>
  </r>
  <r>
    <s v="F AHORRO"/>
    <s v="Gestion"/>
    <x v="5"/>
    <s v="SERV. PANAMERICANOS DE PROTECCIÓN"/>
    <n v="1972975.65"/>
    <n v="0"/>
    <n v="1972975.65"/>
    <s v="El Cliente no ha enviado su información / ya se solicitó vía correo "/>
  </r>
  <r>
    <s v="F AHORRO"/>
    <s v="Gestion"/>
    <x v="28"/>
    <s v="BOLSA MEXICANA SIF-ICAP"/>
    <n v="353633.8"/>
    <n v="0"/>
    <n v="353633.8"/>
    <s v="El Cliente no ha enviado su información / ya se solicitó vía correo "/>
  </r>
  <r>
    <s v="PENSIONES"/>
    <s v="Gestion"/>
    <x v="19"/>
    <s v="GESBAN-AEMP"/>
    <n v="4939.75"/>
    <n v="0"/>
    <n v="4939.75"/>
    <s v="T+2"/>
  </r>
  <r>
    <s v="PENSIONES"/>
    <s v="Gestion"/>
    <x v="20"/>
    <s v="GESBAN-HACIA"/>
    <n v="14813.16"/>
    <n v="0"/>
    <n v="14813.16"/>
    <s v="T+2"/>
  </r>
  <r>
    <s v="PENSIONES"/>
    <s v="Gestion"/>
    <x v="23"/>
    <s v="C.B. EMPL"/>
    <n v="-517001.14"/>
    <n v="0"/>
    <n v="-517001.14"/>
    <s v="T+2"/>
  </r>
  <r>
    <s v="PENSIONES"/>
    <s v="Gestion"/>
    <x v="24"/>
    <s v="C.B. CIA"/>
    <n v="-1027544.14"/>
    <n v="0"/>
    <n v="-1027544.14"/>
    <s v="T+2"/>
  </r>
  <r>
    <s v="F AHORRO"/>
    <s v="Gestion"/>
    <x v="29"/>
    <s v="DANONE DE MEXICO SEMANAL"/>
    <n v="2064207.96"/>
    <n v="0"/>
    <n v="2064207.96"/>
    <s v="El Cliente no ha enviado su información / ya se solicitó vía correo "/>
  </r>
  <r>
    <s v="F AHORRO"/>
    <s v="Gestion"/>
    <x v="30"/>
    <s v="DANONE DE MEXICO QUINCENAL"/>
    <n v="4812430.88"/>
    <n v="0"/>
    <n v="4812430.88"/>
    <s v="El Cliente no ha enviado su información / ya se solicitó vía correo "/>
  </r>
  <r>
    <s v="F.AHORRO"/>
    <s v="Gestion"/>
    <x v="31"/>
    <s v="EAMSIND - Envasadoras de Aguas en México Sind"/>
    <n v="719603.28"/>
    <n v="0"/>
    <n v="719603.28"/>
    <s v="El Cliente no ha enviado su información / ya se solicitó vía correo "/>
  </r>
  <r>
    <s v="F AHORRO"/>
    <s v="Gestion"/>
    <x v="32"/>
    <s v="SUPREMA"/>
    <n v="2494079.54"/>
    <n v="0"/>
    <n v="2494079.54"/>
    <s v="El Cliente no ha enviado su información / ya se solicitó vía correo "/>
  </r>
  <r>
    <s v="F AHORRO"/>
    <s v="Gestion"/>
    <x v="33"/>
    <s v="BONAFONT SEMANAL"/>
    <n v="411634.52"/>
    <n v="0"/>
    <n v="411634.52"/>
    <s v="El Cliente no ha enviado su información / ya se solicitó vía correo "/>
  </r>
  <r>
    <s v="F AHORRO"/>
    <s v="Gestion"/>
    <x v="34"/>
    <s v="BONAFONT QUINENAL"/>
    <n v="1349158.58"/>
    <n v="0"/>
    <n v="1349158.58"/>
    <s v="El Cliente no ha enviado su información / ya se solicitó vía correo "/>
  </r>
  <r>
    <s v="PENSIONES"/>
    <s v="Gestion"/>
    <x v="21"/>
    <s v="SANTEMP50"/>
    <n v="-30149.45"/>
    <n v="0"/>
    <n v="-30149.45"/>
    <s v="T+2"/>
  </r>
  <r>
    <s v="PENSIONES"/>
    <s v="Gestion"/>
    <x v="22"/>
    <s v="SANTEMP60"/>
    <n v="-4939.75"/>
    <n v="0"/>
    <n v="-4939.75"/>
    <s v="T+2"/>
  </r>
  <r>
    <s v="PENSIONES"/>
    <s v="Gestion"/>
    <x v="35"/>
    <s v="SANTCIA50"/>
    <n v="-90283.26"/>
    <n v="0"/>
    <n v="-90283.26"/>
    <s v="T+2"/>
  </r>
  <r>
    <s v="PENSIONES"/>
    <s v="Gestion"/>
    <x v="36"/>
    <s v="SANTCIA60"/>
    <n v="-14813.16"/>
    <n v="0"/>
    <n v="-14813.16"/>
    <s v="T+2"/>
  </r>
  <r>
    <s v="F AHORRO"/>
    <s v="Gestion"/>
    <x v="8"/>
    <s v="Elevadores OTIS Fondo de Ahorro Sindicalizados"/>
    <n v="992471.08"/>
    <n v="0"/>
    <n v="992471.08"/>
    <s v="El Cliente no ha enviado su información / ya se solicitó vía correo "/>
  </r>
  <r>
    <s v="F AHORRO"/>
    <s v="Gestion"/>
    <x v="37"/>
    <s v="Elevadores OTIS Fondo de Ahorro Empleados"/>
    <n v="1342934.68"/>
    <n v="0"/>
    <n v="1342934.68"/>
    <s v="El Cliente no ha enviado su información / ya se solicitó vía correo "/>
  </r>
  <r>
    <s v="F.AHORRO"/>
    <s v="Gestion"/>
    <x v="38"/>
    <s v="Robert Bosch México Sistemas Automotrices, S.A. de C.V. (Fondo de Ahorro 61A0)"/>
    <n v="1472872.78"/>
    <n v="0"/>
    <n v="1472872.78"/>
    <s v="El Cliente no ha enviado su información / ya se solicitó vía correo "/>
  </r>
  <r>
    <s v="F.AHORRO"/>
    <s v="Gestion"/>
    <x v="39"/>
    <s v="Robert Bosch México Sistemas Automotrices, S.A. de C.V. (Fondo de Ahorro 61A2)"/>
    <n v="235415.54"/>
    <n v="0"/>
    <n v="235415.54"/>
    <s v="El Cliente no ha enviado su información / ya se solicitó vía correo "/>
  </r>
  <r>
    <s v="F.AHORRO"/>
    <s v="Gestion"/>
    <x v="40"/>
    <s v="Robert Bosch México Sistemas Automotrices, S.A. de C.V. (Fondo de Ahorro 61C0)"/>
    <n v="1691448.94"/>
    <n v="0"/>
    <n v="1691448.94"/>
    <s v="El Cliente no ha enviado su información / ya se solicitó vía correo "/>
  </r>
  <r>
    <s v="F.AHORRO"/>
    <s v="Gestion"/>
    <x v="41"/>
    <s v="Robert Bosch México, S.A. de C.V. (Fondo de Ahorro 25D0)"/>
    <n v="127747.52"/>
    <n v="0"/>
    <n v="127747.52"/>
    <s v="El Cliente no ha enviado su información / ya se solicitó vía correo "/>
  </r>
  <r>
    <s v="F.AHORRO"/>
    <s v="Gestion"/>
    <x v="42"/>
    <s v="Robert Bosch Tool de México, S.A de C.V. (Fondo de Ahorro 41D0)"/>
    <n v="495640.24"/>
    <n v="0"/>
    <n v="495640.24"/>
    <s v="El Cliente no ha enviado su información / ya se solicitó vía correo "/>
  </r>
  <r>
    <s v="F.AHORRO"/>
    <s v="Gestion"/>
    <x v="43"/>
    <s v="Robert Bosch México Sistemas de Frenos, S. de R.L. de C.V. (Fondo de Ahorro 61A1)"/>
    <n v="1287842.92"/>
    <n v="0"/>
    <n v="1287842.92"/>
    <s v="El Cliente no ha enviado su información / ya se solicitó vía correo "/>
  </r>
  <r>
    <s v="F.AHORRO"/>
    <n v="0"/>
    <x v="44"/>
    <s v="Robert Bosch Sistemas Automotrices S.A de C.V (Fondo de Ahorro 6981)"/>
    <n v="4306110.5199999996"/>
    <n v="0"/>
    <n v="4306110.5199999996"/>
    <s v="El Cliente no ha enviado su información / ya se solicitó vía correo "/>
  </r>
  <r>
    <n v="0"/>
    <n v="0"/>
    <x v="45"/>
    <s v="Robert Bosch S de RL de CV (Fondo de Ahorro 904W)"/>
    <n v="6110.72"/>
    <n v="0"/>
    <n v="6110.72"/>
    <s v="El Cliente no ha enviado su información / ya se solicitó vía correo "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W5:X8" firstHeaderRow="1" firstDataRow="1" firstDataCol="1"/>
  <pivotFields count="18">
    <pivotField axis="axisRow" showAll="0">
      <items count="519">
        <item m="1" x="206"/>
        <item m="1" x="326"/>
        <item m="1" x="414"/>
        <item m="1" x="327"/>
        <item m="1" x="388"/>
        <item m="1" x="328"/>
        <item m="1" x="428"/>
        <item m="1" x="463"/>
        <item m="1" x="433"/>
        <item m="1" x="418"/>
        <item m="1" x="407"/>
        <item m="1" x="412"/>
        <item m="1" x="364"/>
        <item m="1" x="400"/>
        <item m="1" x="329"/>
        <item m="1" x="460"/>
        <item m="1" x="408"/>
        <item m="1" x="330"/>
        <item m="1" x="331"/>
        <item m="1" x="332"/>
        <item m="1" x="468"/>
        <item m="1" x="473"/>
        <item m="1" x="333"/>
        <item m="1" x="334"/>
        <item m="1" x="490"/>
        <item m="1" x="365"/>
        <item m="1" x="4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475"/>
        <item m="1" x="401"/>
        <item m="1" x="346"/>
        <item m="1" x="472"/>
        <item m="1" x="511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99"/>
        <item m="1" x="423"/>
        <item m="1" x="502"/>
        <item m="1" x="379"/>
        <item m="1" x="466"/>
        <item m="1" x="356"/>
        <item m="1" x="265"/>
        <item m="1" x="266"/>
        <item m="1" x="479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373"/>
        <item m="1" x="196"/>
        <item m="1" x="197"/>
        <item m="1" x="198"/>
        <item m="1" x="199"/>
        <item m="1" x="200"/>
        <item m="1" x="201"/>
        <item m="1" x="202"/>
        <item m="1" x="203"/>
        <item m="1" x="360"/>
        <item m="1" x="395"/>
        <item m="1" x="446"/>
        <item m="1" x="461"/>
        <item m="1" x="384"/>
        <item m="1" x="204"/>
        <item m="1" x="205"/>
        <item m="1" x="396"/>
        <item m="1" x="323"/>
        <item m="1" x="381"/>
        <item m="1" x="324"/>
        <item m="1" x="363"/>
        <item m="1" x="325"/>
        <item m="1" x="470"/>
        <item m="1" x="397"/>
        <item m="1" x="259"/>
        <item m="1" x="107"/>
        <item m="1" x="402"/>
        <item m="1" x="108"/>
        <item m="1" x="377"/>
        <item m="1" x="109"/>
        <item m="1" x="110"/>
        <item m="1" x="111"/>
        <item m="1" x="260"/>
        <item m="1" x="261"/>
        <item m="1" x="112"/>
        <item m="1" x="113"/>
        <item m="1" x="114"/>
        <item m="1" x="115"/>
        <item m="1" x="386"/>
        <item m="1" x="116"/>
        <item m="1" x="117"/>
        <item m="1" x="118"/>
        <item m="1" x="462"/>
        <item m="1" x="120"/>
        <item m="1" x="121"/>
        <item m="1" x="385"/>
        <item m="1" x="262"/>
        <item m="1" x="263"/>
        <item m="1" x="264"/>
        <item m="1" x="122"/>
        <item m="1" x="123"/>
        <item m="1" x="464"/>
        <item m="1" x="124"/>
        <item m="1" x="125"/>
        <item m="1" x="487"/>
        <item m="1" x="503"/>
        <item m="1" x="508"/>
        <item m="1" x="126"/>
        <item m="1" x="127"/>
        <item m="1" x="128"/>
        <item m="1" x="438"/>
        <item m="1" x="129"/>
        <item m="1" x="130"/>
        <item m="1" x="476"/>
        <item m="1" x="359"/>
        <item m="1" x="474"/>
        <item m="1" x="131"/>
        <item m="1" x="132"/>
        <item m="1" x="267"/>
        <item m="1" x="421"/>
        <item m="1" x="268"/>
        <item m="1" x="454"/>
        <item m="1" x="269"/>
        <item m="1" x="270"/>
        <item m="1" x="419"/>
        <item m="1" x="422"/>
        <item m="1" x="271"/>
        <item m="1" x="272"/>
        <item m="1" x="273"/>
        <item m="1" x="274"/>
        <item m="1" x="275"/>
        <item m="1" x="276"/>
        <item m="1" x="488"/>
        <item m="1" x="491"/>
        <item m="1" x="494"/>
        <item m="1" x="499"/>
        <item m="1" x="277"/>
        <item m="1" x="278"/>
        <item m="1" x="506"/>
        <item m="1" x="279"/>
        <item m="1" x="280"/>
        <item m="1" x="281"/>
        <item m="1" x="282"/>
        <item m="1" x="361"/>
        <item m="1" x="283"/>
        <item m="1" x="369"/>
        <item m="1" x="372"/>
        <item m="1" x="374"/>
        <item m="1" x="389"/>
        <item m="1" x="391"/>
        <item m="1" x="405"/>
        <item m="1" x="410"/>
        <item m="1" x="413"/>
        <item m="1" x="284"/>
        <item m="1" x="489"/>
        <item m="1" x="285"/>
        <item m="1" x="286"/>
        <item m="1" x="287"/>
        <item m="1" x="440"/>
        <item m="1" x="443"/>
        <item m="1" x="448"/>
        <item m="1" x="449"/>
        <item m="1" x="288"/>
        <item m="1" x="289"/>
        <item m="1" x="290"/>
        <item m="1" x="291"/>
        <item m="1" x="455"/>
        <item m="1" x="292"/>
        <item m="1" x="293"/>
        <item m="1" x="294"/>
        <item m="1" x="441"/>
        <item m="1" x="444"/>
        <item m="1" x="403"/>
        <item m="1" x="406"/>
        <item m="1" x="295"/>
        <item m="1" x="296"/>
        <item m="1" x="297"/>
        <item m="1" x="298"/>
        <item m="1" x="477"/>
        <item m="1" x="481"/>
        <item m="1" x="492"/>
        <item m="1" x="299"/>
        <item m="1" x="300"/>
        <item m="1" x="301"/>
        <item m="1" x="302"/>
        <item m="1" x="431"/>
        <item m="1" x="432"/>
        <item m="1" x="303"/>
        <item m="1" x="304"/>
        <item m="1" x="478"/>
        <item m="1" x="426"/>
        <item m="1" x="429"/>
        <item m="1" x="459"/>
        <item m="1" x="305"/>
        <item m="1" x="437"/>
        <item m="1" x="442"/>
        <item m="1" x="306"/>
        <item m="1" x="307"/>
        <item m="1" x="308"/>
        <item m="1" x="319"/>
        <item m="1" x="320"/>
        <item m="1" x="321"/>
        <item m="1" x="322"/>
        <item m="1" x="436"/>
        <item m="1" x="207"/>
        <item m="1" x="209"/>
        <item m="1" x="210"/>
        <item m="1" x="382"/>
        <item m="1" x="214"/>
        <item m="1" x="215"/>
        <item m="1" x="217"/>
        <item m="1" x="218"/>
        <item m="1" x="219"/>
        <item m="1" x="392"/>
        <item m="1" x="484"/>
        <item m="1" x="222"/>
        <item m="1" x="223"/>
        <item m="1" x="445"/>
        <item m="1" x="357"/>
        <item m="1" x="370"/>
        <item m="1" x="457"/>
        <item m="1" x="224"/>
        <item m="1" x="467"/>
        <item m="1" x="505"/>
        <item m="1" x="367"/>
        <item m="1" x="394"/>
        <item m="1" x="225"/>
        <item m="1" x="485"/>
        <item m="1" x="498"/>
        <item m="1" x="362"/>
        <item m="1" x="416"/>
        <item m="1" x="510"/>
        <item m="1" x="226"/>
        <item m="1" x="452"/>
        <item m="1" x="358"/>
        <item m="1" x="417"/>
        <item m="1" x="227"/>
        <item m="1" x="425"/>
        <item m="1" x="228"/>
        <item m="1" x="495"/>
        <item m="1" x="500"/>
        <item m="1" x="504"/>
        <item m="1" x="507"/>
        <item m="1" x="509"/>
        <item m="1" x="229"/>
        <item m="1" x="309"/>
        <item m="1" x="310"/>
        <item m="1" x="516"/>
        <item m="1" x="482"/>
        <item m="1" x="497"/>
        <item m="1" x="458"/>
        <item m="1" x="453"/>
        <item m="1" x="465"/>
        <item m="1" x="514"/>
        <item m="1" x="456"/>
        <item m="1" x="420"/>
        <item m="1" x="471"/>
        <item m="1" x="312"/>
        <item m="1" x="313"/>
        <item m="1" x="314"/>
        <item m="1" x="315"/>
        <item m="1" x="496"/>
        <item m="1" x="501"/>
        <item m="1" x="133"/>
        <item m="1" x="415"/>
        <item m="1" x="427"/>
        <item m="1" x="311"/>
        <item m="1" x="375"/>
        <item m="1" x="221"/>
        <item m="1" x="371"/>
        <item m="1" x="483"/>
        <item m="1" x="404"/>
        <item m="1" x="409"/>
        <item m="1" x="486"/>
        <item m="1" x="469"/>
        <item m="1" x="513"/>
        <item m="1" x="517"/>
        <item m="1" x="220"/>
        <item m="1" x="366"/>
        <item m="1" x="393"/>
        <item m="1" x="411"/>
        <item m="1" x="380"/>
        <item m="1" x="424"/>
        <item m="1" x="230"/>
        <item m="1" x="231"/>
        <item m="1" x="232"/>
        <item m="1" x="236"/>
        <item m="1" x="136"/>
        <item m="1" x="137"/>
        <item m="1" x="316"/>
        <item m="1" x="317"/>
        <item m="1" x="318"/>
        <item m="1" x="451"/>
        <item m="1" x="398"/>
        <item m="1" x="515"/>
        <item m="1" x="430"/>
        <item m="1" x="435"/>
        <item m="1" x="439"/>
        <item m="1" x="447"/>
        <item m="1" x="450"/>
        <item m="1" x="212"/>
        <item m="1" x="480"/>
        <item m="1" x="151"/>
        <item m="1" x="152"/>
        <item m="1" x="238"/>
        <item m="1" x="153"/>
        <item m="1" x="154"/>
        <item m="1" x="135"/>
        <item m="1" x="148"/>
        <item m="1" x="149"/>
        <item m="1" x="378"/>
        <item m="1" x="376"/>
        <item m="1" x="213"/>
        <item m="1" x="383"/>
        <item m="1" x="239"/>
        <item m="1" x="240"/>
        <item m="1" x="241"/>
        <item m="1" x="242"/>
        <item m="1" x="243"/>
        <item m="1" x="512"/>
        <item m="1" x="155"/>
        <item m="1" x="156"/>
        <item m="1" x="493"/>
        <item m="1" x="387"/>
        <item m="1" x="150"/>
        <item m="1" x="159"/>
        <item m="1" x="244"/>
        <item m="1" x="237"/>
        <item m="1" x="134"/>
        <item m="1" x="245"/>
        <item m="1" x="166"/>
        <item m="1" x="167"/>
        <item m="1" x="233"/>
        <item m="1" x="234"/>
        <item m="1" x="235"/>
        <item m="1" x="157"/>
        <item m="1" x="173"/>
        <item m="1" x="174"/>
        <item m="1" x="177"/>
        <item m="1" x="178"/>
        <item m="1" x="179"/>
        <item m="1" x="180"/>
        <item m="1" x="211"/>
        <item m="1" x="216"/>
        <item m="1" x="160"/>
        <item m="1" x="161"/>
        <item m="1" x="162"/>
        <item m="1" x="163"/>
        <item m="1" x="164"/>
        <item m="1" x="165"/>
        <item m="1" x="208"/>
        <item m="1" x="158"/>
        <item m="1" x="171"/>
        <item m="1" x="172"/>
        <item m="1" x="181"/>
        <item m="1" x="182"/>
        <item x="0"/>
        <item m="1" x="169"/>
        <item m="1" x="390"/>
        <item m="1" x="250"/>
        <item m="1" x="184"/>
        <item m="1" x="368"/>
        <item m="1" x="185"/>
        <item m="1" x="183"/>
        <item m="1" x="246"/>
        <item m="1" x="168"/>
        <item m="1" x="86"/>
        <item m="1" x="88"/>
        <item m="1" x="119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70"/>
        <item m="1" x="175"/>
        <item m="1" x="176"/>
        <item m="1" x="186"/>
        <item m="1" x="251"/>
        <item m="1" x="252"/>
        <item m="1" x="253"/>
        <item m="1" x="254"/>
        <item m="1" x="87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247"/>
        <item m="1" x="248"/>
        <item m="1" x="249"/>
        <item m="1" x="255"/>
        <item m="1" x="256"/>
        <item m="1" x="257"/>
        <item m="1" x="258"/>
        <item m="1" x="85"/>
        <item m="1" x="89"/>
        <item m="1" x="104"/>
        <item m="1" x="106"/>
        <item m="1" x="105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">
    <i>
      <x v="376"/>
    </i>
    <i>
      <x v="435"/>
    </i>
    <i t="grand">
      <x/>
    </i>
  </rowItems>
  <colItems count="1">
    <i/>
  </colItems>
  <dataFields count="1">
    <dataField name="TOTAL" fld="7" baseField="0" baseItem="0"/>
  </dataFields>
  <formats count="11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outline="0" axis="axisValues" fieldPosition="0"/>
    </format>
    <format dxfId="16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15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14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13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12">
      <pivotArea dataOnly="0" labelOnly="1" fieldPosition="0">
        <references count="1">
          <reference field="0" count="49">
            <x v="246"/>
            <x v="248"/>
            <x v="251"/>
            <x v="252"/>
            <x v="253"/>
            <x v="254"/>
            <x v="255"/>
            <x v="256"/>
            <x v="257"/>
            <x v="258"/>
            <x v="264"/>
            <x v="265"/>
            <x v="266"/>
            <x v="269"/>
            <x v="272"/>
            <x v="275"/>
            <x v="277"/>
            <x v="278"/>
            <x v="279"/>
            <x v="280"/>
            <x v="283"/>
            <x v="285"/>
            <x v="286"/>
            <x v="287"/>
            <x v="288"/>
            <x v="290"/>
            <x v="296"/>
            <x v="297"/>
            <x v="298"/>
            <x v="299"/>
            <x v="300"/>
            <x v="301"/>
            <x v="303"/>
            <x v="304"/>
            <x v="305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</reference>
        </references>
      </pivotArea>
    </format>
    <format dxfId="11">
      <pivotArea dataOnly="0" labelOnly="1" fieldPosition="0">
        <references count="1">
          <reference field="0" count="6">
            <x v="321"/>
            <x v="322"/>
            <x v="323"/>
            <x v="324"/>
            <x v="325"/>
            <x v="326"/>
          </reference>
        </references>
      </pivotArea>
    </format>
    <format dxfId="1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2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A5:AC96" firstHeaderRow="0" firstDataRow="1" firstDataCol="1"/>
  <pivotFields count="18">
    <pivotField axis="axisRow" showAll="0">
      <items count="519">
        <item m="1" x="402"/>
        <item m="1" x="108"/>
        <item m="1" x="109"/>
        <item m="1" x="110"/>
        <item m="1" x="111"/>
        <item m="1" x="112"/>
        <item m="1" x="113"/>
        <item m="1" x="114"/>
        <item m="1" x="115"/>
        <item m="1" x="386"/>
        <item m="1" x="116"/>
        <item m="1" x="117"/>
        <item m="1" x="118"/>
        <item m="1" x="462"/>
        <item m="1" x="120"/>
        <item m="1" x="121"/>
        <item m="1" x="385"/>
        <item m="1" x="122"/>
        <item m="1" x="123"/>
        <item m="1" x="124"/>
        <item m="1" x="125"/>
        <item m="1" x="487"/>
        <item m="1" x="503"/>
        <item m="1" x="508"/>
        <item m="1" x="126"/>
        <item m="1" x="127"/>
        <item m="1" x="128"/>
        <item m="1" x="438"/>
        <item m="1" x="129"/>
        <item m="1" x="130"/>
        <item m="1" x="476"/>
        <item m="1" x="359"/>
        <item m="1" x="474"/>
        <item m="1" x="131"/>
        <item m="1" x="132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7"/>
        <item m="1" x="198"/>
        <item m="1" x="199"/>
        <item m="1" x="200"/>
        <item m="1" x="201"/>
        <item m="1" x="202"/>
        <item m="1" x="203"/>
        <item m="1" x="360"/>
        <item m="1" x="395"/>
        <item m="1" x="446"/>
        <item m="1" x="461"/>
        <item m="1" x="204"/>
        <item m="1" x="205"/>
        <item m="1" x="206"/>
        <item m="1" x="207"/>
        <item m="1" x="209"/>
        <item m="1" x="210"/>
        <item m="1" x="215"/>
        <item m="1" x="218"/>
        <item m="1" x="219"/>
        <item m="1" x="392"/>
        <item m="1" x="484"/>
        <item m="1" x="222"/>
        <item m="1" x="223"/>
        <item m="1" x="445"/>
        <item m="1" x="357"/>
        <item m="1" x="370"/>
        <item m="1" x="457"/>
        <item m="1" x="224"/>
        <item m="1" x="467"/>
        <item m="1" x="505"/>
        <item m="1" x="367"/>
        <item m="1" x="394"/>
        <item m="1" x="225"/>
        <item m="1" x="485"/>
        <item m="1" x="498"/>
        <item m="1" x="362"/>
        <item m="1" x="416"/>
        <item m="1" x="510"/>
        <item m="1" x="226"/>
        <item m="1" x="452"/>
        <item m="1" x="358"/>
        <item m="1" x="417"/>
        <item m="1" x="227"/>
        <item m="1" x="425"/>
        <item m="1" x="228"/>
        <item m="1" x="436"/>
        <item m="1" x="260"/>
        <item m="1" x="261"/>
        <item m="1" x="267"/>
        <item m="1" x="268"/>
        <item m="1" x="454"/>
        <item m="1" x="269"/>
        <item m="1" x="270"/>
        <item m="1" x="419"/>
        <item m="1" x="422"/>
        <item m="1" x="271"/>
        <item m="1" x="272"/>
        <item m="1" x="273"/>
        <item m="1" x="274"/>
        <item m="1" x="275"/>
        <item m="1" x="276"/>
        <item m="1" x="488"/>
        <item m="1" x="491"/>
        <item m="1" x="494"/>
        <item m="1" x="499"/>
        <item m="1" x="277"/>
        <item m="1" x="278"/>
        <item m="1" x="279"/>
        <item m="1" x="280"/>
        <item m="1" x="281"/>
        <item m="1" x="282"/>
        <item m="1" x="361"/>
        <item m="1" x="283"/>
        <item m="1" x="369"/>
        <item m="1" x="372"/>
        <item m="1" x="374"/>
        <item m="1" x="389"/>
        <item m="1" x="391"/>
        <item m="1" x="405"/>
        <item m="1" x="410"/>
        <item m="1" x="413"/>
        <item m="1" x="284"/>
        <item m="1" x="489"/>
        <item m="1" x="285"/>
        <item m="1" x="286"/>
        <item m="1" x="287"/>
        <item m="1" x="440"/>
        <item m="1" x="443"/>
        <item m="1" x="448"/>
        <item m="1" x="449"/>
        <item m="1" x="288"/>
        <item m="1" x="289"/>
        <item m="1" x="290"/>
        <item m="1" x="291"/>
        <item m="1" x="455"/>
        <item m="1" x="292"/>
        <item m="1" x="293"/>
        <item m="1" x="294"/>
        <item m="1" x="441"/>
        <item m="1" x="444"/>
        <item m="1" x="295"/>
        <item m="1" x="296"/>
        <item m="1" x="297"/>
        <item m="1" x="298"/>
        <item m="1" x="299"/>
        <item m="1" x="300"/>
        <item m="1" x="301"/>
        <item m="1" x="302"/>
        <item m="1" x="431"/>
        <item m="1" x="432"/>
        <item m="1" x="303"/>
        <item m="1" x="304"/>
        <item m="1" x="478"/>
        <item m="1" x="426"/>
        <item m="1" x="429"/>
        <item m="1" x="459"/>
        <item m="1" x="305"/>
        <item m="1" x="437"/>
        <item m="1" x="442"/>
        <item m="1" x="306"/>
        <item m="1" x="307"/>
        <item m="1" x="308"/>
        <item m="1" x="319"/>
        <item m="1" x="320"/>
        <item m="1" x="321"/>
        <item m="1" x="322"/>
        <item m="1" x="396"/>
        <item m="1" x="323"/>
        <item m="1" x="324"/>
        <item m="1" x="325"/>
        <item m="1" x="470"/>
        <item m="1" x="326"/>
        <item m="1" x="414"/>
        <item m="1" x="327"/>
        <item m="1" x="388"/>
        <item m="1" x="328"/>
        <item m="1" x="428"/>
        <item m="1" x="463"/>
        <item m="1" x="412"/>
        <item m="1" x="364"/>
        <item m="1" x="400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472"/>
        <item m="1" x="511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502"/>
        <item m="1" x="379"/>
        <item m="1" x="466"/>
        <item m="1" x="356"/>
        <item m="1" x="107"/>
        <item m="1" x="377"/>
        <item m="1" x="196"/>
        <item m="1" x="384"/>
        <item m="1" x="259"/>
        <item m="1" x="262"/>
        <item m="1" x="263"/>
        <item m="1" x="264"/>
        <item m="1" x="265"/>
        <item m="1" x="266"/>
        <item m="1" x="479"/>
        <item m="1" x="373"/>
        <item m="1" x="382"/>
        <item m="1" x="214"/>
        <item m="1" x="217"/>
        <item m="1" x="464"/>
        <item m="1" x="421"/>
        <item m="1" x="506"/>
        <item m="1" x="403"/>
        <item m="1" x="406"/>
        <item m="1" x="477"/>
        <item m="1" x="481"/>
        <item m="1" x="492"/>
        <item m="1" x="381"/>
        <item m="1" x="363"/>
        <item m="1" x="397"/>
        <item m="1" x="433"/>
        <item m="1" x="418"/>
        <item m="1" x="407"/>
        <item m="1" x="460"/>
        <item m="1" x="408"/>
        <item m="1" x="468"/>
        <item m="1" x="473"/>
        <item m="1" x="490"/>
        <item m="1" x="365"/>
        <item m="1" x="434"/>
        <item m="1" x="475"/>
        <item m="1" x="401"/>
        <item m="1" x="399"/>
        <item m="1" x="423"/>
        <item m="1" x="495"/>
        <item m="1" x="500"/>
        <item m="1" x="504"/>
        <item m="1" x="507"/>
        <item m="1" x="509"/>
        <item m="1" x="229"/>
        <item m="1" x="309"/>
        <item m="1" x="310"/>
        <item m="1" x="516"/>
        <item m="1" x="482"/>
        <item m="1" x="497"/>
        <item m="1" x="458"/>
        <item m="1" x="453"/>
        <item m="1" x="465"/>
        <item m="1" x="514"/>
        <item m="1" x="456"/>
        <item m="1" x="420"/>
        <item m="1" x="471"/>
        <item m="1" x="312"/>
        <item m="1" x="313"/>
        <item m="1" x="314"/>
        <item m="1" x="315"/>
        <item m="1" x="496"/>
        <item m="1" x="501"/>
        <item m="1" x="133"/>
        <item m="1" x="415"/>
        <item m="1" x="427"/>
        <item m="1" x="311"/>
        <item m="1" x="375"/>
        <item m="1" x="221"/>
        <item m="1" x="371"/>
        <item m="1" x="483"/>
        <item m="1" x="404"/>
        <item m="1" x="409"/>
        <item m="1" x="486"/>
        <item m="1" x="469"/>
        <item m="1" x="513"/>
        <item m="1" x="517"/>
        <item m="1" x="220"/>
        <item m="1" x="366"/>
        <item m="1" x="393"/>
        <item m="1" x="411"/>
        <item m="1" x="380"/>
        <item m="1" x="424"/>
        <item m="1" x="230"/>
        <item m="1" x="231"/>
        <item m="1" x="232"/>
        <item m="1" x="236"/>
        <item m="1" x="136"/>
        <item m="1" x="137"/>
        <item m="1" x="316"/>
        <item m="1" x="317"/>
        <item m="1" x="318"/>
        <item m="1" x="451"/>
        <item m="1" x="398"/>
        <item m="1" x="515"/>
        <item m="1" x="430"/>
        <item m="1" x="435"/>
        <item m="1" x="439"/>
        <item m="1" x="447"/>
        <item m="1" x="450"/>
        <item m="1" x="212"/>
        <item m="1" x="480"/>
        <item m="1" x="151"/>
        <item m="1" x="152"/>
        <item m="1" x="238"/>
        <item m="1" x="153"/>
        <item m="1" x="154"/>
        <item m="1" x="135"/>
        <item m="1" x="148"/>
        <item m="1" x="149"/>
        <item m="1" x="378"/>
        <item m="1" x="376"/>
        <item m="1" x="213"/>
        <item m="1" x="383"/>
        <item m="1" x="239"/>
        <item m="1" x="240"/>
        <item m="1" x="241"/>
        <item m="1" x="242"/>
        <item m="1" x="243"/>
        <item m="1" x="512"/>
        <item m="1" x="155"/>
        <item m="1" x="156"/>
        <item m="1" x="493"/>
        <item m="1" x="387"/>
        <item m="1" x="150"/>
        <item m="1" x="159"/>
        <item m="1" x="244"/>
        <item m="1" x="237"/>
        <item m="1" x="134"/>
        <item m="1" x="245"/>
        <item m="1" x="166"/>
        <item m="1" x="167"/>
        <item m="1" x="233"/>
        <item m="1" x="234"/>
        <item m="1" x="235"/>
        <item m="1" x="157"/>
        <item m="1" x="173"/>
        <item m="1" x="174"/>
        <item m="1" x="177"/>
        <item m="1" x="178"/>
        <item m="1" x="179"/>
        <item m="1" x="180"/>
        <item m="1" x="211"/>
        <item m="1" x="216"/>
        <item m="1" x="160"/>
        <item m="1" x="161"/>
        <item m="1" x="162"/>
        <item m="1" x="163"/>
        <item m="1" x="164"/>
        <item m="1" x="165"/>
        <item m="1" x="208"/>
        <item m="1" x="158"/>
        <item m="1" x="171"/>
        <item m="1" x="172"/>
        <item m="1" x="181"/>
        <item m="1" x="182"/>
        <item x="0"/>
        <item m="1" x="169"/>
        <item m="1" x="390"/>
        <item m="1" x="250"/>
        <item m="1" x="184"/>
        <item m="1" x="368"/>
        <item m="1" x="185"/>
        <item m="1" x="183"/>
        <item m="1" x="246"/>
        <item m="1" x="168"/>
        <item m="1" x="86"/>
        <item m="1" x="88"/>
        <item m="1" x="119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70"/>
        <item m="1" x="175"/>
        <item m="1" x="176"/>
        <item m="1" x="186"/>
        <item m="1" x="251"/>
        <item m="1" x="252"/>
        <item m="1" x="253"/>
        <item m="1" x="254"/>
        <item m="1" x="87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247"/>
        <item m="1" x="248"/>
        <item m="1" x="249"/>
        <item m="1" x="255"/>
        <item m="1" x="256"/>
        <item m="1" x="257"/>
        <item m="1" x="258"/>
        <item m="1" x="85"/>
        <item m="1" x="89"/>
        <item m="1" x="104"/>
        <item m="1" x="106"/>
        <item m="1" x="105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t="default"/>
      </items>
    </pivotField>
    <pivotField showAll="0"/>
    <pivotField axis="axisRow" showAll="0">
      <items count="771">
        <item m="1" x="385"/>
        <item m="1" x="347"/>
        <item m="1" x="153"/>
        <item m="1" x="194"/>
        <item m="1" x="424"/>
        <item m="1" x="195"/>
        <item m="1" x="268"/>
        <item m="1" x="196"/>
        <item m="1" x="197"/>
        <item m="1" x="198"/>
        <item m="1" x="199"/>
        <item m="1" x="200"/>
        <item m="1" x="154"/>
        <item m="1" x="115"/>
        <item m="1" x="118"/>
        <item m="1" x="121"/>
        <item m="1" x="123"/>
        <item m="1" x="168"/>
        <item m="1" x="155"/>
        <item m="1" x="124"/>
        <item m="1" x="216"/>
        <item m="1" x="241"/>
        <item m="1" x="162"/>
        <item m="1" x="87"/>
        <item m="1" x="171"/>
        <item m="1" x="163"/>
        <item m="1" x="164"/>
        <item m="1" x="165"/>
        <item m="1" x="203"/>
        <item m="1" x="204"/>
        <item m="1" x="205"/>
        <item m="1" x="138"/>
        <item m="1" x="142"/>
        <item m="1" x="143"/>
        <item m="1" x="145"/>
        <item m="1" x="91"/>
        <item m="1" x="644"/>
        <item m="1" x="93"/>
        <item m="1" x="274"/>
        <item m="1" x="94"/>
        <item m="1" x="368"/>
        <item m="1" x="98"/>
        <item m="1" x="99"/>
        <item m="1" x="101"/>
        <item m="1" x="638"/>
        <item m="1" x="107"/>
        <item m="1" x="108"/>
        <item m="1" x="442"/>
        <item m="1" x="110"/>
        <item m="1" x="111"/>
        <item m="1" x="297"/>
        <item m="1" x="112"/>
        <item m="1" x="127"/>
        <item m="1" x="169"/>
        <item m="1" x="285"/>
        <item m="1" x="691"/>
        <item m="1" x="132"/>
        <item m="1" x="448"/>
        <item m="1" x="472"/>
        <item m="1" x="331"/>
        <item m="1" x="134"/>
        <item m="1" x="334"/>
        <item m="1" x="749"/>
        <item m="1" x="750"/>
        <item m="1" x="178"/>
        <item m="1" x="415"/>
        <item m="1" x="147"/>
        <item m="1" x="321"/>
        <item m="1" x="150"/>
        <item m="1" x="177"/>
        <item m="1" x="170"/>
        <item m="1" x="399"/>
        <item m="1" x="92"/>
        <item m="1" x="609"/>
        <item m="1" x="104"/>
        <item m="1" x="105"/>
        <item m="1" x="106"/>
        <item m="1" x="699"/>
        <item m="1" x="120"/>
        <item m="1" x="129"/>
        <item m="1" x="176"/>
        <item m="1" x="148"/>
        <item m="1" x="202"/>
        <item m="1" x="428"/>
        <item m="1" x="308"/>
        <item m="1" x="748"/>
        <item m="1" x="281"/>
        <item m="1" x="612"/>
        <item m="1" x="466"/>
        <item m="1" x="131"/>
        <item m="1" x="522"/>
        <item m="1" x="527"/>
        <item m="1" x="228"/>
        <item m="1" x="599"/>
        <item m="1" x="409"/>
        <item m="1" x="410"/>
        <item m="1" x="654"/>
        <item m="1" x="656"/>
        <item m="1" x="657"/>
        <item m="1" x="602"/>
        <item m="1" x="349"/>
        <item m="1" x="473"/>
        <item m="1" x="716"/>
        <item m="1" x="450"/>
        <item m="1" x="659"/>
        <item m="1" x="485"/>
        <item m="1" x="486"/>
        <item m="1" x="528"/>
        <item m="1" x="191"/>
        <item m="1" x="192"/>
        <item m="1" x="193"/>
        <item m="1" x="201"/>
        <item m="1" x="598"/>
        <item m="1" x="615"/>
        <item m="1" x="475"/>
        <item m="1" x="717"/>
        <item m="1" x="552"/>
        <item m="1" x="319"/>
        <item m="1" x="230"/>
        <item m="1" x="432"/>
        <item m="1" x="231"/>
        <item m="1" x="232"/>
        <item m="1" x="233"/>
        <item m="1" x="235"/>
        <item m="1" x="236"/>
        <item m="1" x="237"/>
        <item m="1" x="239"/>
        <item m="1" x="549"/>
        <item m="1" x="161"/>
        <item m="1" x="240"/>
        <item m="1" x="600"/>
        <item m="1" x="660"/>
        <item m="1" x="282"/>
        <item m="1" x="523"/>
        <item m="1" x="243"/>
        <item m="1" x="357"/>
        <item m="1" x="271"/>
        <item m="1" x="244"/>
        <item m="1" x="355"/>
        <item m="1" x="379"/>
        <item m="1" x="328"/>
        <item m="1" x="262"/>
        <item m="1" x="263"/>
        <item m="1" x="264"/>
        <item m="1" x="265"/>
        <item m="1" x="266"/>
        <item m="1" x="267"/>
        <item m="1" x="269"/>
        <item m="1" x="217"/>
        <item m="1" x="166"/>
        <item m="1" x="407"/>
        <item m="1" x="259"/>
        <item m="1" x="310"/>
        <item m="1" x="393"/>
        <item m="1" x="369"/>
        <item m="1" x="313"/>
        <item m="1" x="287"/>
        <item m="1" x="474"/>
        <item m="1" x="553"/>
        <item m="1" x="272"/>
        <item m="1" x="588"/>
        <item m="1" x="595"/>
        <item m="1" x="661"/>
        <item m="1" x="295"/>
        <item m="1" x="296"/>
        <item m="1" x="288"/>
        <item m="1" x="641"/>
        <item m="1" x="665"/>
        <item m="1" x="298"/>
        <item m="1" x="404"/>
        <item m="1" x="550"/>
        <item m="1" x="751"/>
        <item m="1" x="299"/>
        <item m="1" x="300"/>
        <item m="1" x="301"/>
        <item m="1" x="734"/>
        <item m="1" x="735"/>
        <item m="1" x="302"/>
        <item m="1" x="303"/>
        <item m="1" x="305"/>
        <item m="1" x="358"/>
        <item m="1" x="686"/>
        <item m="1" x="710"/>
        <item m="1" x="532"/>
        <item m="1" x="610"/>
        <item m="1" x="363"/>
        <item m="1" x="314"/>
        <item m="1" x="315"/>
        <item m="1" x="316"/>
        <item m="1" x="318"/>
        <item m="1" x="649"/>
        <item m="1" x="320"/>
        <item m="1" x="215"/>
        <item m="1" x="242"/>
        <item m="1" x="590"/>
        <item m="1" x="589"/>
        <item m="1" x="593"/>
        <item m="1" x="591"/>
        <item x="0"/>
        <item m="1" x="348"/>
        <item m="1" x="140"/>
        <item m="1" x="128"/>
        <item m="1" x="567"/>
        <item m="1" x="508"/>
        <item m="1" x="515"/>
        <item m="1" x="517"/>
        <item m="1" x="360"/>
        <item m="1" x="362"/>
        <item m="1" x="745"/>
        <item m="1" x="292"/>
        <item m="1" x="680"/>
        <item m="1" x="643"/>
        <item m="1" x="372"/>
        <item m="1" x="737"/>
        <item m="1" x="743"/>
        <item m="1" x="747"/>
        <item m="1" x="489"/>
        <item m="1" x="341"/>
        <item m="1" x="729"/>
        <item m="1" x="670"/>
        <item m="1" x="604"/>
        <item m="1" x="739"/>
        <item m="1" x="387"/>
        <item m="1" x="388"/>
        <item m="1" x="395"/>
        <item m="1" x="509"/>
        <item m="1" x="340"/>
        <item m="1" x="467"/>
        <item m="1" x="506"/>
        <item m="1" x="211"/>
        <item m="1" x="382"/>
        <item m="1" x="359"/>
        <item m="1" x="361"/>
        <item m="1" x="444"/>
        <item m="1" x="757"/>
        <item m="1" x="658"/>
        <item m="1" x="484"/>
        <item m="1" x="457"/>
        <item m="1" x="458"/>
        <item m="1" x="401"/>
        <item m="1" x="636"/>
        <item m="1" x="701"/>
        <item m="1" x="702"/>
        <item m="1" x="441"/>
        <item m="1" x="536"/>
        <item m="1" x="453"/>
        <item m="1" x="662"/>
        <item m="1" x="663"/>
        <item m="1" x="690"/>
        <item m="1" x="647"/>
        <item m="1" x="700"/>
        <item m="1" x="744"/>
        <item m="1" x="746"/>
        <item m="1" x="730"/>
        <item m="1" x="413"/>
        <item m="1" x="414"/>
        <item m="1" x="681"/>
        <item m="1" x="760"/>
        <item m="1" x="707"/>
        <item m="1" x="391"/>
        <item m="1" x="125"/>
        <item m="1" x="655"/>
        <item m="1" x="511"/>
        <item m="1" x="273"/>
        <item m="1" x="311"/>
        <item m="1" x="736"/>
        <item m="1" x="534"/>
        <item m="1" x="554"/>
        <item m="1" x="518"/>
        <item m="1" x="167"/>
        <item m="1" x="213"/>
        <item m="1" x="594"/>
        <item m="1" x="304"/>
        <item m="1" x="339"/>
        <item m="1" x="433"/>
        <item m="1" x="336"/>
        <item m="1" x="490"/>
        <item m="1" x="352"/>
        <item m="1" x="137"/>
        <item m="1" x="762"/>
        <item m="1" x="603"/>
        <item m="1" x="646"/>
        <item m="1" x="728"/>
        <item m="1" x="551"/>
        <item m="1" x="695"/>
        <item m="1" x="455"/>
        <item m="1" x="586"/>
        <item m="1" x="684"/>
        <item m="1" x="429"/>
        <item m="1" x="697"/>
        <item m="1" x="354"/>
        <item m="1" x="742"/>
        <item m="1" x="669"/>
        <item m="1" x="761"/>
        <item m="1" x="703"/>
        <item m="1" x="572"/>
        <item m="1" x="713"/>
        <item m="1" x="373"/>
        <item m="1" x="611"/>
        <item m="1" x="434"/>
        <item m="1" x="671"/>
        <item m="1" x="491"/>
        <item m="1" x="494"/>
        <item m="1" x="400"/>
        <item m="1" x="756"/>
        <item m="1" x="397"/>
        <item m="1" x="398"/>
        <item m="1" x="520"/>
        <item m="1" x="696"/>
        <item m="1" x="135"/>
        <item m="1" x="326"/>
        <item m="1" x="616"/>
        <item m="1" x="601"/>
        <item m="1" x="568"/>
        <item m="1" x="715"/>
        <item m="1" x="614"/>
        <item m="1" x="642"/>
        <item m="1" x="426"/>
        <item m="1" x="653"/>
        <item m="1" x="342"/>
        <item m="1" x="708"/>
        <item m="1" x="632"/>
        <item m="1" x="633"/>
        <item m="1" x="733"/>
        <item m="1" x="419"/>
        <item m="1" x="420"/>
        <item m="1" x="683"/>
        <item m="1" x="421"/>
        <item m="1" x="711"/>
        <item m="1" x="367"/>
        <item m="1" x="712"/>
        <item m="1" x="463"/>
        <item m="1" x="570"/>
        <item m="1" x="571"/>
        <item m="1" x="380"/>
        <item m="1" x="371"/>
        <item m="1" x="752"/>
        <item m="1" x="709"/>
        <item m="1" x="465"/>
        <item m="1" x="370"/>
        <item m="1" x="471"/>
        <item m="1" x="430"/>
        <item m="1" x="685"/>
        <item m="1" x="537"/>
        <item m="1" x="344"/>
        <item m="1" x="427"/>
        <item m="1" x="345"/>
        <item m="1" x="698"/>
        <item m="1" x="758"/>
        <item m="1" x="759"/>
        <item m="1" x="365"/>
        <item m="1" x="452"/>
        <item m="1" x="640"/>
        <item m="1" x="693"/>
        <item m="1" x="635"/>
        <item m="1" x="460"/>
        <item m="1" x="581"/>
        <item m="1" x="350"/>
        <item m="1" x="402"/>
        <item m="1" x="454"/>
        <item m="1" x="539"/>
        <item m="1" x="548"/>
        <item m="1" x="383"/>
        <item m="1" x="540"/>
        <item m="1" x="541"/>
        <item m="1" x="542"/>
        <item m="1" x="543"/>
        <item m="1" x="544"/>
        <item m="1" x="461"/>
        <item m="1" x="529"/>
        <item m="1" x="353"/>
        <item m="1" x="584"/>
        <item m="1" x="512"/>
        <item m="1" x="405"/>
        <item m="1" x="526"/>
        <item m="1" x="545"/>
        <item m="1" x="546"/>
        <item m="1" x="547"/>
        <item m="1" x="412"/>
        <item m="1" x="507"/>
        <item m="1" x="573"/>
        <item m="1" x="476"/>
        <item m="1" x="445"/>
        <item m="1" x="309"/>
        <item m="1" x="151"/>
        <item m="1" x="492"/>
        <item m="1" x="525"/>
        <item m="1" x="495"/>
        <item m="1" x="763"/>
        <item m="1" x="617"/>
        <item m="1" x="422"/>
        <item m="1" x="510"/>
        <item m="1" x="740"/>
        <item m="1" x="664"/>
        <item m="1" x="493"/>
        <item m="1" x="714"/>
        <item m="1" x="668"/>
        <item m="1" x="587"/>
        <item m="1" x="592"/>
        <item m="1" x="618"/>
        <item m="1" x="364"/>
        <item m="1" x="652"/>
        <item m="1" x="687"/>
        <item m="1" x="109"/>
        <item m="1" x="704"/>
        <item m="1" x="718"/>
        <item m="1" x="435"/>
        <item m="1" x="555"/>
        <item m="1" x="469"/>
        <item m="1" x="468"/>
        <item m="1" x="556"/>
        <item m="1" x="619"/>
        <item m="1" x="596"/>
        <item m="1" x="574"/>
        <item m="1" x="672"/>
        <item m="1" x="764"/>
        <item m="1" x="705"/>
        <item m="1" x="113"/>
        <item m="1" x="323"/>
        <item m="1" x="470"/>
        <item m="1" x="436"/>
        <item m="1" x="245"/>
        <item m="1" x="645"/>
        <item m="1" x="246"/>
        <item m="1" x="394"/>
        <item m="1" x="247"/>
        <item m="1" x="585"/>
        <item m="1" x="514"/>
        <item m="1" x="248"/>
        <item m="1" x="249"/>
        <item m="1" x="250"/>
        <item m="1" x="251"/>
        <item m="1" x="252"/>
        <item m="1" x="648"/>
        <item m="1" x="639"/>
        <item m="1" x="253"/>
        <item m="1" x="254"/>
        <item m="1" x="682"/>
        <item m="1" x="423"/>
        <item m="1" x="130"/>
        <item m="1" x="719"/>
        <item m="1" x="557"/>
        <item m="1" x="674"/>
        <item m="1" x="558"/>
        <item m="1" x="666"/>
        <item m="1" x="366"/>
        <item m="1" x="497"/>
        <item m="1" x="374"/>
        <item m="1" x="477"/>
        <item m="1" x="535"/>
        <item m="1" x="146"/>
        <item m="1" x="175"/>
        <item m="1" x="487"/>
        <item m="1" x="533"/>
        <item m="1" x="667"/>
        <item m="1" x="620"/>
        <item m="1" x="675"/>
        <item m="1" x="416"/>
        <item m="1" x="384"/>
        <item m="1" x="521"/>
        <item m="1" x="496"/>
        <item m="1" x="174"/>
        <item m="1" x="673"/>
        <item m="1" x="255"/>
        <item m="1" x="306"/>
        <item m="1" x="356"/>
        <item m="1" x="621"/>
        <item m="1" x="720"/>
        <item m="1" x="498"/>
        <item m="1" x="692"/>
        <item m="1" x="332"/>
        <item m="1" x="478"/>
        <item m="1" x="479"/>
        <item m="1" x="149"/>
        <item m="1" x="408"/>
        <item m="1" x="597"/>
        <item m="1" x="90"/>
        <item m="1" x="390"/>
        <item m="1" x="706"/>
        <item m="1" x="580"/>
        <item m="1" x="688"/>
        <item m="1" x="181"/>
        <item m="1" x="499"/>
        <item m="1" x="437"/>
        <item m="1" x="559"/>
        <item m="1" x="351"/>
        <item m="1" x="622"/>
        <item m="1" x="406"/>
        <item m="1" x="606"/>
        <item m="1" x="160"/>
        <item m="1" x="519"/>
        <item m="1" x="438"/>
        <item m="1" x="689"/>
        <item m="1" x="753"/>
        <item m="1" x="560"/>
        <item m="1" x="562"/>
        <item m="1" x="561"/>
        <item m="1" x="396"/>
        <item m="1" x="293"/>
        <item m="1" x="575"/>
        <item m="1" x="375"/>
        <item m="1" x="88"/>
        <item m="1" x="89"/>
        <item m="1" x="312"/>
        <item m="1" x="623"/>
        <item m="1" x="376"/>
        <item m="1" x="563"/>
        <item m="1" x="516"/>
        <item m="1" x="480"/>
        <item m="1" x="289"/>
        <item m="1" x="651"/>
        <item m="1" x="439"/>
        <item m="1" x="624"/>
        <item m="1" x="500"/>
        <item m="1" x="765"/>
        <item m="1" x="501"/>
        <item m="1" x="377"/>
        <item m="1" x="676"/>
        <item m="1" x="605"/>
        <item m="1" x="481"/>
        <item m="1" x="141"/>
        <item m="1" x="482"/>
        <item m="1" x="270"/>
        <item m="1" x="530"/>
        <item m="1" x="189"/>
        <item m="1" x="411"/>
        <item m="1" x="418"/>
        <item m="1" x="210"/>
        <item m="1" x="538"/>
        <item m="1" x="185"/>
        <item m="1" x="626"/>
        <item m="1" x="449"/>
        <item m="1" x="755"/>
        <item m="1" x="386"/>
        <item m="1" x="754"/>
        <item m="1" x="629"/>
        <item m="1" x="403"/>
        <item m="1" x="417"/>
        <item m="1" x="431"/>
        <item m="1" x="625"/>
        <item m="1" x="504"/>
        <item m="1" x="721"/>
        <item m="1" x="767"/>
        <item m="1" x="464"/>
        <item m="1" x="502"/>
        <item m="1" x="513"/>
        <item m="1" x="219"/>
        <item m="1" x="220"/>
        <item m="1" x="324"/>
        <item m="1" x="222"/>
        <item m="1" x="223"/>
        <item m="1" x="117"/>
        <item m="1" x="184"/>
        <item m="1" x="381"/>
        <item m="1" x="565"/>
        <item m="1" x="766"/>
        <item m="1" x="256"/>
        <item m="1" x="257"/>
        <item m="1" x="258"/>
        <item m="1" x="576"/>
        <item m="1" x="440"/>
        <item m="1" x="741"/>
        <item m="1" x="206"/>
        <item m="1" x="214"/>
        <item m="1" x="290"/>
        <item m="1" x="564"/>
        <item m="1" x="335"/>
        <item m="1" x="677"/>
        <item m="1" x="723"/>
        <item m="1" x="503"/>
        <item m="1" x="628"/>
        <item m="1" x="722"/>
        <item m="1" x="577"/>
        <item m="1" x="325"/>
        <item m="1" x="578"/>
        <item m="1" x="114"/>
        <item m="1" x="627"/>
        <item m="1" x="172"/>
        <item m="1" x="139"/>
        <item m="1" x="768"/>
        <item m="1" x="724"/>
        <item m="1" x="322"/>
        <item m="1" x="221"/>
        <item m="1" x="234"/>
        <item m="1" x="579"/>
        <item m="1" x="179"/>
        <item m="1" x="126"/>
        <item m="1" x="634"/>
        <item m="1" x="227"/>
        <item m="1" x="378"/>
        <item m="1" x="187"/>
        <item m="1" x="678"/>
        <item m="1" x="725"/>
        <item m="1" x="679"/>
        <item m="1" x="566"/>
        <item m="1" x="188"/>
        <item m="1" x="317"/>
        <item m="1" x="207"/>
        <item m="1" x="483"/>
        <item m="1" x="173"/>
        <item m="1" x="190"/>
        <item m="1" x="446"/>
        <item m="1" x="159"/>
        <item m="1" x="727"/>
        <item m="1" x="122"/>
        <item m="1" x="329"/>
        <item m="1" x="531"/>
        <item m="1" x="327"/>
        <item m="1" x="607"/>
        <item m="1" x="650"/>
        <item m="1" x="451"/>
        <item m="1" x="337"/>
        <item m="1" x="443"/>
        <item m="1" x="346"/>
        <item m="1" x="608"/>
        <item m="1" x="613"/>
        <item m="1" x="731"/>
        <item m="1" x="630"/>
        <item m="1" x="583"/>
        <item m="1" x="738"/>
        <item m="1" x="524"/>
        <item m="1" x="694"/>
        <item m="1" x="637"/>
        <item m="1" x="459"/>
        <item m="1" x="462"/>
        <item m="1" x="732"/>
        <item m="1" x="338"/>
        <item m="1" x="425"/>
        <item m="1" x="569"/>
        <item m="1" x="488"/>
        <item m="1" x="456"/>
        <item m="1" x="582"/>
        <item m="1" x="307"/>
        <item m="1" x="260"/>
        <item m="1" x="261"/>
        <item m="1" x="97"/>
        <item m="1" x="102"/>
        <item m="1" x="144"/>
        <item m="1" x="505"/>
        <item m="1" x="229"/>
        <item m="1" x="333"/>
        <item m="1" x="631"/>
        <item m="1" x="343"/>
        <item m="1" x="291"/>
        <item m="1" x="769"/>
        <item m="1" x="116"/>
        <item m="1" x="136"/>
        <item m="1" x="96"/>
        <item m="1" x="726"/>
        <item m="1" x="225"/>
        <item m="1" x="226"/>
        <item m="1" x="389"/>
        <item m="1" x="276"/>
        <item m="1" x="277"/>
        <item m="1" x="278"/>
        <item m="1" x="279"/>
        <item m="1" x="280"/>
        <item m="1" x="283"/>
        <item m="1" x="284"/>
        <item m="1" x="286"/>
        <item m="1" x="119"/>
        <item m="1" x="212"/>
        <item m="1" x="156"/>
        <item m="1" x="330"/>
        <item m="1" x="180"/>
        <item m="1" x="209"/>
        <item m="1" x="275"/>
        <item m="1" x="447"/>
        <item m="1" x="392"/>
        <item m="1" x="224"/>
        <item m="1" x="182"/>
        <item m="1" x="100"/>
        <item m="1" x="158"/>
        <item m="1" x="183"/>
        <item m="1" x="218"/>
        <item m="1" x="238"/>
        <item m="1" x="208"/>
        <item m="1" x="103"/>
        <item m="1" x="152"/>
        <item m="1" x="186"/>
        <item m="1" x="294"/>
        <item m="1" x="95"/>
        <item m="1" x="133"/>
        <item m="1" x="15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/>
    <pivotField showAll="0"/>
    <pivotField numFmtId="37" showAll="0"/>
    <pivotField numFmtId="164" showAll="0"/>
    <pivotField dataField="1" numFmtId="7" showAll="0"/>
    <pivotField numFmtId="164" showAll="0"/>
    <pivotField numFmtId="7" showAll="0"/>
    <pivotField numFmtId="37" showAll="0"/>
    <pivotField numFmtId="7" showAll="0"/>
    <pivotField numFmtId="37" showAll="0"/>
    <pivotField numFmtId="7" showAll="0"/>
    <pivotField numFmtId="37" showAll="0"/>
    <pivotField dataField="1" numFmtId="7" showAll="0"/>
    <pivotField showAll="0"/>
    <pivotField showAll="0"/>
  </pivotFields>
  <rowFields count="2">
    <field x="0"/>
    <field x="2"/>
  </rowFields>
  <rowItems count="91">
    <i>
      <x v="376"/>
    </i>
    <i r="1">
      <x v="198"/>
    </i>
    <i>
      <x v="435"/>
    </i>
    <i r="1">
      <x v="198"/>
    </i>
    <i r="1">
      <x v="684"/>
    </i>
    <i r="1">
      <x v="685"/>
    </i>
    <i r="1">
      <x v="686"/>
    </i>
    <i r="1">
      <x v="687"/>
    </i>
    <i r="1">
      <x v="688"/>
    </i>
    <i r="1">
      <x v="689"/>
    </i>
    <i r="1">
      <x v="690"/>
    </i>
    <i r="1">
      <x v="691"/>
    </i>
    <i r="1">
      <x v="692"/>
    </i>
    <i r="1">
      <x v="693"/>
    </i>
    <i r="1">
      <x v="694"/>
    </i>
    <i r="1">
      <x v="695"/>
    </i>
    <i r="1">
      <x v="696"/>
    </i>
    <i r="1">
      <x v="697"/>
    </i>
    <i r="1">
      <x v="698"/>
    </i>
    <i r="1">
      <x v="699"/>
    </i>
    <i r="1">
      <x v="700"/>
    </i>
    <i r="1">
      <x v="701"/>
    </i>
    <i r="1">
      <x v="702"/>
    </i>
    <i r="1">
      <x v="703"/>
    </i>
    <i r="1">
      <x v="704"/>
    </i>
    <i r="1">
      <x v="705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7"/>
    </i>
    <i r="1">
      <x v="718"/>
    </i>
    <i r="1">
      <x v="719"/>
    </i>
    <i r="1">
      <x v="720"/>
    </i>
    <i r="1">
      <x v="721"/>
    </i>
    <i r="1">
      <x v="722"/>
    </i>
    <i r="1">
      <x v="723"/>
    </i>
    <i r="1">
      <x v="724"/>
    </i>
    <i r="1">
      <x v="725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3"/>
    </i>
    <i r="1">
      <x v="734"/>
    </i>
    <i r="1">
      <x v="735"/>
    </i>
    <i r="1">
      <x v="736"/>
    </i>
    <i r="1">
      <x v="737"/>
    </i>
    <i r="1">
      <x v="738"/>
    </i>
    <i r="1">
      <x v="739"/>
    </i>
    <i r="1">
      <x v="740"/>
    </i>
    <i r="1">
      <x v="741"/>
    </i>
    <i r="1">
      <x v="742"/>
    </i>
    <i r="1">
      <x v="743"/>
    </i>
    <i r="1">
      <x v="744"/>
    </i>
    <i r="1">
      <x v="745"/>
    </i>
    <i r="1">
      <x v="746"/>
    </i>
    <i r="1">
      <x v="747"/>
    </i>
    <i r="1">
      <x v="748"/>
    </i>
    <i r="1">
      <x v="749"/>
    </i>
    <i r="1">
      <x v="750"/>
    </i>
    <i r="1">
      <x v="751"/>
    </i>
    <i r="1">
      <x v="752"/>
    </i>
    <i r="1">
      <x v="753"/>
    </i>
    <i r="1">
      <x v="754"/>
    </i>
    <i r="1">
      <x v="755"/>
    </i>
    <i r="1">
      <x v="756"/>
    </i>
    <i r="1">
      <x v="757"/>
    </i>
    <i r="1">
      <x v="758"/>
    </i>
    <i r="1">
      <x v="759"/>
    </i>
    <i r="1">
      <x v="760"/>
    </i>
    <i r="1">
      <x v="761"/>
    </i>
    <i r="1">
      <x v="762"/>
    </i>
    <i r="1">
      <x v="763"/>
    </i>
    <i r="1">
      <x v="764"/>
    </i>
    <i r="1">
      <x v="765"/>
    </i>
    <i r="1">
      <x v="766"/>
    </i>
    <i r="1">
      <x v="767"/>
    </i>
    <i r="1">
      <x v="768"/>
    </i>
    <i r="1">
      <x v="7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onto Total" fld="15" baseField="0" baseItem="0"/>
    <dataField name="Suma de Monto" fld="7" baseField="0" baseItem="0"/>
  </dataFields>
  <formats count="82">
    <format dxfId="102">
      <pivotArea collapsedLevelsAreSubtotals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1">
      <pivotArea dataOnly="0" labelOnly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0" type="button" dataOnly="0" labelOnly="1" outline="0" axis="axisRow" fieldPosition="0"/>
    </format>
    <format dxfId="97">
      <pivotArea dataOnly="0" labelOnly="1" fieldPosition="0">
        <references count="1">
          <reference field="0" count="50">
            <x v="5"/>
            <x v="6"/>
            <x v="7"/>
            <x v="8"/>
            <x v="10"/>
            <x v="11"/>
            <x v="12"/>
            <x v="14"/>
            <x v="15"/>
            <x v="17"/>
            <x v="18"/>
            <x v="20"/>
            <x v="21"/>
            <x v="22"/>
            <x v="23"/>
            <x v="24"/>
            <x v="25"/>
            <x v="26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</reference>
        </references>
      </pivotArea>
    </format>
    <format dxfId="96">
      <pivotArea dataOnly="0" labelOnly="1" fieldPosition="0">
        <references count="1">
          <reference field="0" count="50">
            <x v="61"/>
            <x v="62"/>
            <x v="63"/>
            <x v="64"/>
            <x v="66"/>
            <x v="67"/>
            <x v="68"/>
            <x v="69"/>
            <x v="72"/>
            <x v="77"/>
            <x v="79"/>
            <x v="82"/>
            <x v="83"/>
            <x v="84"/>
            <x v="85"/>
            <x v="86"/>
            <x v="87"/>
            <x v="88"/>
            <x v="89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5"/>
            <x v="116"/>
            <x v="117"/>
            <x v="118"/>
            <x v="119"/>
            <x v="121"/>
            <x v="122"/>
            <x v="124"/>
            <x v="126"/>
            <x v="128"/>
          </reference>
        </references>
      </pivotArea>
    </format>
    <format dxfId="95">
      <pivotArea dataOnly="0" labelOnly="1" fieldPosition="0">
        <references count="1">
          <reference field="0" count="50"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2"/>
            <x v="173"/>
            <x v="174"/>
            <x v="176"/>
            <x v="177"/>
            <x v="178"/>
            <x v="179"/>
            <x v="180"/>
            <x v="181"/>
            <x v="182"/>
          </reference>
        </references>
      </pivotArea>
    </format>
    <format dxfId="94">
      <pivotArea dataOnly="0" labelOnly="1" fieldPosition="0">
        <references count="1">
          <reference field="0" count="50">
            <x v="183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32"/>
            <x v="233"/>
            <x v="235"/>
            <x v="241"/>
            <x v="243"/>
            <x v="245"/>
            <x v="247"/>
            <x v="248"/>
            <x v="249"/>
          </reference>
        </references>
      </pivotArea>
    </format>
    <format dxfId="93">
      <pivotArea dataOnly="0" labelOnly="1" fieldPosition="0">
        <references count="1">
          <reference field="0" count="5">
            <x v="252"/>
            <x v="253"/>
            <x v="254"/>
            <x v="255"/>
            <x v="257"/>
          </reference>
        </references>
      </pivotArea>
    </format>
    <format dxfId="92">
      <pivotArea dataOnly="0" labelOnly="1" grandRow="1" outline="0" fieldPosition="0"/>
    </format>
    <format dxfId="91">
      <pivotArea dataOnly="0" labelOnly="1" fieldPosition="0">
        <references count="2">
          <reference field="0" count="1" selected="0">
            <x v="5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1"/>
            <x v="23"/>
            <x v="25"/>
            <x v="26"/>
            <x v="27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269"/>
          </reference>
        </references>
      </pivotArea>
    </format>
    <format dxfId="90">
      <pivotArea dataOnly="0" labelOnly="1" fieldPosition="0">
        <references count="2">
          <reference field="0" count="1" selected="0">
            <x v="11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54"/>
            <x v="56"/>
            <x v="57"/>
            <x v="59"/>
            <x v="61"/>
            <x v="62"/>
            <x v="63"/>
            <x v="65"/>
            <x v="66"/>
            <x v="68"/>
            <x v="70"/>
            <x v="72"/>
            <x v="73"/>
            <x v="74"/>
            <x v="75"/>
            <x v="76"/>
            <x v="78"/>
            <x v="162"/>
            <x v="169"/>
            <x v="200"/>
            <x v="260"/>
            <x v="309"/>
            <x v="401"/>
            <x v="417"/>
            <x v="438"/>
            <x v="450"/>
            <x v="454"/>
            <x v="457"/>
          </reference>
        </references>
      </pivotArea>
    </format>
    <format dxfId="89">
      <pivotArea dataOnly="0" labelOnly="1" fieldPosition="0">
        <references count="2">
          <reference field="0" count="1" selected="0">
            <x v="14"/>
          </reference>
          <reference field="2" count="4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82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88">
      <pivotArea dataOnly="0" labelOnly="1" fieldPosition="0">
        <references count="2">
          <reference field="0" count="1" selected="0">
            <x v="15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87">
      <pivotArea dataOnly="0" labelOnly="1" fieldPosition="0">
        <references count="2">
          <reference field="0" count="1" selected="0">
            <x v="17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86">
      <pivotArea dataOnly="0" labelOnly="1" fieldPosition="0">
        <references count="2">
          <reference field="0" count="1" selected="0">
            <x v="18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0"/>
            <x v="64"/>
            <x v="73"/>
            <x v="74"/>
            <x v="75"/>
            <x v="76"/>
            <x v="78"/>
            <x v="79"/>
            <x v="80"/>
            <x v="81"/>
            <x v="92"/>
            <x v="200"/>
            <x v="214"/>
            <x v="260"/>
            <x v="307"/>
            <x v="308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85">
      <pivotArea dataOnly="0" labelOnly="1" fieldPosition="0">
        <references count="2">
          <reference field="0" count="1" selected="0">
            <x v="21"/>
          </reference>
          <reference field="2" count="3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4">
      <pivotArea dataOnly="0" labelOnly="1" fieldPosition="0">
        <references count="2">
          <reference field="0" count="1" selected="0">
            <x v="23"/>
          </reference>
          <reference field="2" count="49">
            <x v="2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3">
      <pivotArea dataOnly="0" labelOnly="1" fieldPosition="0">
        <references count="2">
          <reference field="0" count="1" selected="0">
            <x v="24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82">
      <pivotArea dataOnly="0" labelOnly="1" fieldPosition="0">
        <references count="2">
          <reference field="0" count="1" selected="0">
            <x v="26"/>
          </reference>
          <reference field="2" count="50">
            <x v="2"/>
            <x v="10"/>
            <x v="11"/>
            <x v="12"/>
            <x v="13"/>
            <x v="14"/>
            <x v="29"/>
            <x v="30"/>
            <x v="3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04"/>
            <x v="162"/>
            <x v="169"/>
            <x v="200"/>
            <x v="209"/>
            <x v="214"/>
            <x v="239"/>
            <x v="253"/>
            <x v="291"/>
            <x v="296"/>
            <x v="307"/>
            <x v="309"/>
            <x v="392"/>
            <x v="393"/>
            <x v="400"/>
            <x v="401"/>
            <x v="402"/>
            <x v="408"/>
            <x v="454"/>
          </reference>
        </references>
      </pivotArea>
    </format>
    <format dxfId="81">
      <pivotArea dataOnly="0" labelOnly="1" fieldPosition="0">
        <references count="2">
          <reference field="0" count="1" selected="0">
            <x v="28"/>
          </reference>
          <reference field="2" count="43">
            <x v="2"/>
            <x v="3"/>
            <x v="5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8"/>
            <x v="29"/>
            <x v="30"/>
            <x v="31"/>
            <x v="33"/>
            <x v="34"/>
            <x v="40"/>
            <x v="42"/>
            <x v="44"/>
            <x v="64"/>
            <x v="82"/>
            <x v="108"/>
            <x v="109"/>
            <x v="110"/>
            <x v="111"/>
            <x v="112"/>
            <x v="308"/>
            <x v="416"/>
            <x v="417"/>
            <x v="418"/>
            <x v="420"/>
            <x v="438"/>
            <x v="447"/>
            <x v="448"/>
            <x v="452"/>
            <x v="457"/>
            <x v="458"/>
            <x v="460"/>
          </reference>
        </references>
      </pivotArea>
    </format>
    <format dxfId="80">
      <pivotArea dataOnly="0" labelOnly="1" fieldPosition="0">
        <references count="2">
          <reference field="0" count="1" selected="0">
            <x v="32"/>
          </reference>
          <reference field="2" count="46">
            <x v="2"/>
            <x v="6"/>
            <x v="8"/>
            <x v="9"/>
            <x v="10"/>
            <x v="11"/>
            <x v="12"/>
            <x v="14"/>
            <x v="17"/>
            <x v="18"/>
            <x v="19"/>
            <x v="23"/>
            <x v="29"/>
            <x v="30"/>
            <x v="31"/>
            <x v="32"/>
            <x v="33"/>
            <x v="34"/>
            <x v="59"/>
            <x v="72"/>
            <x v="74"/>
            <x v="75"/>
            <x v="76"/>
            <x v="78"/>
            <x v="81"/>
            <x v="117"/>
            <x v="118"/>
            <x v="119"/>
            <x v="192"/>
            <x v="200"/>
            <x v="260"/>
            <x v="291"/>
            <x v="307"/>
            <x v="416"/>
            <x v="417"/>
            <x v="418"/>
            <x v="438"/>
            <x v="442"/>
            <x v="450"/>
            <x v="451"/>
            <x v="455"/>
            <x v="456"/>
            <x v="457"/>
            <x v="458"/>
            <x v="459"/>
            <x v="461"/>
          </reference>
        </references>
      </pivotArea>
    </format>
    <format dxfId="79">
      <pivotArea dataOnly="0" labelOnly="1" fieldPosition="0">
        <references count="2">
          <reference field="0" count="1" selected="0">
            <x v="33"/>
          </reference>
          <reference field="2" count="35">
            <x v="2"/>
            <x v="9"/>
            <x v="10"/>
            <x v="11"/>
            <x v="15"/>
            <x v="30"/>
            <x v="120"/>
            <x v="121"/>
            <x v="122"/>
            <x v="123"/>
            <x v="214"/>
            <x v="229"/>
            <x v="253"/>
            <x v="260"/>
            <x v="264"/>
            <x v="270"/>
            <x v="287"/>
            <x v="288"/>
            <x v="289"/>
            <x v="291"/>
            <x v="293"/>
            <x v="307"/>
            <x v="396"/>
            <x v="402"/>
            <x v="416"/>
            <x v="417"/>
            <x v="418"/>
            <x v="419"/>
            <x v="438"/>
            <x v="442"/>
            <x v="447"/>
            <x v="450"/>
            <x v="457"/>
            <x v="458"/>
            <x v="460"/>
          </reference>
        </references>
      </pivotArea>
    </format>
    <format dxfId="78">
      <pivotArea dataOnly="0" labelOnly="1" fieldPosition="0">
        <references count="2">
          <reference field="0" count="1" selected="0">
            <x v="37"/>
          </reference>
          <reference field="2" count="19">
            <x v="2"/>
            <x v="9"/>
            <x v="10"/>
            <x v="11"/>
            <x v="12"/>
            <x v="13"/>
            <x v="14"/>
            <x v="15"/>
            <x v="30"/>
            <x v="78"/>
            <x v="123"/>
            <x v="148"/>
            <x v="214"/>
            <x v="291"/>
            <x v="307"/>
            <x v="417"/>
            <x v="418"/>
            <x v="438"/>
            <x v="457"/>
          </reference>
        </references>
      </pivotArea>
    </format>
    <format dxfId="77">
      <pivotArea dataOnly="0" labelOnly="1" fieldPosition="0">
        <references count="2">
          <reference field="0" count="1" selected="0">
            <x v="41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82"/>
            <x v="92"/>
            <x v="122"/>
            <x v="123"/>
            <x v="124"/>
            <x v="125"/>
            <x v="128"/>
            <x v="200"/>
            <x v="214"/>
            <x v="260"/>
            <x v="291"/>
            <x v="307"/>
            <x v="417"/>
            <x v="418"/>
            <x v="438"/>
            <x v="450"/>
            <x v="457"/>
            <x v="459"/>
            <x v="461"/>
          </reference>
        </references>
      </pivotArea>
    </format>
    <format dxfId="76">
      <pivotArea dataOnly="0" labelOnly="1" fieldPosition="0">
        <references count="2">
          <reference field="0" count="1" selected="0">
            <x v="45"/>
          </reference>
          <reference field="2" count="4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82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75">
      <pivotArea dataOnly="0" labelOnly="1" fieldPosition="0">
        <references count="2">
          <reference field="0" count="1" selected="0">
            <x v="46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74">
      <pivotArea dataOnly="0" labelOnly="1" fieldPosition="0">
        <references count="2">
          <reference field="0" count="1" selected="0">
            <x v="47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78"/>
            <x v="82"/>
            <x v="92"/>
            <x v="122"/>
            <x v="200"/>
            <x v="214"/>
            <x v="260"/>
            <x v="269"/>
            <x v="291"/>
            <x v="307"/>
            <x v="401"/>
            <x v="417"/>
            <x v="450"/>
            <x v="454"/>
            <x v="457"/>
            <x v="459"/>
            <x v="461"/>
          </reference>
        </references>
      </pivotArea>
    </format>
    <format dxfId="73">
      <pivotArea dataOnly="0" labelOnly="1" fieldPosition="0">
        <references count="2">
          <reference field="0" count="1" selected="0">
            <x v="49"/>
          </reference>
          <reference field="2" count="40">
            <x v="2"/>
            <x v="9"/>
            <x v="10"/>
            <x v="12"/>
            <x v="16"/>
            <x v="17"/>
            <x v="18"/>
            <x v="19"/>
            <x v="29"/>
            <x v="31"/>
            <x v="33"/>
            <x v="34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26"/>
            <x v="162"/>
            <x v="169"/>
            <x v="200"/>
            <x v="296"/>
            <x v="309"/>
            <x v="401"/>
            <x v="417"/>
            <x v="450"/>
            <x v="454"/>
            <x v="459"/>
          </reference>
        </references>
      </pivotArea>
    </format>
    <format dxfId="72">
      <pivotArea dataOnly="0" labelOnly="1" fieldPosition="0">
        <references count="2">
          <reference field="0" count="1" selected="0">
            <x v="52"/>
          </reference>
          <reference field="2" count="34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0"/>
            <x v="78"/>
            <x v="120"/>
            <x v="121"/>
            <x v="128"/>
            <x v="129"/>
            <x v="200"/>
            <x v="260"/>
            <x v="269"/>
            <x v="417"/>
            <x v="450"/>
            <x v="459"/>
          </reference>
        </references>
      </pivotArea>
    </format>
    <format dxfId="71">
      <pivotArea dataOnly="0" labelOnly="1" fieldPosition="0">
        <references count="2">
          <reference field="0" count="1" selected="0">
            <x v="61"/>
          </reference>
          <reference field="2" count="37">
            <x v="2"/>
            <x v="7"/>
            <x v="8"/>
            <x v="10"/>
            <x v="11"/>
            <x v="12"/>
            <x v="13"/>
            <x v="14"/>
            <x v="15"/>
            <x v="29"/>
            <x v="30"/>
            <x v="31"/>
            <x v="72"/>
            <x v="78"/>
            <x v="200"/>
            <x v="214"/>
            <x v="239"/>
            <x v="291"/>
            <x v="307"/>
            <x v="310"/>
            <x v="392"/>
            <x v="393"/>
            <x v="400"/>
            <x v="402"/>
            <x v="408"/>
            <x v="416"/>
            <x v="417"/>
            <x v="418"/>
            <x v="420"/>
            <x v="438"/>
            <x v="447"/>
            <x v="450"/>
            <x v="457"/>
            <x v="458"/>
            <x v="459"/>
            <x v="460"/>
            <x v="461"/>
          </reference>
        </references>
      </pivotArea>
    </format>
    <format dxfId="70">
      <pivotArea dataOnly="0" labelOnly="1" fieldPosition="0">
        <references count="2">
          <reference field="0" count="1" selected="0">
            <x v="63"/>
          </reference>
          <reference field="2" count="35">
            <x v="2"/>
            <x v="10"/>
            <x v="12"/>
            <x v="14"/>
            <x v="20"/>
            <x v="22"/>
            <x v="23"/>
            <x v="24"/>
            <x v="38"/>
            <x v="39"/>
            <x v="40"/>
            <x v="41"/>
            <x v="43"/>
            <x v="45"/>
            <x v="46"/>
            <x v="48"/>
            <x v="49"/>
            <x v="51"/>
            <x v="69"/>
            <x v="93"/>
            <x v="134"/>
            <x v="135"/>
            <x v="416"/>
            <x v="417"/>
            <x v="420"/>
            <x v="438"/>
            <x v="442"/>
            <x v="447"/>
            <x v="448"/>
            <x v="450"/>
            <x v="452"/>
            <x v="455"/>
            <x v="456"/>
            <x v="457"/>
            <x v="460"/>
          </reference>
        </references>
      </pivotArea>
    </format>
    <format dxfId="69">
      <pivotArea dataOnly="0" labelOnly="1" fieldPosition="0">
        <references count="2">
          <reference field="0" count="1" selected="0">
            <x v="83"/>
          </reference>
          <reference field="2" count="40">
            <x v="2"/>
            <x v="5"/>
            <x v="6"/>
            <x v="8"/>
            <x v="12"/>
            <x v="15"/>
            <x v="20"/>
            <x v="23"/>
            <x v="28"/>
            <x v="29"/>
            <x v="31"/>
            <x v="33"/>
            <x v="53"/>
            <x v="56"/>
            <x v="61"/>
            <x v="63"/>
            <x v="66"/>
            <x v="68"/>
            <x v="70"/>
            <x v="72"/>
            <x v="78"/>
            <x v="88"/>
            <x v="111"/>
            <x v="117"/>
            <x v="130"/>
            <x v="137"/>
            <x v="141"/>
            <x v="142"/>
            <x v="143"/>
            <x v="144"/>
            <x v="145"/>
            <x v="146"/>
            <x v="147"/>
            <x v="169"/>
            <x v="217"/>
            <x v="260"/>
            <x v="278"/>
            <x v="296"/>
            <x v="401"/>
            <x v="454"/>
          </reference>
        </references>
      </pivotArea>
    </format>
    <format dxfId="68">
      <pivotArea dataOnly="0" labelOnly="1" fieldPosition="0">
        <references count="2">
          <reference field="0" count="1" selected="0">
            <x v="94"/>
          </reference>
          <reference field="2" count="11">
            <x v="2"/>
            <x v="15"/>
            <x v="20"/>
            <x v="21"/>
            <x v="25"/>
            <x v="26"/>
            <x v="27"/>
            <x v="33"/>
            <x v="80"/>
            <x v="149"/>
            <x v="272"/>
          </reference>
        </references>
      </pivotArea>
    </format>
    <format dxfId="67">
      <pivotArea dataOnly="0" labelOnly="1" fieldPosition="0">
        <references count="2">
          <reference field="0" count="1" selected="0">
            <x v="111"/>
          </reference>
          <reference field="2" count="17">
            <x v="2"/>
            <x v="10"/>
            <x v="12"/>
            <x v="15"/>
            <x v="20"/>
            <x v="21"/>
            <x v="22"/>
            <x v="23"/>
            <x v="32"/>
            <x v="33"/>
            <x v="69"/>
            <x v="70"/>
            <x v="129"/>
            <x v="136"/>
            <x v="151"/>
            <x v="269"/>
            <x v="457"/>
          </reference>
        </references>
      </pivotArea>
    </format>
    <format dxfId="66">
      <pivotArea dataOnly="0" labelOnly="1" fieldPosition="0">
        <references count="2">
          <reference field="0" count="1" selected="0">
            <x v="134"/>
          </reference>
          <reference field="2" count="34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70"/>
            <x v="72"/>
            <x v="80"/>
            <x v="129"/>
            <x v="134"/>
            <x v="136"/>
            <x v="137"/>
            <x v="269"/>
          </reference>
        </references>
      </pivotArea>
    </format>
    <format dxfId="65">
      <pivotArea dataOnly="0" labelOnly="1" fieldPosition="0">
        <references count="2">
          <reference field="0" count="1" selected="0">
            <x v="141"/>
          </reference>
          <reference field="2" count="26">
            <x v="2"/>
            <x v="20"/>
            <x v="21"/>
            <x v="22"/>
            <x v="23"/>
            <x v="25"/>
            <x v="26"/>
            <x v="27"/>
            <x v="35"/>
            <x v="37"/>
            <x v="38"/>
            <x v="39"/>
            <x v="66"/>
            <x v="68"/>
            <x v="72"/>
            <x v="83"/>
            <x v="137"/>
            <x v="148"/>
            <x v="159"/>
            <x v="162"/>
            <x v="169"/>
            <x v="263"/>
            <x v="296"/>
            <x v="309"/>
            <x v="401"/>
            <x v="454"/>
          </reference>
        </references>
      </pivotArea>
    </format>
    <format dxfId="64">
      <pivotArea dataOnly="0" labelOnly="1" fieldPosition="0">
        <references count="2">
          <reference field="0" count="1" selected="0">
            <x v="155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61"/>
            <x v="62"/>
            <x v="63"/>
            <x v="65"/>
            <x v="66"/>
            <x v="68"/>
            <x v="72"/>
            <x v="83"/>
            <x v="137"/>
            <x v="162"/>
            <x v="169"/>
            <x v="296"/>
            <x v="401"/>
            <x v="454"/>
          </reference>
        </references>
      </pivotArea>
    </format>
    <format dxfId="63">
      <pivotArea dataOnly="0" labelOnly="1" fieldPosition="0">
        <references count="2">
          <reference field="0" count="1" selected="0">
            <x v="156"/>
          </reference>
          <reference field="2" count="30">
            <x v="2"/>
            <x v="20"/>
            <x v="21"/>
            <x v="23"/>
            <x v="59"/>
            <x v="61"/>
            <x v="62"/>
            <x v="63"/>
            <x v="65"/>
            <x v="66"/>
            <x v="68"/>
            <x v="69"/>
            <x v="72"/>
            <x v="159"/>
            <x v="160"/>
            <x v="161"/>
            <x v="162"/>
            <x v="169"/>
            <x v="296"/>
            <x v="309"/>
            <x v="317"/>
            <x v="401"/>
            <x v="411"/>
            <x v="420"/>
            <x v="438"/>
            <x v="442"/>
            <x v="454"/>
            <x v="455"/>
            <x v="456"/>
            <x v="457"/>
          </reference>
        </references>
      </pivotArea>
    </format>
    <format dxfId="62">
      <pivotArea dataOnly="0" labelOnly="1" fieldPosition="0">
        <references count="2">
          <reference field="0" count="1" selected="0">
            <x v="167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1">
      <pivotArea dataOnly="0" labelOnly="1" fieldPosition="0">
        <references count="2">
          <reference field="0" count="1" selected="0">
            <x v="168"/>
          </reference>
          <reference field="2" count="50"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0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3"/>
            <x v="164"/>
          </reference>
        </references>
      </pivotArea>
    </format>
    <format dxfId="60">
      <pivotArea dataOnly="0" labelOnly="1" fieldPosition="0">
        <references count="2">
          <reference field="0" count="1" selected="0">
            <x v="168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167"/>
            <x v="168"/>
            <x v="169"/>
            <x v="200"/>
            <x v="260"/>
            <x v="269"/>
            <x v="296"/>
            <x v="307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59">
      <pivotArea dataOnly="0" labelOnly="1" fieldPosition="0">
        <references count="2">
          <reference field="0" count="1" selected="0">
            <x v="169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6"/>
            <x v="57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8">
      <pivotArea dataOnly="0" labelOnly="1" fieldPosition="0">
        <references count="2">
          <reference field="0" count="1" selected="0">
            <x v="170"/>
          </reference>
          <reference field="2" count="50">
            <x v="2"/>
            <x v="2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57">
      <pivotArea dataOnly="0" labelOnly="1" fieldPosition="0">
        <references count="2">
          <reference field="0" count="1" selected="0">
            <x v="172"/>
          </reference>
          <reference field="2" count="49">
            <x v="2"/>
            <x v="10"/>
            <x v="22"/>
            <x v="24"/>
            <x v="35"/>
            <x v="38"/>
            <x v="39"/>
            <x v="40"/>
            <x v="41"/>
            <x v="42"/>
            <x v="43"/>
            <x v="44"/>
            <x v="45"/>
            <x v="46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83"/>
            <x v="88"/>
            <x v="162"/>
            <x v="169"/>
            <x v="172"/>
            <x v="173"/>
            <x v="174"/>
            <x v="177"/>
            <x v="291"/>
            <x v="296"/>
            <x v="309"/>
            <x v="401"/>
            <x v="411"/>
            <x v="438"/>
            <x v="446"/>
            <x v="448"/>
            <x v="454"/>
            <x v="455"/>
            <x v="456"/>
            <x v="457"/>
            <x v="462"/>
          </reference>
        </references>
      </pivotArea>
    </format>
    <format dxfId="56">
      <pivotArea dataOnly="0" labelOnly="1" fieldPosition="0">
        <references count="2">
          <reference field="0" count="1" selected="0">
            <x v="174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8"/>
            <x v="49"/>
            <x v="51"/>
            <x v="52"/>
            <x v="53"/>
            <x v="54"/>
            <x v="56"/>
            <x v="61"/>
            <x v="62"/>
            <x v="63"/>
            <x v="65"/>
            <x v="66"/>
            <x v="68"/>
            <x v="78"/>
            <x v="92"/>
            <x v="129"/>
            <x v="137"/>
            <x v="169"/>
            <x v="178"/>
            <x v="179"/>
            <x v="200"/>
            <x v="269"/>
            <x v="296"/>
            <x v="401"/>
            <x v="454"/>
          </reference>
        </references>
      </pivotArea>
    </format>
    <format dxfId="55">
      <pivotArea dataOnly="0" labelOnly="1" fieldPosition="0">
        <references count="2">
          <reference field="0" count="1" selected="0">
            <x v="178"/>
          </reference>
          <reference field="2" count="3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4">
      <pivotArea dataOnly="0" labelOnly="1" fieldPosition="0">
        <references count="2">
          <reference field="0" count="1" selected="0">
            <x v="183"/>
          </reference>
          <reference field="2" count="43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1"/>
            <x v="417"/>
            <x v="418"/>
            <x v="438"/>
            <x v="446"/>
            <x v="448"/>
            <x v="450"/>
            <x v="451"/>
            <x v="453"/>
            <x v="455"/>
            <x v="456"/>
            <x v="457"/>
            <x v="459"/>
            <x v="461"/>
            <x v="462"/>
            <x v="464"/>
          </reference>
        </references>
      </pivotArea>
    </format>
    <format dxfId="53">
      <pivotArea dataOnly="0" labelOnly="1" fieldPosition="0">
        <references count="2">
          <reference field="0" count="1" selected="0">
            <x v="187"/>
          </reference>
          <reference field="2" count="3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72"/>
            <x v="78"/>
            <x v="80"/>
            <x v="122"/>
            <x v="200"/>
            <x v="260"/>
            <x v="307"/>
            <x v="417"/>
            <x v="418"/>
            <x v="438"/>
            <x v="450"/>
            <x v="464"/>
          </reference>
        </references>
      </pivotArea>
    </format>
    <format dxfId="52">
      <pivotArea dataOnly="0" labelOnly="1" fieldPosition="0">
        <references count="2">
          <reference field="0" count="1" selected="0">
            <x v="189"/>
          </reference>
          <reference field="2" count="50"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</reference>
        </references>
      </pivotArea>
    </format>
    <format dxfId="51">
      <pivotArea dataOnly="0" labelOnly="1" fieldPosition="0">
        <references count="2">
          <reference field="0" count="1" selected="0">
            <x v="189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0">
      <pivotArea dataOnly="0" labelOnly="1" fieldPosition="0">
        <references count="2">
          <reference field="0" count="1" selected="0">
            <x v="191"/>
          </reference>
          <reference field="2" count="3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8"/>
            <x v="80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9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8"/>
            <x v="80"/>
            <x v="162"/>
            <x v="169"/>
            <x v="200"/>
            <x v="214"/>
            <x v="260"/>
          </reference>
        </references>
      </pivotArea>
    </format>
    <format dxfId="48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47">
      <pivotArea dataOnly="0" labelOnly="1" fieldPosition="0">
        <references count="2">
          <reference field="0" count="1" selected="0">
            <x v="194"/>
          </reference>
          <reference field="2" count="45">
            <x v="2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62"/>
            <x v="65"/>
            <x v="66"/>
            <x v="68"/>
            <x v="78"/>
            <x v="80"/>
            <x v="92"/>
            <x v="147"/>
            <x v="162"/>
            <x v="169"/>
            <x v="200"/>
            <x v="214"/>
            <x v="260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46">
      <pivotArea dataOnly="0" labelOnly="1" fieldPosition="0">
        <references count="2">
          <reference field="0" count="1" selected="0">
            <x v="195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5">
      <pivotArea dataOnly="0" labelOnly="1" fieldPosition="0">
        <references count="2">
          <reference field="0" count="1" selected="0">
            <x v="197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4">
      <pivotArea dataOnly="0" labelOnly="1" fieldPosition="0">
        <references count="2">
          <reference field="0" count="1" selected="0">
            <x v="198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3">
      <pivotArea dataOnly="0" labelOnly="1" fieldPosition="0">
        <references count="2">
          <reference field="0" count="1" selected="0">
            <x v="199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2">
      <pivotArea dataOnly="0" labelOnly="1" fieldPosition="0">
        <references count="2">
          <reference field="0" count="1" selected="0">
            <x v="202"/>
          </reference>
          <reference field="2" count="48">
            <x v="2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1">
      <pivotArea dataOnly="0" labelOnly="1" fieldPosition="0">
        <references count="2">
          <reference field="0" count="1" selected="0">
            <x v="205"/>
          </reference>
          <reference field="2" count="46">
            <x v="2"/>
            <x v="15"/>
            <x v="16"/>
            <x v="17"/>
            <x v="18"/>
            <x v="20"/>
            <x v="25"/>
            <x v="31"/>
            <x v="32"/>
            <x v="33"/>
            <x v="34"/>
            <x v="35"/>
            <x v="37"/>
            <x v="38"/>
            <x v="39"/>
            <x v="40"/>
            <x v="41"/>
            <x v="43"/>
            <x v="45"/>
            <x v="46"/>
            <x v="54"/>
            <x v="56"/>
            <x v="57"/>
            <x v="59"/>
            <x v="61"/>
            <x v="62"/>
            <x v="63"/>
            <x v="65"/>
            <x v="66"/>
            <x v="68"/>
            <x v="84"/>
            <x v="86"/>
            <x v="87"/>
            <x v="88"/>
            <x v="132"/>
            <x v="153"/>
            <x v="155"/>
            <x v="156"/>
            <x v="162"/>
            <x v="169"/>
            <x v="181"/>
            <x v="296"/>
            <x v="309"/>
            <x v="383"/>
            <x v="401"/>
            <x v="454"/>
          </reference>
        </references>
      </pivotArea>
    </format>
    <format dxfId="40">
      <pivotArea dataOnly="0" labelOnly="1" fieldPosition="0">
        <references count="2">
          <reference field="0" count="1" selected="0">
            <x v="208"/>
          </reference>
          <reference field="2" count="50">
            <x v="48"/>
            <x v="49"/>
            <x v="51"/>
            <x v="52"/>
            <x v="53"/>
            <x v="56"/>
            <x v="57"/>
            <x v="59"/>
            <x v="61"/>
            <x v="62"/>
            <x v="63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5"/>
            <x v="86"/>
            <x v="87"/>
            <x v="88"/>
            <x v="92"/>
            <x v="117"/>
            <x v="132"/>
            <x v="152"/>
            <x v="153"/>
            <x v="155"/>
            <x v="156"/>
            <x v="162"/>
            <x v="169"/>
            <x v="177"/>
            <x v="183"/>
            <x v="185"/>
            <x v="186"/>
            <x v="187"/>
            <x v="188"/>
            <x v="189"/>
            <x v="191"/>
            <x v="192"/>
            <x v="200"/>
            <x v="260"/>
            <x v="264"/>
            <x v="296"/>
            <x v="309"/>
          </reference>
        </references>
      </pivotArea>
    </format>
    <format dxfId="39">
      <pivotArea dataOnly="0" labelOnly="1" fieldPosition="0">
        <references count="2">
          <reference field="0" count="1" selected="0">
            <x v="208"/>
          </reference>
          <reference field="2" count="4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383"/>
            <x v="401"/>
            <x v="417"/>
            <x v="418"/>
            <x v="438"/>
            <x v="450"/>
            <x v="451"/>
            <x v="453"/>
            <x v="454"/>
            <x v="457"/>
            <x v="459"/>
            <x v="461"/>
            <x v="464"/>
          </reference>
        </references>
      </pivotArea>
    </format>
    <format dxfId="38">
      <pivotArea dataOnly="0" labelOnly="1" fieldPosition="0">
        <references count="2">
          <reference field="0" count="1" selected="0">
            <x v="210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7">
      <pivotArea dataOnly="0" labelOnly="1" fieldPosition="0">
        <references count="2">
          <reference field="0" count="1" selected="0">
            <x v="211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6">
      <pivotArea dataOnly="0" labelOnly="1" fieldPosition="0">
        <references count="2">
          <reference field="0" count="1" selected="0">
            <x v="213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5">
      <pivotArea dataOnly="0" labelOnly="1" fieldPosition="0">
        <references count="2">
          <reference field="0" count="1" selected="0">
            <x v="214"/>
          </reference>
          <reference field="2" count="32">
            <x v="2"/>
            <x v="20"/>
            <x v="23"/>
            <x v="30"/>
            <x v="31"/>
            <x v="32"/>
            <x v="33"/>
            <x v="34"/>
            <x v="69"/>
            <x v="78"/>
            <x v="128"/>
            <x v="193"/>
            <x v="200"/>
            <x v="214"/>
            <x v="260"/>
            <x v="291"/>
            <x v="307"/>
            <x v="411"/>
            <x v="417"/>
            <x v="418"/>
            <x v="420"/>
            <x v="438"/>
            <x v="442"/>
            <x v="450"/>
            <x v="451"/>
            <x v="453"/>
            <x v="455"/>
            <x v="456"/>
            <x v="457"/>
            <x v="459"/>
            <x v="461"/>
            <x v="464"/>
          </reference>
        </references>
      </pivotArea>
    </format>
    <format dxfId="34">
      <pivotArea dataOnly="0" labelOnly="1" fieldPosition="0">
        <references count="2">
          <reference field="0" count="1" selected="0">
            <x v="241"/>
          </reference>
          <reference field="2" count="9">
            <x v="2"/>
            <x v="20"/>
            <x v="21"/>
            <x v="69"/>
            <x v="141"/>
            <x v="197"/>
            <x v="198"/>
            <x v="271"/>
            <x v="398"/>
          </reference>
        </references>
      </pivotArea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collapsedLevelsAreSubtotals="1" fieldPosition="0">
        <references count="1">
          <reference field="0" count="1">
            <x v="42"/>
          </reference>
        </references>
      </pivotArea>
    </format>
    <format dxfId="31">
      <pivotArea dataOnly="0" labelOnly="1" fieldPosition="0">
        <references count="1">
          <reference field="0" count="1">
            <x v="42"/>
          </reference>
        </references>
      </pivotArea>
    </format>
    <format dxfId="30">
      <pivotArea collapsedLevelsAreSubtotals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29">
      <pivotArea dataOnly="0" labelOnly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28">
      <pivotArea collapsedLevelsAreSubtotals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27">
      <pivotArea dataOnly="0" labelOnly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26">
      <pivotArea collapsedLevelsAreSubtotals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5">
      <pivotArea dataOnly="0" labelOnly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24">
      <pivotArea collapsedLevelsAreSubtotals="1" fieldPosition="0">
        <references count="1">
          <reference field="0" count="1">
            <x v="138"/>
          </reference>
        </references>
      </pivotArea>
    </format>
    <format dxfId="23">
      <pivotArea collapsedLevelsAreSubtotals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22">
      <pivotArea dataOnly="0" labelOnly="1" fieldPosition="0">
        <references count="1">
          <reference field="0" count="1">
            <x v="138"/>
          </reference>
        </references>
      </pivotArea>
    </format>
    <format dxfId="21">
      <pivotArea dataOnly="0" labelOnly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L5:M52" firstHeaderRow="1" firstDataRow="1" firstDataCol="1"/>
  <pivotFields count="8">
    <pivotField showAll="0"/>
    <pivotField showAll="0"/>
    <pivotField axis="axisRow" dataField="1" showAll="0">
      <items count="253">
        <item m="1" x="222"/>
        <item m="1" x="188"/>
        <item m="1" x="209"/>
        <item m="1" x="202"/>
        <item m="1" x="200"/>
        <item m="1" x="80"/>
        <item m="1" x="88"/>
        <item m="1" x="91"/>
        <item m="1" x="57"/>
        <item m="1" x="104"/>
        <item m="1" x="82"/>
        <item m="1" x="206"/>
        <item m="1" x="118"/>
        <item m="1" x="240"/>
        <item m="1" x="115"/>
        <item m="1" x="189"/>
        <item m="1" x="187"/>
        <item m="1" x="165"/>
        <item m="1" x="201"/>
        <item m="1" x="116"/>
        <item x="19"/>
        <item x="20"/>
        <item m="1" x="235"/>
        <item x="23"/>
        <item x="24"/>
        <item x="5"/>
        <item x="6"/>
        <item m="1" x="219"/>
        <item m="1" x="220"/>
        <item m="1" x="226"/>
        <item m="1" x="227"/>
        <item m="1" x="242"/>
        <item m="1" x="251"/>
        <item m="1" x="87"/>
        <item m="1" x="89"/>
        <item m="1" x="90"/>
        <item m="1" x="92"/>
        <item m="1" x="94"/>
        <item m="1" x="142"/>
        <item m="1" x="53"/>
        <item m="1" x="109"/>
        <item m="1" x="207"/>
        <item x="1"/>
        <item m="1" x="247"/>
        <item x="14"/>
        <item x="15"/>
        <item x="16"/>
        <item m="1" x="230"/>
        <item x="12"/>
        <item x="21"/>
        <item x="22"/>
        <item m="1" x="245"/>
        <item m="1" x="246"/>
        <item m="1" x="83"/>
        <item m="1" x="52"/>
        <item m="1" x="124"/>
        <item m="1" x="121"/>
        <item x="4"/>
        <item m="1" x="133"/>
        <item m="1" x="130"/>
        <item m="1" x="224"/>
        <item m="1" x="100"/>
        <item x="7"/>
        <item m="1" x="205"/>
        <item m="1" x="169"/>
        <item m="1" x="215"/>
        <item m="1" x="84"/>
        <item m="1" x="85"/>
        <item m="1" x="128"/>
        <item m="1" x="139"/>
        <item m="1" x="166"/>
        <item m="1" x="167"/>
        <item m="1" x="168"/>
        <item m="1" x="170"/>
        <item m="1" x="162"/>
        <item m="1" x="132"/>
        <item m="1" x="161"/>
        <item m="1" x="127"/>
        <item m="1" x="51"/>
        <item m="1" x="151"/>
        <item m="1" x="192"/>
        <item m="1" x="134"/>
        <item m="1" x="48"/>
        <item x="3"/>
        <item m="1" x="125"/>
        <item m="1" x="176"/>
        <item m="1" x="194"/>
        <item m="1" x="141"/>
        <item m="1" x="186"/>
        <item m="1" x="103"/>
        <item m="1" x="126"/>
        <item m="1" x="50"/>
        <item m="1" x="179"/>
        <item m="1" x="243"/>
        <item m="1" x="244"/>
        <item m="1" x="208"/>
        <item m="1" x="112"/>
        <item m="1" x="210"/>
        <item m="1" x="120"/>
        <item m="1" x="180"/>
        <item m="1" x="63"/>
        <item x="13"/>
        <item x="35"/>
        <item m="1" x="101"/>
        <item m="1" x="81"/>
        <item m="1" x="55"/>
        <item m="1" x="56"/>
        <item m="1" x="54"/>
        <item m="1" x="191"/>
        <item m="1" x="135"/>
        <item x="36"/>
        <item m="1" x="232"/>
        <item m="1" x="228"/>
        <item m="1" x="159"/>
        <item m="1" x="122"/>
        <item m="1" x="158"/>
        <item m="1" x="66"/>
        <item m="1" x="67"/>
        <item m="1" x="68"/>
        <item m="1" x="69"/>
        <item m="1" x="70"/>
        <item m="1" x="71"/>
        <item m="1" x="86"/>
        <item m="1" x="93"/>
        <item m="1" x="95"/>
        <item m="1" x="96"/>
        <item m="1" x="97"/>
        <item m="1" x="102"/>
        <item m="1" x="157"/>
        <item m="1" x="107"/>
        <item m="1" x="190"/>
        <item m="1" x="111"/>
        <item m="1" x="113"/>
        <item m="1" x="117"/>
        <item m="1" x="237"/>
        <item m="1" x="105"/>
        <item m="1" x="214"/>
        <item m="1" x="143"/>
        <item m="1" x="106"/>
        <item m="1" x="78"/>
        <item m="1" x="221"/>
        <item m="1" x="183"/>
        <item m="1" x="213"/>
        <item m="1" x="160"/>
        <item m="1" x="108"/>
        <item x="8"/>
        <item x="37"/>
        <item m="1" x="196"/>
        <item x="25"/>
        <item x="26"/>
        <item m="1" x="138"/>
        <item m="1" x="203"/>
        <item m="1" x="110"/>
        <item m="1" x="155"/>
        <item m="1" x="236"/>
        <item m="1" x="145"/>
        <item m="1" x="147"/>
        <item m="1" x="148"/>
        <item m="1" x="149"/>
        <item m="1" x="150"/>
        <item m="1" x="152"/>
        <item m="1" x="153"/>
        <item m="1" x="156"/>
        <item m="1" x="98"/>
        <item m="1" x="198"/>
        <item m="1" x="199"/>
        <item m="1" x="137"/>
        <item m="1" x="217"/>
        <item m="1" x="218"/>
        <item m="1" x="238"/>
        <item m="1" x="163"/>
        <item m="1" x="140"/>
        <item m="1" x="241"/>
        <item m="1" x="119"/>
        <item m="1" x="211"/>
        <item m="1" x="154"/>
        <item m="1" x="223"/>
        <item m="1" x="225"/>
        <item m="1" x="229"/>
        <item m="1" x="231"/>
        <item m="1" x="233"/>
        <item m="1" x="131"/>
        <item x="0"/>
        <item m="1" x="239"/>
        <item m="1" x="184"/>
        <item m="1" x="173"/>
        <item m="1" x="177"/>
        <item x="17"/>
        <item x="18"/>
        <item m="1" x="129"/>
        <item m="1" x="99"/>
        <item x="2"/>
        <item x="9"/>
        <item x="10"/>
        <item x="11"/>
        <item m="1" x="212"/>
        <item m="1" x="204"/>
        <item m="1" x="234"/>
        <item m="1" x="72"/>
        <item m="1" x="123"/>
        <item m="1" x="249"/>
        <item m="1" x="216"/>
        <item m="1" x="181"/>
        <item m="1" x="144"/>
        <item m="1" x="248"/>
        <item m="1" x="175"/>
        <item x="31"/>
        <item m="1" x="171"/>
        <item m="1" x="172"/>
        <item m="1" x="174"/>
        <item m="1" x="178"/>
        <item m="1" x="182"/>
        <item m="1" x="185"/>
        <item m="1" x="47"/>
        <item m="1" x="76"/>
        <item m="1" x="197"/>
        <item x="28"/>
        <item m="1" x="164"/>
        <item m="1" x="136"/>
        <item x="29"/>
        <item x="33"/>
        <item x="30"/>
        <item x="32"/>
        <item x="34"/>
        <item m="1" x="195"/>
        <item m="1" x="77"/>
        <item m="1" x="58"/>
        <item m="1" x="75"/>
        <item m="1" x="46"/>
        <item m="1" x="59"/>
        <item m="1" x="146"/>
        <item m="1" x="114"/>
        <item m="1" x="250"/>
        <item m="1" x="193"/>
        <item x="39"/>
        <item m="1" x="49"/>
        <item x="42"/>
        <item x="43"/>
        <item m="1" x="60"/>
        <item m="1" x="61"/>
        <item x="45"/>
        <item m="1" x="74"/>
        <item m="1" x="79"/>
        <item x="40"/>
        <item m="1" x="64"/>
        <item m="1" x="65"/>
        <item x="38"/>
        <item m="1" x="73"/>
        <item x="44"/>
        <item m="1" x="62"/>
        <item x="41"/>
        <item x="27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7">
    <i>
      <x v="20"/>
    </i>
    <i>
      <x v="21"/>
    </i>
    <i>
      <x v="23"/>
    </i>
    <i>
      <x v="24"/>
    </i>
    <i>
      <x v="25"/>
    </i>
    <i>
      <x v="26"/>
    </i>
    <i>
      <x v="42"/>
    </i>
    <i>
      <x v="44"/>
    </i>
    <i>
      <x v="45"/>
    </i>
    <i>
      <x v="46"/>
    </i>
    <i>
      <x v="48"/>
    </i>
    <i>
      <x v="49"/>
    </i>
    <i>
      <x v="50"/>
    </i>
    <i>
      <x v="57"/>
    </i>
    <i>
      <x v="62"/>
    </i>
    <i>
      <x v="83"/>
    </i>
    <i>
      <x v="101"/>
    </i>
    <i>
      <x v="102"/>
    </i>
    <i>
      <x v="110"/>
    </i>
    <i>
      <x v="145"/>
    </i>
    <i>
      <x v="146"/>
    </i>
    <i>
      <x v="148"/>
    </i>
    <i>
      <x v="149"/>
    </i>
    <i>
      <x v="182"/>
    </i>
    <i>
      <x v="187"/>
    </i>
    <i>
      <x v="188"/>
    </i>
    <i>
      <x v="191"/>
    </i>
    <i>
      <x v="192"/>
    </i>
    <i>
      <x v="193"/>
    </i>
    <i>
      <x v="194"/>
    </i>
    <i>
      <x v="206"/>
    </i>
    <i>
      <x v="216"/>
    </i>
    <i>
      <x v="219"/>
    </i>
    <i>
      <x v="220"/>
    </i>
    <i>
      <x v="221"/>
    </i>
    <i>
      <x v="222"/>
    </i>
    <i>
      <x v="223"/>
    </i>
    <i>
      <x v="234"/>
    </i>
    <i>
      <x v="236"/>
    </i>
    <i>
      <x v="237"/>
    </i>
    <i>
      <x v="240"/>
    </i>
    <i>
      <x v="243"/>
    </i>
    <i>
      <x v="246"/>
    </i>
    <i>
      <x v="248"/>
    </i>
    <i>
      <x v="250"/>
    </i>
    <i>
      <x v="251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E172"/>
  <sheetViews>
    <sheetView workbookViewId="0">
      <pane ySplit="1" topLeftCell="A146" activePane="bottomLeft" state="frozen"/>
      <selection pane="bottomLeft" activeCell="A171" sqref="A171"/>
    </sheetView>
  </sheetViews>
  <sheetFormatPr baseColWidth="10" defaultRowHeight="15" x14ac:dyDescent="0.25"/>
  <cols>
    <col min="1" max="1" width="24.140625" bestFit="1" customWidth="1"/>
    <col min="2" max="2" width="14.42578125" customWidth="1"/>
    <col min="3" max="5" width="11.42578125" style="24"/>
  </cols>
  <sheetData>
    <row r="1" spans="1:5" x14ac:dyDescent="0.25">
      <c r="A1" s="5" t="s">
        <v>279</v>
      </c>
      <c r="B1" s="5" t="s">
        <v>23</v>
      </c>
      <c r="C1" s="25" t="s">
        <v>180</v>
      </c>
      <c r="D1" s="23" t="s">
        <v>182</v>
      </c>
      <c r="E1" s="23" t="s">
        <v>181</v>
      </c>
    </row>
    <row r="2" spans="1:5" x14ac:dyDescent="0.25">
      <c r="A2">
        <v>58</v>
      </c>
      <c r="B2">
        <v>156622</v>
      </c>
      <c r="C2" s="24" t="s">
        <v>183</v>
      </c>
    </row>
    <row r="3" spans="1:5" x14ac:dyDescent="0.25">
      <c r="A3">
        <v>60</v>
      </c>
      <c r="B3">
        <v>154702</v>
      </c>
      <c r="C3" s="24" t="s">
        <v>183</v>
      </c>
    </row>
    <row r="4" spans="1:5" x14ac:dyDescent="0.25">
      <c r="A4">
        <v>63</v>
      </c>
      <c r="B4">
        <v>80820</v>
      </c>
      <c r="C4" s="24" t="s">
        <v>183</v>
      </c>
    </row>
    <row r="5" spans="1:5" x14ac:dyDescent="0.25">
      <c r="A5">
        <v>86</v>
      </c>
      <c r="B5">
        <v>64972</v>
      </c>
      <c r="C5" s="24" t="s">
        <v>183</v>
      </c>
    </row>
    <row r="6" spans="1:5" x14ac:dyDescent="0.25">
      <c r="A6" t="s">
        <v>311</v>
      </c>
      <c r="B6">
        <v>1036691</v>
      </c>
      <c r="C6" s="24" t="s">
        <v>183</v>
      </c>
    </row>
    <row r="7" spans="1:5" x14ac:dyDescent="0.25">
      <c r="A7">
        <v>120</v>
      </c>
      <c r="B7">
        <v>2000241</v>
      </c>
      <c r="C7" s="24" t="s">
        <v>183</v>
      </c>
    </row>
    <row r="8" spans="1:5" x14ac:dyDescent="0.25">
      <c r="A8">
        <v>120</v>
      </c>
      <c r="B8">
        <v>2000240</v>
      </c>
      <c r="C8" s="24" t="s">
        <v>183</v>
      </c>
    </row>
    <row r="9" spans="1:5" x14ac:dyDescent="0.25">
      <c r="A9">
        <v>121</v>
      </c>
      <c r="B9">
        <v>2000239</v>
      </c>
      <c r="C9" s="24" t="s">
        <v>183</v>
      </c>
    </row>
    <row r="10" spans="1:5" x14ac:dyDescent="0.25">
      <c r="A10">
        <v>121</v>
      </c>
      <c r="B10">
        <v>2000238</v>
      </c>
      <c r="C10" s="24" t="s">
        <v>183</v>
      </c>
    </row>
    <row r="11" spans="1:5" x14ac:dyDescent="0.25">
      <c r="A11">
        <v>122</v>
      </c>
      <c r="B11">
        <v>65501387259</v>
      </c>
      <c r="C11" s="24" t="s">
        <v>183</v>
      </c>
    </row>
    <row r="12" spans="1:5" x14ac:dyDescent="0.25">
      <c r="A12">
        <v>1071</v>
      </c>
      <c r="B12">
        <v>71532</v>
      </c>
      <c r="C12" s="24" t="s">
        <v>183</v>
      </c>
    </row>
    <row r="13" spans="1:5" x14ac:dyDescent="0.25">
      <c r="A13">
        <v>1071</v>
      </c>
      <c r="B13">
        <v>71535</v>
      </c>
      <c r="C13" s="24" t="s">
        <v>183</v>
      </c>
    </row>
    <row r="14" spans="1:5" x14ac:dyDescent="0.25">
      <c r="A14">
        <v>127</v>
      </c>
      <c r="B14">
        <v>1013187</v>
      </c>
      <c r="C14" s="24" t="s">
        <v>183</v>
      </c>
    </row>
    <row r="15" spans="1:5" x14ac:dyDescent="0.25">
      <c r="A15">
        <v>128</v>
      </c>
      <c r="B15">
        <v>2000486</v>
      </c>
      <c r="C15" s="24" t="s">
        <v>183</v>
      </c>
    </row>
    <row r="16" spans="1:5" x14ac:dyDescent="0.25">
      <c r="A16">
        <v>2000905</v>
      </c>
      <c r="B16">
        <v>2000905</v>
      </c>
      <c r="C16" s="24" t="s">
        <v>183</v>
      </c>
    </row>
    <row r="17" spans="1:3" x14ac:dyDescent="0.25">
      <c r="A17" t="s">
        <v>46</v>
      </c>
      <c r="B17">
        <v>2000570</v>
      </c>
      <c r="C17" s="24" t="s">
        <v>183</v>
      </c>
    </row>
    <row r="18" spans="1:3" x14ac:dyDescent="0.25">
      <c r="A18" t="s">
        <v>46</v>
      </c>
      <c r="B18">
        <v>2000571</v>
      </c>
      <c r="C18" s="24" t="s">
        <v>183</v>
      </c>
    </row>
    <row r="19" spans="1:3" x14ac:dyDescent="0.25">
      <c r="A19" t="s">
        <v>46</v>
      </c>
      <c r="B19">
        <v>2000572</v>
      </c>
      <c r="C19" s="24" t="s">
        <v>183</v>
      </c>
    </row>
    <row r="20" spans="1:3" x14ac:dyDescent="0.25">
      <c r="A20" t="s">
        <v>46</v>
      </c>
      <c r="B20">
        <v>2000573</v>
      </c>
      <c r="C20" s="24" t="s">
        <v>183</v>
      </c>
    </row>
    <row r="21" spans="1:3" x14ac:dyDescent="0.25">
      <c r="A21" t="s">
        <v>172</v>
      </c>
      <c r="B21">
        <v>2000574</v>
      </c>
      <c r="C21" s="24" t="s">
        <v>183</v>
      </c>
    </row>
    <row r="22" spans="1:3" x14ac:dyDescent="0.25">
      <c r="A22" t="s">
        <v>172</v>
      </c>
      <c r="B22">
        <v>2000575</v>
      </c>
      <c r="C22" s="24" t="s">
        <v>183</v>
      </c>
    </row>
    <row r="23" spans="1:3" x14ac:dyDescent="0.25">
      <c r="A23" t="s">
        <v>172</v>
      </c>
      <c r="B23">
        <v>2000576</v>
      </c>
      <c r="C23" s="24" t="s">
        <v>183</v>
      </c>
    </row>
    <row r="24" spans="1:3" x14ac:dyDescent="0.25">
      <c r="A24" t="s">
        <v>172</v>
      </c>
      <c r="B24">
        <v>2000577</v>
      </c>
      <c r="C24" s="24" t="s">
        <v>183</v>
      </c>
    </row>
    <row r="25" spans="1:3" x14ac:dyDescent="0.25">
      <c r="A25" t="s">
        <v>47</v>
      </c>
      <c r="B25">
        <v>2000522</v>
      </c>
      <c r="C25" s="24" t="s">
        <v>183</v>
      </c>
    </row>
    <row r="26" spans="1:3" x14ac:dyDescent="0.25">
      <c r="A26" t="s">
        <v>49</v>
      </c>
      <c r="B26">
        <v>65503691935</v>
      </c>
      <c r="C26" s="24" t="s">
        <v>183</v>
      </c>
    </row>
    <row r="27" spans="1:3" x14ac:dyDescent="0.25">
      <c r="A27" t="s">
        <v>50</v>
      </c>
      <c r="B27">
        <v>2000534</v>
      </c>
      <c r="C27" s="24" t="s">
        <v>183</v>
      </c>
    </row>
    <row r="28" spans="1:3" x14ac:dyDescent="0.25">
      <c r="A28" t="s">
        <v>52</v>
      </c>
      <c r="B28">
        <v>65504667724</v>
      </c>
      <c r="C28" s="24" t="s">
        <v>183</v>
      </c>
    </row>
    <row r="29" spans="1:3" x14ac:dyDescent="0.25">
      <c r="A29">
        <v>2001012</v>
      </c>
      <c r="B29">
        <v>2001012</v>
      </c>
      <c r="C29" s="24" t="s">
        <v>183</v>
      </c>
    </row>
    <row r="30" spans="1:3" x14ac:dyDescent="0.25">
      <c r="A30" t="s">
        <v>146</v>
      </c>
      <c r="B30">
        <v>65505569851</v>
      </c>
      <c r="C30" s="24" t="s">
        <v>183</v>
      </c>
    </row>
    <row r="31" spans="1:3" x14ac:dyDescent="0.25">
      <c r="A31" t="s">
        <v>242</v>
      </c>
      <c r="B31" s="45">
        <v>65507430562</v>
      </c>
      <c r="C31" s="24" t="s">
        <v>183</v>
      </c>
    </row>
    <row r="32" spans="1:3" x14ac:dyDescent="0.25">
      <c r="A32" t="s">
        <v>53</v>
      </c>
      <c r="B32">
        <v>65503863638</v>
      </c>
      <c r="C32" s="24" t="s">
        <v>183</v>
      </c>
    </row>
    <row r="33" spans="1:3" x14ac:dyDescent="0.25">
      <c r="A33">
        <v>1032382</v>
      </c>
      <c r="B33">
        <v>1032382</v>
      </c>
      <c r="C33" s="24" t="s">
        <v>183</v>
      </c>
    </row>
    <row r="34" spans="1:3" x14ac:dyDescent="0.25">
      <c r="A34" s="45" t="s">
        <v>306</v>
      </c>
      <c r="B34">
        <v>2000597</v>
      </c>
      <c r="C34" s="24" t="s">
        <v>183</v>
      </c>
    </row>
    <row r="35" spans="1:3" x14ac:dyDescent="0.25">
      <c r="A35" t="s">
        <v>54</v>
      </c>
      <c r="B35">
        <v>2000730</v>
      </c>
      <c r="C35" s="24" t="s">
        <v>183</v>
      </c>
    </row>
    <row r="36" spans="1:3" x14ac:dyDescent="0.25">
      <c r="A36" t="s">
        <v>56</v>
      </c>
      <c r="B36">
        <v>2000927</v>
      </c>
      <c r="C36" s="24" t="s">
        <v>183</v>
      </c>
    </row>
    <row r="37" spans="1:3" x14ac:dyDescent="0.25">
      <c r="A37" t="s">
        <v>57</v>
      </c>
      <c r="B37">
        <v>2000928</v>
      </c>
      <c r="C37" s="24" t="s">
        <v>183</v>
      </c>
    </row>
    <row r="38" spans="1:3" x14ac:dyDescent="0.25">
      <c r="A38" t="s">
        <v>58</v>
      </c>
      <c r="B38">
        <v>65503562246</v>
      </c>
      <c r="C38" s="24" t="s">
        <v>183</v>
      </c>
    </row>
    <row r="39" spans="1:3" x14ac:dyDescent="0.25">
      <c r="A39">
        <v>115</v>
      </c>
      <c r="B39">
        <v>2000204</v>
      </c>
      <c r="C39" s="24" t="s">
        <v>183</v>
      </c>
    </row>
    <row r="40" spans="1:3" x14ac:dyDescent="0.25">
      <c r="A40">
        <v>19</v>
      </c>
      <c r="B40">
        <v>77703</v>
      </c>
      <c r="C40" s="24" t="s">
        <v>183</v>
      </c>
    </row>
    <row r="41" spans="1:3" x14ac:dyDescent="0.25">
      <c r="A41">
        <v>37</v>
      </c>
      <c r="B41">
        <v>65507408917</v>
      </c>
      <c r="C41" s="24" t="s">
        <v>183</v>
      </c>
    </row>
    <row r="42" spans="1:3" x14ac:dyDescent="0.25">
      <c r="A42">
        <v>71</v>
      </c>
      <c r="B42">
        <v>156331</v>
      </c>
      <c r="C42" s="24" t="s">
        <v>183</v>
      </c>
    </row>
    <row r="43" spans="1:3" x14ac:dyDescent="0.25">
      <c r="A43">
        <v>74</v>
      </c>
      <c r="B43">
        <v>65502222299</v>
      </c>
      <c r="C43" s="24" t="s">
        <v>183</v>
      </c>
    </row>
    <row r="44" spans="1:3" x14ac:dyDescent="0.25">
      <c r="A44">
        <v>75</v>
      </c>
      <c r="B44">
        <v>1037124</v>
      </c>
      <c r="C44" s="24" t="s">
        <v>183</v>
      </c>
    </row>
    <row r="45" spans="1:3" x14ac:dyDescent="0.25">
      <c r="A45">
        <v>76</v>
      </c>
      <c r="B45">
        <v>1033811</v>
      </c>
      <c r="C45" s="24" t="s">
        <v>183</v>
      </c>
    </row>
    <row r="46" spans="1:3" x14ac:dyDescent="0.25">
      <c r="A46">
        <v>78</v>
      </c>
      <c r="B46">
        <v>69902</v>
      </c>
      <c r="C46" s="24" t="s">
        <v>183</v>
      </c>
    </row>
    <row r="47" spans="1:3" x14ac:dyDescent="0.25">
      <c r="A47">
        <v>93</v>
      </c>
      <c r="B47">
        <v>65502425394</v>
      </c>
      <c r="C47" s="24" t="s">
        <v>183</v>
      </c>
    </row>
    <row r="48" spans="1:3" x14ac:dyDescent="0.25">
      <c r="A48">
        <v>94</v>
      </c>
      <c r="B48">
        <v>1002455</v>
      </c>
      <c r="C48" s="24" t="s">
        <v>183</v>
      </c>
    </row>
    <row r="49" spans="1:3" x14ac:dyDescent="0.25">
      <c r="A49">
        <v>100</v>
      </c>
      <c r="B49">
        <v>2000135</v>
      </c>
      <c r="C49" s="24" t="s">
        <v>183</v>
      </c>
    </row>
    <row r="50" spans="1:3" x14ac:dyDescent="0.25">
      <c r="A50">
        <v>105</v>
      </c>
      <c r="B50">
        <v>152965</v>
      </c>
      <c r="C50" s="24" t="s">
        <v>183</v>
      </c>
    </row>
    <row r="51" spans="1:3" x14ac:dyDescent="0.25">
      <c r="A51">
        <v>114</v>
      </c>
      <c r="B51">
        <v>1005849</v>
      </c>
      <c r="C51" s="24" t="s">
        <v>183</v>
      </c>
    </row>
    <row r="52" spans="1:3" x14ac:dyDescent="0.25">
      <c r="A52">
        <v>119</v>
      </c>
      <c r="B52">
        <v>1008496</v>
      </c>
      <c r="C52" s="24" t="s">
        <v>183</v>
      </c>
    </row>
    <row r="53" spans="1:3" x14ac:dyDescent="0.25">
      <c r="A53">
        <v>1032128</v>
      </c>
      <c r="B53">
        <v>1032128</v>
      </c>
      <c r="C53" s="24" t="s">
        <v>183</v>
      </c>
    </row>
    <row r="54" spans="1:3" x14ac:dyDescent="0.25">
      <c r="A54">
        <v>1068</v>
      </c>
      <c r="B54">
        <v>67715</v>
      </c>
      <c r="C54" s="24" t="s">
        <v>183</v>
      </c>
    </row>
    <row r="55" spans="1:3" x14ac:dyDescent="0.25">
      <c r="A55">
        <v>1074</v>
      </c>
      <c r="B55">
        <v>1031629</v>
      </c>
      <c r="C55" s="24" t="s">
        <v>183</v>
      </c>
    </row>
    <row r="56" spans="1:3" x14ac:dyDescent="0.25">
      <c r="A56">
        <v>1074</v>
      </c>
      <c r="B56">
        <v>1031627</v>
      </c>
      <c r="C56" s="24" t="s">
        <v>183</v>
      </c>
    </row>
    <row r="57" spans="1:3" x14ac:dyDescent="0.25">
      <c r="A57">
        <v>1081</v>
      </c>
      <c r="B57">
        <v>142481</v>
      </c>
      <c r="C57" s="24" t="s">
        <v>183</v>
      </c>
    </row>
    <row r="58" spans="1:3" x14ac:dyDescent="0.25">
      <c r="A58">
        <v>1082</v>
      </c>
      <c r="B58">
        <v>142482</v>
      </c>
      <c r="C58" s="24" t="s">
        <v>183</v>
      </c>
    </row>
    <row r="59" spans="1:3" x14ac:dyDescent="0.25">
      <c r="A59">
        <v>1094</v>
      </c>
      <c r="B59">
        <v>65507665273</v>
      </c>
      <c r="C59" s="24" t="s">
        <v>183</v>
      </c>
    </row>
    <row r="60" spans="1:3" x14ac:dyDescent="0.25">
      <c r="A60">
        <v>1097</v>
      </c>
      <c r="B60">
        <v>75655</v>
      </c>
      <c r="C60" s="24" t="s">
        <v>183</v>
      </c>
    </row>
    <row r="61" spans="1:3" x14ac:dyDescent="0.25">
      <c r="A61">
        <v>1800</v>
      </c>
      <c r="B61">
        <v>75145</v>
      </c>
      <c r="C61" s="24" t="s">
        <v>183</v>
      </c>
    </row>
    <row r="62" spans="1:3" x14ac:dyDescent="0.25">
      <c r="A62">
        <v>1800</v>
      </c>
      <c r="B62">
        <v>75146</v>
      </c>
      <c r="C62" s="24" t="s">
        <v>183</v>
      </c>
    </row>
    <row r="63" spans="1:3" x14ac:dyDescent="0.25">
      <c r="A63">
        <v>1018014</v>
      </c>
      <c r="B63">
        <v>1018014</v>
      </c>
      <c r="C63" s="24" t="s">
        <v>183</v>
      </c>
    </row>
    <row r="64" spans="1:3" x14ac:dyDescent="0.25">
      <c r="A64">
        <v>1018122</v>
      </c>
      <c r="B64">
        <v>1018122</v>
      </c>
      <c r="C64" s="24" t="s">
        <v>183</v>
      </c>
    </row>
    <row r="65" spans="1:5" x14ac:dyDescent="0.25">
      <c r="A65">
        <v>1018302</v>
      </c>
      <c r="B65">
        <v>1018302</v>
      </c>
      <c r="C65" s="24" t="s">
        <v>183</v>
      </c>
    </row>
    <row r="66" spans="1:5" x14ac:dyDescent="0.25">
      <c r="A66">
        <v>1018811</v>
      </c>
      <c r="B66">
        <v>1018811</v>
      </c>
      <c r="C66" s="24" t="s">
        <v>183</v>
      </c>
    </row>
    <row r="67" spans="1:5" x14ac:dyDescent="0.25">
      <c r="A67">
        <v>4031</v>
      </c>
      <c r="B67">
        <v>4031</v>
      </c>
      <c r="C67" s="24" t="s">
        <v>183</v>
      </c>
    </row>
    <row r="68" spans="1:5" x14ac:dyDescent="0.25">
      <c r="A68">
        <v>2000698</v>
      </c>
      <c r="B68">
        <v>2000698</v>
      </c>
      <c r="C68" s="24" t="s">
        <v>183</v>
      </c>
    </row>
    <row r="69" spans="1:5" x14ac:dyDescent="0.25">
      <c r="A69">
        <v>2000732</v>
      </c>
      <c r="B69">
        <v>2000732</v>
      </c>
      <c r="C69" s="24" t="s">
        <v>183</v>
      </c>
    </row>
    <row r="70" spans="1:5" x14ac:dyDescent="0.25">
      <c r="A70">
        <v>2000733</v>
      </c>
      <c r="B70">
        <v>2000733</v>
      </c>
      <c r="C70" s="24" t="s">
        <v>183</v>
      </c>
    </row>
    <row r="71" spans="1:5" x14ac:dyDescent="0.25">
      <c r="A71">
        <v>2000736</v>
      </c>
      <c r="B71">
        <v>2000736</v>
      </c>
      <c r="C71" s="24" t="s">
        <v>183</v>
      </c>
    </row>
    <row r="72" spans="1:5" x14ac:dyDescent="0.25">
      <c r="A72">
        <v>92</v>
      </c>
      <c r="B72">
        <v>65502313952</v>
      </c>
      <c r="C72" s="24" t="s">
        <v>183</v>
      </c>
    </row>
    <row r="73" spans="1:5" x14ac:dyDescent="0.25">
      <c r="A73">
        <v>1032873</v>
      </c>
      <c r="B73">
        <v>1032873</v>
      </c>
      <c r="C73" s="24" t="s">
        <v>183</v>
      </c>
    </row>
    <row r="74" spans="1:5" x14ac:dyDescent="0.25">
      <c r="A74" s="45" t="s">
        <v>297</v>
      </c>
      <c r="B74">
        <v>147492</v>
      </c>
      <c r="D74" s="24" t="s">
        <v>183</v>
      </c>
    </row>
    <row r="75" spans="1:5" x14ac:dyDescent="0.25">
      <c r="A75" s="45" t="s">
        <v>297</v>
      </c>
      <c r="B75">
        <v>147491</v>
      </c>
      <c r="D75" s="24" t="s">
        <v>183</v>
      </c>
    </row>
    <row r="76" spans="1:5" x14ac:dyDescent="0.25">
      <c r="A76" s="45" t="s">
        <v>297</v>
      </c>
      <c r="B76">
        <v>159246</v>
      </c>
      <c r="D76" s="24" t="s">
        <v>183</v>
      </c>
    </row>
    <row r="77" spans="1:5" x14ac:dyDescent="0.25">
      <c r="A77" s="45" t="s">
        <v>297</v>
      </c>
      <c r="B77">
        <v>1010401</v>
      </c>
      <c r="D77" s="24" t="s">
        <v>183</v>
      </c>
    </row>
    <row r="78" spans="1:5" x14ac:dyDescent="0.25">
      <c r="A78" t="s">
        <v>89</v>
      </c>
      <c r="B78">
        <v>2000470</v>
      </c>
      <c r="E78" s="24" t="s">
        <v>183</v>
      </c>
    </row>
    <row r="79" spans="1:5" x14ac:dyDescent="0.25">
      <c r="A79" t="s">
        <v>90</v>
      </c>
      <c r="B79">
        <v>2000469</v>
      </c>
      <c r="E79" s="24" t="s">
        <v>183</v>
      </c>
    </row>
    <row r="80" spans="1:5" x14ac:dyDescent="0.25">
      <c r="A80" t="s">
        <v>91</v>
      </c>
      <c r="B80">
        <v>2000466</v>
      </c>
      <c r="E80" s="24" t="s">
        <v>183</v>
      </c>
    </row>
    <row r="81" spans="1:5" x14ac:dyDescent="0.25">
      <c r="A81" t="s">
        <v>92</v>
      </c>
      <c r="B81">
        <v>2000467</v>
      </c>
      <c r="E81" s="24" t="s">
        <v>183</v>
      </c>
    </row>
    <row r="82" spans="1:5" x14ac:dyDescent="0.25">
      <c r="A82" t="s">
        <v>93</v>
      </c>
      <c r="B82">
        <v>1018867</v>
      </c>
      <c r="E82" s="24" t="s">
        <v>183</v>
      </c>
    </row>
    <row r="83" spans="1:5" x14ac:dyDescent="0.25">
      <c r="A83" t="s">
        <v>94</v>
      </c>
      <c r="B83">
        <v>65501372909</v>
      </c>
      <c r="E83" s="24" t="s">
        <v>183</v>
      </c>
    </row>
    <row r="84" spans="1:5" x14ac:dyDescent="0.25">
      <c r="A84" t="s">
        <v>96</v>
      </c>
      <c r="B84">
        <v>65505283448</v>
      </c>
      <c r="E84" s="24" t="s">
        <v>183</v>
      </c>
    </row>
    <row r="85" spans="1:5" x14ac:dyDescent="0.25">
      <c r="A85" t="s">
        <v>97</v>
      </c>
      <c r="B85">
        <v>65505283360</v>
      </c>
      <c r="E85" s="24" t="s">
        <v>183</v>
      </c>
    </row>
    <row r="86" spans="1:5" x14ac:dyDescent="0.25">
      <c r="A86" t="s">
        <v>98</v>
      </c>
      <c r="B86">
        <v>65505283309</v>
      </c>
      <c r="E86" s="24" t="s">
        <v>183</v>
      </c>
    </row>
    <row r="87" spans="1:5" x14ac:dyDescent="0.25">
      <c r="A87" t="s">
        <v>99</v>
      </c>
      <c r="B87">
        <v>65505285253</v>
      </c>
      <c r="E87" s="24" t="s">
        <v>183</v>
      </c>
    </row>
    <row r="88" spans="1:5" x14ac:dyDescent="0.25">
      <c r="A88" t="s">
        <v>100</v>
      </c>
      <c r="B88">
        <v>1031340</v>
      </c>
      <c r="E88" s="24" t="s">
        <v>183</v>
      </c>
    </row>
    <row r="89" spans="1:5" x14ac:dyDescent="0.25">
      <c r="A89" t="s">
        <v>173</v>
      </c>
      <c r="B89">
        <v>2000848</v>
      </c>
      <c r="E89" s="24" t="s">
        <v>183</v>
      </c>
    </row>
    <row r="90" spans="1:5" x14ac:dyDescent="0.25">
      <c r="A90" t="s">
        <v>174</v>
      </c>
      <c r="B90">
        <v>2000849</v>
      </c>
      <c r="E90" s="24" t="s">
        <v>183</v>
      </c>
    </row>
    <row r="91" spans="1:5" x14ac:dyDescent="0.25">
      <c r="A91" s="45" t="s">
        <v>256</v>
      </c>
      <c r="B91">
        <v>2000926</v>
      </c>
      <c r="E91" s="24" t="s">
        <v>183</v>
      </c>
    </row>
    <row r="92" spans="1:5" x14ac:dyDescent="0.25">
      <c r="A92">
        <v>1031547</v>
      </c>
      <c r="B92">
        <v>1031547</v>
      </c>
      <c r="E92" s="24" t="s">
        <v>183</v>
      </c>
    </row>
    <row r="93" spans="1:5" x14ac:dyDescent="0.25">
      <c r="A93">
        <v>1031548</v>
      </c>
      <c r="B93">
        <v>1031548</v>
      </c>
      <c r="E93" s="24" t="s">
        <v>183</v>
      </c>
    </row>
    <row r="94" spans="1:5" x14ac:dyDescent="0.25">
      <c r="A94">
        <v>1031549</v>
      </c>
      <c r="B94">
        <v>1031549</v>
      </c>
      <c r="E94" s="24" t="s">
        <v>183</v>
      </c>
    </row>
    <row r="95" spans="1:5" x14ac:dyDescent="0.25">
      <c r="A95">
        <v>1031550</v>
      </c>
      <c r="B95">
        <v>1031550</v>
      </c>
      <c r="E95" s="24" t="s">
        <v>183</v>
      </c>
    </row>
    <row r="96" spans="1:5" x14ac:dyDescent="0.25">
      <c r="A96">
        <v>1031551</v>
      </c>
      <c r="B96">
        <v>1031551</v>
      </c>
      <c r="E96" s="24" t="s">
        <v>183</v>
      </c>
    </row>
    <row r="97" spans="1:5" x14ac:dyDescent="0.25">
      <c r="A97">
        <v>118</v>
      </c>
      <c r="B97">
        <v>78666</v>
      </c>
      <c r="E97" s="24" t="s">
        <v>183</v>
      </c>
    </row>
    <row r="98" spans="1:5" x14ac:dyDescent="0.25">
      <c r="A98">
        <v>118</v>
      </c>
      <c r="B98">
        <v>2000219</v>
      </c>
      <c r="E98" s="24" t="s">
        <v>183</v>
      </c>
    </row>
    <row r="99" spans="1:5" x14ac:dyDescent="0.25">
      <c r="A99">
        <v>118</v>
      </c>
      <c r="B99">
        <v>2000220</v>
      </c>
      <c r="E99" s="24" t="s">
        <v>183</v>
      </c>
    </row>
    <row r="100" spans="1:5" x14ac:dyDescent="0.25">
      <c r="A100">
        <v>118</v>
      </c>
      <c r="B100">
        <v>2000221</v>
      </c>
      <c r="E100" s="24" t="s">
        <v>183</v>
      </c>
    </row>
    <row r="101" spans="1:5" x14ac:dyDescent="0.25">
      <c r="A101">
        <v>118</v>
      </c>
      <c r="B101">
        <v>78665</v>
      </c>
      <c r="E101" s="24" t="s">
        <v>183</v>
      </c>
    </row>
    <row r="102" spans="1:5" x14ac:dyDescent="0.25">
      <c r="A102">
        <v>118</v>
      </c>
      <c r="B102">
        <v>2000216</v>
      </c>
      <c r="E102" s="24" t="s">
        <v>183</v>
      </c>
    </row>
    <row r="103" spans="1:5" x14ac:dyDescent="0.25">
      <c r="A103">
        <v>118</v>
      </c>
      <c r="B103">
        <v>2000217</v>
      </c>
      <c r="E103" s="24" t="s">
        <v>183</v>
      </c>
    </row>
    <row r="104" spans="1:5" x14ac:dyDescent="0.25">
      <c r="A104">
        <v>118</v>
      </c>
      <c r="B104">
        <v>2000218</v>
      </c>
      <c r="E104" s="24" t="s">
        <v>183</v>
      </c>
    </row>
    <row r="105" spans="1:5" x14ac:dyDescent="0.25">
      <c r="A105">
        <v>2500</v>
      </c>
      <c r="B105">
        <v>2000183</v>
      </c>
      <c r="E105" s="24" t="s">
        <v>183</v>
      </c>
    </row>
    <row r="106" spans="1:5" x14ac:dyDescent="0.25">
      <c r="A106">
        <v>2500</v>
      </c>
      <c r="B106" t="s">
        <v>111</v>
      </c>
      <c r="E106" s="24" t="s">
        <v>183</v>
      </c>
    </row>
    <row r="107" spans="1:5" x14ac:dyDescent="0.25">
      <c r="A107">
        <v>2500</v>
      </c>
      <c r="B107" t="s">
        <v>112</v>
      </c>
      <c r="E107" s="24" t="s">
        <v>183</v>
      </c>
    </row>
    <row r="108" spans="1:5" x14ac:dyDescent="0.25">
      <c r="A108">
        <v>2500</v>
      </c>
      <c r="B108" t="s">
        <v>113</v>
      </c>
      <c r="E108" s="24" t="s">
        <v>183</v>
      </c>
    </row>
    <row r="109" spans="1:5" x14ac:dyDescent="0.25">
      <c r="A109">
        <v>2500</v>
      </c>
      <c r="B109">
        <v>2000182</v>
      </c>
      <c r="E109" s="24" t="s">
        <v>183</v>
      </c>
    </row>
    <row r="110" spans="1:5" x14ac:dyDescent="0.25">
      <c r="A110">
        <v>2500</v>
      </c>
      <c r="B110" t="s">
        <v>114</v>
      </c>
      <c r="E110" s="24" t="s">
        <v>183</v>
      </c>
    </row>
    <row r="111" spans="1:5" x14ac:dyDescent="0.25">
      <c r="A111">
        <v>2500</v>
      </c>
      <c r="B111" t="s">
        <v>115</v>
      </c>
      <c r="E111" s="24" t="s">
        <v>183</v>
      </c>
    </row>
    <row r="112" spans="1:5" x14ac:dyDescent="0.25">
      <c r="A112">
        <v>2500</v>
      </c>
      <c r="B112" t="s">
        <v>116</v>
      </c>
      <c r="E112" s="24" t="s">
        <v>183</v>
      </c>
    </row>
    <row r="113" spans="1:5" x14ac:dyDescent="0.25">
      <c r="A113">
        <v>2600</v>
      </c>
      <c r="B113" t="s">
        <v>117</v>
      </c>
      <c r="E113" s="24" t="s">
        <v>183</v>
      </c>
    </row>
    <row r="114" spans="1:5" x14ac:dyDescent="0.25">
      <c r="A114">
        <v>2600</v>
      </c>
      <c r="B114" t="s">
        <v>118</v>
      </c>
      <c r="E114" s="24" t="s">
        <v>183</v>
      </c>
    </row>
    <row r="115" spans="1:5" x14ac:dyDescent="0.25">
      <c r="A115">
        <v>2600</v>
      </c>
      <c r="B115" t="s">
        <v>119</v>
      </c>
      <c r="E115" s="24" t="s">
        <v>183</v>
      </c>
    </row>
    <row r="116" spans="1:5" x14ac:dyDescent="0.25">
      <c r="A116">
        <v>2600</v>
      </c>
      <c r="B116" t="s">
        <v>120</v>
      </c>
      <c r="E116" s="24" t="s">
        <v>183</v>
      </c>
    </row>
    <row r="117" spans="1:5" x14ac:dyDescent="0.25">
      <c r="A117">
        <v>2600</v>
      </c>
      <c r="B117" t="s">
        <v>121</v>
      </c>
      <c r="E117" s="24" t="s">
        <v>183</v>
      </c>
    </row>
    <row r="118" spans="1:5" x14ac:dyDescent="0.25">
      <c r="A118">
        <v>2600</v>
      </c>
      <c r="B118" t="s">
        <v>122</v>
      </c>
      <c r="E118" s="24" t="s">
        <v>183</v>
      </c>
    </row>
    <row r="119" spans="1:5" x14ac:dyDescent="0.25">
      <c r="A119">
        <v>2600</v>
      </c>
      <c r="B119" t="s">
        <v>123</v>
      </c>
      <c r="E119" s="24" t="s">
        <v>183</v>
      </c>
    </row>
    <row r="120" spans="1:5" x14ac:dyDescent="0.25">
      <c r="A120">
        <v>2600</v>
      </c>
      <c r="B120" t="s">
        <v>124</v>
      </c>
      <c r="E120" s="24" t="s">
        <v>183</v>
      </c>
    </row>
    <row r="121" spans="1:5" x14ac:dyDescent="0.25">
      <c r="A121">
        <v>2777</v>
      </c>
      <c r="B121" t="s">
        <v>125</v>
      </c>
      <c r="E121" s="24" t="s">
        <v>183</v>
      </c>
    </row>
    <row r="122" spans="1:5" x14ac:dyDescent="0.25">
      <c r="A122">
        <v>2777</v>
      </c>
      <c r="B122" t="s">
        <v>126</v>
      </c>
      <c r="E122" s="24" t="s">
        <v>183</v>
      </c>
    </row>
    <row r="123" spans="1:5" x14ac:dyDescent="0.25">
      <c r="A123">
        <v>2777</v>
      </c>
      <c r="B123" t="s">
        <v>127</v>
      </c>
      <c r="E123" s="24" t="s">
        <v>183</v>
      </c>
    </row>
    <row r="124" spans="1:5" x14ac:dyDescent="0.25">
      <c r="A124">
        <v>2777</v>
      </c>
      <c r="B124" t="s">
        <v>128</v>
      </c>
      <c r="E124" s="24" t="s">
        <v>183</v>
      </c>
    </row>
    <row r="125" spans="1:5" x14ac:dyDescent="0.25">
      <c r="A125">
        <v>2777</v>
      </c>
      <c r="B125" t="s">
        <v>129</v>
      </c>
      <c r="E125" s="24" t="s">
        <v>183</v>
      </c>
    </row>
    <row r="126" spans="1:5" x14ac:dyDescent="0.25">
      <c r="A126">
        <v>2777</v>
      </c>
      <c r="B126" t="s">
        <v>130</v>
      </c>
      <c r="E126" s="24" t="s">
        <v>183</v>
      </c>
    </row>
    <row r="127" spans="1:5" x14ac:dyDescent="0.25">
      <c r="A127">
        <v>2777</v>
      </c>
      <c r="B127" t="s">
        <v>131</v>
      </c>
      <c r="E127" s="24" t="s">
        <v>183</v>
      </c>
    </row>
    <row r="128" spans="1:5" x14ac:dyDescent="0.25">
      <c r="A128">
        <v>2777</v>
      </c>
      <c r="B128" t="s">
        <v>132</v>
      </c>
      <c r="E128" s="24" t="s">
        <v>183</v>
      </c>
    </row>
    <row r="129" spans="1:5" x14ac:dyDescent="0.25">
      <c r="A129">
        <v>2700</v>
      </c>
      <c r="B129" t="s">
        <v>133</v>
      </c>
      <c r="E129" s="24" t="s">
        <v>183</v>
      </c>
    </row>
    <row r="130" spans="1:5" x14ac:dyDescent="0.25">
      <c r="A130">
        <v>2700</v>
      </c>
      <c r="B130" t="s">
        <v>134</v>
      </c>
      <c r="E130" s="24" t="s">
        <v>183</v>
      </c>
    </row>
    <row r="131" spans="1:5" x14ac:dyDescent="0.25">
      <c r="A131">
        <v>2700</v>
      </c>
      <c r="B131" t="s">
        <v>135</v>
      </c>
      <c r="E131" s="24" t="s">
        <v>183</v>
      </c>
    </row>
    <row r="132" spans="1:5" x14ac:dyDescent="0.25">
      <c r="A132">
        <v>2700</v>
      </c>
      <c r="B132" t="s">
        <v>136</v>
      </c>
      <c r="E132" s="24" t="s">
        <v>183</v>
      </c>
    </row>
    <row r="133" spans="1:5" x14ac:dyDescent="0.25">
      <c r="A133">
        <v>2700</v>
      </c>
      <c r="B133" t="s">
        <v>137</v>
      </c>
      <c r="E133" s="24" t="s">
        <v>183</v>
      </c>
    </row>
    <row r="134" spans="1:5" x14ac:dyDescent="0.25">
      <c r="A134">
        <v>2700</v>
      </c>
      <c r="B134" t="s">
        <v>138</v>
      </c>
      <c r="E134" s="24" t="s">
        <v>183</v>
      </c>
    </row>
    <row r="135" spans="1:5" x14ac:dyDescent="0.25">
      <c r="A135">
        <v>2700</v>
      </c>
      <c r="B135" t="s">
        <v>139</v>
      </c>
      <c r="E135" s="24" t="s">
        <v>183</v>
      </c>
    </row>
    <row r="136" spans="1:5" x14ac:dyDescent="0.25">
      <c r="A136">
        <v>2700</v>
      </c>
      <c r="B136" t="s">
        <v>140</v>
      </c>
      <c r="E136" s="24" t="s">
        <v>183</v>
      </c>
    </row>
    <row r="137" spans="1:5" x14ac:dyDescent="0.25">
      <c r="A137">
        <v>2100</v>
      </c>
      <c r="B137">
        <v>2000385</v>
      </c>
      <c r="E137" s="24" t="s">
        <v>183</v>
      </c>
    </row>
    <row r="138" spans="1:5" x14ac:dyDescent="0.25">
      <c r="A138">
        <v>2200</v>
      </c>
      <c r="B138">
        <v>566810</v>
      </c>
      <c r="E138" s="24" t="s">
        <v>183</v>
      </c>
    </row>
    <row r="139" spans="1:5" x14ac:dyDescent="0.25">
      <c r="A139">
        <v>2300</v>
      </c>
      <c r="B139">
        <v>142518</v>
      </c>
      <c r="E139" s="24" t="s">
        <v>183</v>
      </c>
    </row>
    <row r="140" spans="1:5" x14ac:dyDescent="0.25">
      <c r="A140" t="s">
        <v>175</v>
      </c>
      <c r="B140">
        <v>1031341</v>
      </c>
      <c r="E140" s="24" t="s">
        <v>183</v>
      </c>
    </row>
    <row r="141" spans="1:5" x14ac:dyDescent="0.25">
      <c r="A141" t="s">
        <v>176</v>
      </c>
      <c r="B141">
        <v>2001049</v>
      </c>
      <c r="E141" s="24" t="s">
        <v>183</v>
      </c>
    </row>
    <row r="142" spans="1:5" x14ac:dyDescent="0.25">
      <c r="A142" t="s">
        <v>177</v>
      </c>
      <c r="B142">
        <v>2001050</v>
      </c>
      <c r="E142" s="24" t="s">
        <v>183</v>
      </c>
    </row>
    <row r="143" spans="1:5" x14ac:dyDescent="0.25">
      <c r="A143">
        <v>2779</v>
      </c>
      <c r="B143" t="s">
        <v>150</v>
      </c>
      <c r="E143" s="24" t="s">
        <v>183</v>
      </c>
    </row>
    <row r="144" spans="1:5" x14ac:dyDescent="0.25">
      <c r="A144">
        <v>2779</v>
      </c>
      <c r="B144" t="s">
        <v>151</v>
      </c>
      <c r="E144" s="24" t="s">
        <v>183</v>
      </c>
    </row>
    <row r="145" spans="1:5" x14ac:dyDescent="0.25">
      <c r="A145">
        <v>2779</v>
      </c>
      <c r="B145" t="s">
        <v>152</v>
      </c>
      <c r="E145" s="24" t="s">
        <v>183</v>
      </c>
    </row>
    <row r="146" spans="1:5" x14ac:dyDescent="0.25">
      <c r="A146">
        <v>2779</v>
      </c>
      <c r="B146" t="s">
        <v>153</v>
      </c>
      <c r="E146" s="24" t="s">
        <v>183</v>
      </c>
    </row>
    <row r="147" spans="1:5" x14ac:dyDescent="0.25">
      <c r="A147">
        <v>2779</v>
      </c>
      <c r="B147" t="s">
        <v>154</v>
      </c>
      <c r="E147" s="24" t="s">
        <v>183</v>
      </c>
    </row>
    <row r="148" spans="1:5" x14ac:dyDescent="0.25">
      <c r="A148">
        <v>2779</v>
      </c>
      <c r="B148" t="s">
        <v>155</v>
      </c>
      <c r="E148" s="24" t="s">
        <v>183</v>
      </c>
    </row>
    <row r="149" spans="1:5" x14ac:dyDescent="0.25">
      <c r="A149">
        <v>2779</v>
      </c>
      <c r="B149" t="s">
        <v>156</v>
      </c>
      <c r="E149" s="24" t="s">
        <v>183</v>
      </c>
    </row>
    <row r="150" spans="1:5" x14ac:dyDescent="0.25">
      <c r="A150">
        <v>2779</v>
      </c>
      <c r="B150" t="s">
        <v>157</v>
      </c>
      <c r="E150" s="24" t="s">
        <v>183</v>
      </c>
    </row>
    <row r="151" spans="1:5" x14ac:dyDescent="0.25">
      <c r="A151">
        <v>2001022</v>
      </c>
      <c r="B151" t="s">
        <v>159</v>
      </c>
      <c r="E151" s="24" t="s">
        <v>183</v>
      </c>
    </row>
    <row r="152" spans="1:5" x14ac:dyDescent="0.25">
      <c r="A152">
        <v>2001022</v>
      </c>
      <c r="B152" t="s">
        <v>160</v>
      </c>
      <c r="E152" s="24" t="s">
        <v>183</v>
      </c>
    </row>
    <row r="153" spans="1:5" x14ac:dyDescent="0.25">
      <c r="A153">
        <v>2001022</v>
      </c>
      <c r="B153" t="s">
        <v>161</v>
      </c>
      <c r="E153" s="24" t="s">
        <v>183</v>
      </c>
    </row>
    <row r="154" spans="1:5" x14ac:dyDescent="0.25">
      <c r="A154">
        <v>2001022</v>
      </c>
      <c r="B154" t="s">
        <v>162</v>
      </c>
      <c r="E154" s="24" t="s">
        <v>183</v>
      </c>
    </row>
    <row r="155" spans="1:5" x14ac:dyDescent="0.25">
      <c r="A155" t="s">
        <v>303</v>
      </c>
      <c r="B155">
        <v>1037090</v>
      </c>
      <c r="E155" s="24" t="s">
        <v>183</v>
      </c>
    </row>
    <row r="156" spans="1:5" x14ac:dyDescent="0.25">
      <c r="A156" t="s">
        <v>304</v>
      </c>
      <c r="B156" s="28">
        <v>65501902345</v>
      </c>
      <c r="E156" s="24" t="s">
        <v>183</v>
      </c>
    </row>
    <row r="157" spans="1:5" x14ac:dyDescent="0.25">
      <c r="A157" t="s">
        <v>305</v>
      </c>
      <c r="B157" s="28">
        <v>1037087</v>
      </c>
      <c r="E157" s="24" t="s">
        <v>183</v>
      </c>
    </row>
    <row r="158" spans="1:5" x14ac:dyDescent="0.25">
      <c r="A158" t="s">
        <v>312</v>
      </c>
      <c r="B158" s="28">
        <v>1036723</v>
      </c>
      <c r="C158" s="24" t="s">
        <v>183</v>
      </c>
    </row>
    <row r="159" spans="1:5" x14ac:dyDescent="0.25">
      <c r="A159" t="s">
        <v>313</v>
      </c>
      <c r="B159" s="28">
        <v>1036724</v>
      </c>
      <c r="C159" s="24" t="s">
        <v>183</v>
      </c>
    </row>
    <row r="160" spans="1:5" x14ac:dyDescent="0.25">
      <c r="A160" t="s">
        <v>318</v>
      </c>
      <c r="B160">
        <v>65508989338</v>
      </c>
      <c r="C160" s="24" t="s">
        <v>183</v>
      </c>
    </row>
    <row r="161" spans="1:5" x14ac:dyDescent="0.25">
      <c r="A161" t="s">
        <v>320</v>
      </c>
      <c r="B161">
        <v>1037923</v>
      </c>
      <c r="C161" s="24" t="s">
        <v>183</v>
      </c>
    </row>
    <row r="162" spans="1:5" x14ac:dyDescent="0.25">
      <c r="A162" t="s">
        <v>321</v>
      </c>
      <c r="B162">
        <v>1037925</v>
      </c>
      <c r="C162" s="24" t="s">
        <v>183</v>
      </c>
    </row>
    <row r="163" spans="1:5" x14ac:dyDescent="0.25">
      <c r="A163" t="s">
        <v>322</v>
      </c>
      <c r="B163">
        <v>1037924</v>
      </c>
      <c r="C163" s="24" t="s">
        <v>183</v>
      </c>
    </row>
    <row r="164" spans="1:5" x14ac:dyDescent="0.25">
      <c r="A164" t="s">
        <v>344</v>
      </c>
      <c r="B164">
        <v>65502397418</v>
      </c>
      <c r="E164" s="24" t="s">
        <v>183</v>
      </c>
    </row>
    <row r="165" spans="1:5" x14ac:dyDescent="0.25">
      <c r="A165" t="s">
        <v>345</v>
      </c>
      <c r="B165">
        <v>65501285111</v>
      </c>
      <c r="E165" s="24" t="s">
        <v>183</v>
      </c>
    </row>
    <row r="166" spans="1:5" x14ac:dyDescent="0.25">
      <c r="A166" t="s">
        <v>90</v>
      </c>
      <c r="B166">
        <v>2000469</v>
      </c>
      <c r="E166" s="24" t="s">
        <v>183</v>
      </c>
    </row>
    <row r="167" spans="1:5" x14ac:dyDescent="0.25">
      <c r="A167" t="s">
        <v>91</v>
      </c>
      <c r="B167">
        <v>2000466</v>
      </c>
      <c r="E167" s="24" t="s">
        <v>183</v>
      </c>
    </row>
    <row r="168" spans="1:5" x14ac:dyDescent="0.25">
      <c r="A168" s="24" t="s">
        <v>349</v>
      </c>
      <c r="B168">
        <v>65509560409</v>
      </c>
      <c r="C168" s="24" t="s">
        <v>183</v>
      </c>
    </row>
    <row r="169" spans="1:5" x14ac:dyDescent="0.25">
      <c r="A169" s="24" t="s">
        <v>350</v>
      </c>
      <c r="B169">
        <v>65509560426</v>
      </c>
      <c r="C169" s="24" t="s">
        <v>183</v>
      </c>
    </row>
    <row r="170" spans="1:5" x14ac:dyDescent="0.25">
      <c r="A170" s="24" t="s">
        <v>351</v>
      </c>
      <c r="B170">
        <v>65509560457</v>
      </c>
      <c r="C170" s="24" t="s">
        <v>183</v>
      </c>
    </row>
    <row r="171" spans="1:5" x14ac:dyDescent="0.25">
      <c r="A171" s="24" t="s">
        <v>352</v>
      </c>
      <c r="B171">
        <v>65509560443</v>
      </c>
      <c r="C171" s="24" t="s">
        <v>183</v>
      </c>
    </row>
    <row r="172" spans="1:5" x14ac:dyDescent="0.25">
      <c r="A172" s="2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2:H134"/>
  <sheetViews>
    <sheetView topLeftCell="A124" workbookViewId="0">
      <selection activeCell="A124" sqref="A124"/>
    </sheetView>
  </sheetViews>
  <sheetFormatPr baseColWidth="10" defaultRowHeight="15" x14ac:dyDescent="0.25"/>
  <cols>
    <col min="1" max="1" width="14.7109375" bestFit="1" customWidth="1"/>
    <col min="2" max="2" width="43.42578125" bestFit="1" customWidth="1"/>
    <col min="4" max="4" width="24.5703125" customWidth="1"/>
    <col min="5" max="5" width="43.42578125" bestFit="1" customWidth="1"/>
    <col min="6" max="6" width="16.85546875" bestFit="1" customWidth="1"/>
  </cols>
  <sheetData>
    <row r="2" spans="1:8" x14ac:dyDescent="0.25">
      <c r="A2" s="90" t="s">
        <v>189</v>
      </c>
      <c r="B2" s="90" t="s">
        <v>190</v>
      </c>
      <c r="C2" s="90" t="s">
        <v>188</v>
      </c>
      <c r="D2" s="90" t="s">
        <v>191</v>
      </c>
      <c r="E2" s="90" t="s">
        <v>192</v>
      </c>
      <c r="F2" s="90" t="s">
        <v>193</v>
      </c>
      <c r="G2" s="89" t="s">
        <v>194</v>
      </c>
      <c r="H2" s="89"/>
    </row>
    <row r="3" spans="1:8" x14ac:dyDescent="0.25">
      <c r="A3" s="91"/>
      <c r="B3" s="91"/>
      <c r="C3" s="91"/>
      <c r="D3" s="91"/>
      <c r="E3" s="91"/>
      <c r="F3" s="91"/>
      <c r="G3" s="40" t="s">
        <v>195</v>
      </c>
      <c r="H3" s="40" t="s">
        <v>196</v>
      </c>
    </row>
    <row r="4" spans="1:8" x14ac:dyDescent="0.25">
      <c r="A4" s="19">
        <v>156331</v>
      </c>
      <c r="B4" s="19">
        <v>71</v>
      </c>
      <c r="C4" s="18" t="s">
        <v>197</v>
      </c>
      <c r="D4" s="18" t="s">
        <v>60</v>
      </c>
      <c r="E4" s="18" t="s">
        <v>61</v>
      </c>
      <c r="F4" s="18" t="s">
        <v>198</v>
      </c>
      <c r="G4" s="19" t="s">
        <v>183</v>
      </c>
      <c r="H4" s="19"/>
    </row>
    <row r="5" spans="1:8" x14ac:dyDescent="0.25">
      <c r="A5" s="19">
        <v>65502222299</v>
      </c>
      <c r="B5" s="19">
        <v>74</v>
      </c>
      <c r="C5" s="18" t="s">
        <v>197</v>
      </c>
      <c r="D5" s="18" t="s">
        <v>62</v>
      </c>
      <c r="E5" s="18" t="s">
        <v>62</v>
      </c>
      <c r="F5" s="18" t="s">
        <v>198</v>
      </c>
      <c r="G5" s="19" t="s">
        <v>183</v>
      </c>
      <c r="H5" s="19"/>
    </row>
    <row r="6" spans="1:8" x14ac:dyDescent="0.25">
      <c r="A6" s="19">
        <v>2000135</v>
      </c>
      <c r="B6" s="19">
        <v>100</v>
      </c>
      <c r="C6" s="18" t="s">
        <v>197</v>
      </c>
      <c r="D6" s="18" t="s">
        <v>199</v>
      </c>
      <c r="E6" s="18" t="s">
        <v>33</v>
      </c>
      <c r="F6" s="18" t="s">
        <v>198</v>
      </c>
      <c r="G6" s="19" t="s">
        <v>183</v>
      </c>
      <c r="H6" s="19"/>
    </row>
    <row r="7" spans="1:8" ht="30" x14ac:dyDescent="0.25">
      <c r="A7" s="19">
        <v>2000204</v>
      </c>
      <c r="B7" s="19">
        <v>115</v>
      </c>
      <c r="C7" s="18" t="s">
        <v>197</v>
      </c>
      <c r="D7" s="18" t="s">
        <v>158</v>
      </c>
      <c r="E7" s="18" t="s">
        <v>33</v>
      </c>
      <c r="F7" s="18" t="s">
        <v>198</v>
      </c>
      <c r="G7" s="19" t="s">
        <v>183</v>
      </c>
      <c r="H7" s="19"/>
    </row>
    <row r="8" spans="1:8" ht="60" x14ac:dyDescent="0.25">
      <c r="A8" s="29">
        <v>1008496</v>
      </c>
      <c r="B8" s="29">
        <v>119</v>
      </c>
      <c r="C8" s="30" t="s">
        <v>197</v>
      </c>
      <c r="D8" s="30" t="s">
        <v>69</v>
      </c>
      <c r="E8" s="30" t="s">
        <v>200</v>
      </c>
      <c r="F8" s="30" t="s">
        <v>166</v>
      </c>
      <c r="G8" s="29" t="s">
        <v>183</v>
      </c>
      <c r="H8" s="29"/>
    </row>
    <row r="9" spans="1:8" ht="30" x14ac:dyDescent="0.25">
      <c r="A9" s="19">
        <v>67715</v>
      </c>
      <c r="B9" s="19">
        <v>1068</v>
      </c>
      <c r="C9" s="18" t="s">
        <v>197</v>
      </c>
      <c r="D9" s="18" t="s">
        <v>70</v>
      </c>
      <c r="E9" s="18" t="s">
        <v>201</v>
      </c>
      <c r="F9" s="18" t="s">
        <v>166</v>
      </c>
      <c r="G9" s="19" t="s">
        <v>183</v>
      </c>
      <c r="H9" s="19"/>
    </row>
    <row r="10" spans="1:8" x14ac:dyDescent="0.25">
      <c r="A10" s="19">
        <v>2000385</v>
      </c>
      <c r="B10" s="19">
        <v>2100</v>
      </c>
      <c r="C10" s="18" t="s">
        <v>197</v>
      </c>
      <c r="D10" s="18" t="s">
        <v>102</v>
      </c>
      <c r="E10" s="18" t="s">
        <v>103</v>
      </c>
      <c r="F10" s="18" t="s">
        <v>202</v>
      </c>
      <c r="G10" s="19"/>
      <c r="H10" s="19" t="s">
        <v>183</v>
      </c>
    </row>
    <row r="11" spans="1:8" x14ac:dyDescent="0.25">
      <c r="A11" s="19">
        <v>566810</v>
      </c>
      <c r="B11" s="19">
        <v>2200</v>
      </c>
      <c r="C11" s="18" t="s">
        <v>197</v>
      </c>
      <c r="D11" s="18" t="s">
        <v>103</v>
      </c>
      <c r="E11" s="18" t="s">
        <v>103</v>
      </c>
      <c r="F11" s="18" t="s">
        <v>202</v>
      </c>
      <c r="G11" s="19"/>
      <c r="H11" s="19" t="s">
        <v>183</v>
      </c>
    </row>
    <row r="12" spans="1:8" x14ac:dyDescent="0.25">
      <c r="A12" s="19">
        <v>142518</v>
      </c>
      <c r="B12" s="19">
        <v>2300</v>
      </c>
      <c r="C12" s="18" t="s">
        <v>197</v>
      </c>
      <c r="D12" s="18" t="s">
        <v>104</v>
      </c>
      <c r="E12" s="18" t="s">
        <v>103</v>
      </c>
      <c r="F12" s="18" t="s">
        <v>202</v>
      </c>
      <c r="G12" s="19"/>
      <c r="H12" s="19" t="s">
        <v>183</v>
      </c>
    </row>
    <row r="13" spans="1:8" ht="30" x14ac:dyDescent="0.25">
      <c r="A13" s="19">
        <v>1018811</v>
      </c>
      <c r="B13" s="19">
        <v>1018811</v>
      </c>
      <c r="C13" s="18" t="s">
        <v>197</v>
      </c>
      <c r="D13" s="18" t="s">
        <v>82</v>
      </c>
      <c r="E13" s="18" t="s">
        <v>203</v>
      </c>
      <c r="F13" s="18" t="s">
        <v>198</v>
      </c>
      <c r="G13" s="19" t="s">
        <v>183</v>
      </c>
      <c r="H13" s="19"/>
    </row>
    <row r="14" spans="1:8" x14ac:dyDescent="0.25">
      <c r="A14" s="20">
        <v>1032382</v>
      </c>
      <c r="B14" s="20">
        <v>1032382</v>
      </c>
      <c r="C14" s="18" t="s">
        <v>197</v>
      </c>
      <c r="D14" s="18" t="s">
        <v>164</v>
      </c>
      <c r="E14" s="18" t="s">
        <v>164</v>
      </c>
      <c r="F14" s="18" t="s">
        <v>198</v>
      </c>
      <c r="G14" s="19" t="s">
        <v>183</v>
      </c>
      <c r="H14" s="19"/>
    </row>
    <row r="15" spans="1:8" ht="30" x14ac:dyDescent="0.25">
      <c r="A15" s="19">
        <v>2000698</v>
      </c>
      <c r="B15" s="19">
        <v>2000698</v>
      </c>
      <c r="C15" s="18" t="s">
        <v>197</v>
      </c>
      <c r="D15" s="18" t="s">
        <v>83</v>
      </c>
      <c r="E15" s="18" t="s">
        <v>33</v>
      </c>
      <c r="F15" s="18" t="s">
        <v>198</v>
      </c>
      <c r="G15" s="19" t="s">
        <v>183</v>
      </c>
      <c r="H15" s="19"/>
    </row>
    <row r="16" spans="1:8" ht="30" x14ac:dyDescent="0.25">
      <c r="A16" s="19">
        <v>2000732</v>
      </c>
      <c r="B16" s="19">
        <v>2000732</v>
      </c>
      <c r="C16" s="18" t="s">
        <v>197</v>
      </c>
      <c r="D16" s="18" t="s">
        <v>84</v>
      </c>
      <c r="E16" s="18" t="s">
        <v>33</v>
      </c>
      <c r="F16" s="18" t="s">
        <v>198</v>
      </c>
      <c r="G16" s="19" t="s">
        <v>183</v>
      </c>
      <c r="H16" s="19"/>
    </row>
    <row r="17" spans="1:8" x14ac:dyDescent="0.25">
      <c r="A17" s="19">
        <v>2000733</v>
      </c>
      <c r="B17" s="19">
        <v>2000733</v>
      </c>
      <c r="C17" s="18" t="s">
        <v>197</v>
      </c>
      <c r="D17" s="18" t="s">
        <v>85</v>
      </c>
      <c r="E17" s="18" t="s">
        <v>33</v>
      </c>
      <c r="F17" s="18" t="s">
        <v>198</v>
      </c>
      <c r="G17" s="19" t="s">
        <v>183</v>
      </c>
      <c r="H17" s="19"/>
    </row>
    <row r="18" spans="1:8" x14ac:dyDescent="0.25">
      <c r="A18" s="19">
        <v>2001012</v>
      </c>
      <c r="B18" s="19">
        <v>2001012</v>
      </c>
      <c r="C18" s="18" t="s">
        <v>204</v>
      </c>
      <c r="D18" s="18" t="s">
        <v>205</v>
      </c>
      <c r="E18" s="18" t="s">
        <v>149</v>
      </c>
      <c r="F18" s="18" t="s">
        <v>198</v>
      </c>
      <c r="G18" s="19" t="s">
        <v>183</v>
      </c>
      <c r="H18" s="19"/>
    </row>
    <row r="19" spans="1:8" x14ac:dyDescent="0.25">
      <c r="A19" s="19">
        <v>2001022</v>
      </c>
      <c r="B19" s="19">
        <v>2001022</v>
      </c>
      <c r="C19" s="18" t="s">
        <v>204</v>
      </c>
      <c r="D19" s="18" t="s">
        <v>280</v>
      </c>
      <c r="E19" s="18" t="s">
        <v>149</v>
      </c>
      <c r="F19" s="18" t="s">
        <v>166</v>
      </c>
      <c r="G19" s="19" t="s">
        <v>183</v>
      </c>
      <c r="H19" s="19"/>
    </row>
    <row r="20" spans="1:8" ht="30" x14ac:dyDescent="0.25">
      <c r="A20" s="19">
        <v>65504667724</v>
      </c>
      <c r="B20" s="19" t="s">
        <v>52</v>
      </c>
      <c r="C20" s="18" t="s">
        <v>204</v>
      </c>
      <c r="D20" s="18" t="s">
        <v>169</v>
      </c>
      <c r="E20" s="18" t="s">
        <v>169</v>
      </c>
      <c r="F20" s="18" t="s">
        <v>198</v>
      </c>
      <c r="G20" s="19" t="s">
        <v>206</v>
      </c>
      <c r="H20" s="19"/>
    </row>
    <row r="21" spans="1:8" ht="30" x14ac:dyDescent="0.25">
      <c r="A21" s="19">
        <v>65503851337</v>
      </c>
      <c r="B21" s="19" t="s">
        <v>53</v>
      </c>
      <c r="C21" s="18" t="s">
        <v>204</v>
      </c>
      <c r="D21" s="18" t="s">
        <v>281</v>
      </c>
      <c r="E21" s="18" t="s">
        <v>208</v>
      </c>
      <c r="F21" s="18" t="s">
        <v>166</v>
      </c>
      <c r="G21" s="19" t="s">
        <v>183</v>
      </c>
      <c r="H21" s="19"/>
    </row>
    <row r="22" spans="1:8" ht="30" x14ac:dyDescent="0.25">
      <c r="A22" s="19">
        <v>65503863610</v>
      </c>
      <c r="B22" s="19" t="s">
        <v>53</v>
      </c>
      <c r="C22" s="18" t="s">
        <v>204</v>
      </c>
      <c r="D22" s="18" t="s">
        <v>282</v>
      </c>
      <c r="E22" s="18" t="s">
        <v>208</v>
      </c>
      <c r="F22" s="18" t="s">
        <v>166</v>
      </c>
      <c r="G22" s="19" t="s">
        <v>183</v>
      </c>
      <c r="H22" s="19"/>
    </row>
    <row r="23" spans="1:8" ht="30" x14ac:dyDescent="0.25">
      <c r="A23" s="19">
        <v>65503863624</v>
      </c>
      <c r="B23" s="19" t="s">
        <v>53</v>
      </c>
      <c r="C23" s="18" t="s">
        <v>204</v>
      </c>
      <c r="D23" s="18" t="s">
        <v>283</v>
      </c>
      <c r="E23" s="18" t="s">
        <v>208</v>
      </c>
      <c r="F23" s="18" t="s">
        <v>166</v>
      </c>
      <c r="G23" s="19" t="s">
        <v>183</v>
      </c>
      <c r="H23" s="19"/>
    </row>
    <row r="24" spans="1:8" ht="30" x14ac:dyDescent="0.25">
      <c r="A24" s="19">
        <v>65503863638</v>
      </c>
      <c r="B24" s="19" t="s">
        <v>53</v>
      </c>
      <c r="C24" s="18" t="s">
        <v>204</v>
      </c>
      <c r="D24" s="18" t="s">
        <v>207</v>
      </c>
      <c r="E24" s="18" t="s">
        <v>208</v>
      </c>
      <c r="F24" s="18" t="s">
        <v>166</v>
      </c>
      <c r="G24" s="19" t="s">
        <v>183</v>
      </c>
      <c r="H24" s="19"/>
    </row>
    <row r="25" spans="1:8" ht="60" x14ac:dyDescent="0.25">
      <c r="A25" s="29">
        <v>65507408917</v>
      </c>
      <c r="B25" s="29">
        <v>37</v>
      </c>
      <c r="C25" s="30" t="s">
        <v>204</v>
      </c>
      <c r="D25" s="30" t="s">
        <v>18</v>
      </c>
      <c r="E25" s="30" t="s">
        <v>209</v>
      </c>
      <c r="F25" s="30" t="s">
        <v>198</v>
      </c>
      <c r="G25" s="29" t="s">
        <v>183</v>
      </c>
      <c r="H25" s="29"/>
    </row>
    <row r="26" spans="1:8" x14ac:dyDescent="0.25">
      <c r="A26" s="29">
        <v>156622</v>
      </c>
      <c r="B26" s="29">
        <v>58</v>
      </c>
      <c r="C26" s="30" t="s">
        <v>204</v>
      </c>
      <c r="D26" s="30" t="s">
        <v>39</v>
      </c>
      <c r="E26" s="30" t="s">
        <v>39</v>
      </c>
      <c r="F26" s="30" t="s">
        <v>198</v>
      </c>
      <c r="G26" s="29" t="s">
        <v>183</v>
      </c>
      <c r="H26" s="29"/>
    </row>
    <row r="27" spans="1:8" x14ac:dyDescent="0.25">
      <c r="A27" s="29">
        <v>154702</v>
      </c>
      <c r="B27" s="29">
        <v>60</v>
      </c>
      <c r="C27" s="30" t="s">
        <v>204</v>
      </c>
      <c r="D27" s="30" t="s">
        <v>40</v>
      </c>
      <c r="E27" s="30" t="s">
        <v>210</v>
      </c>
      <c r="F27" s="30" t="s">
        <v>166</v>
      </c>
      <c r="G27" s="29" t="s">
        <v>183</v>
      </c>
      <c r="H27" s="29"/>
    </row>
    <row r="28" spans="1:8" x14ac:dyDescent="0.25">
      <c r="A28" s="29">
        <v>80820</v>
      </c>
      <c r="B28" s="29">
        <v>63</v>
      </c>
      <c r="C28" s="30" t="s">
        <v>204</v>
      </c>
      <c r="D28" s="30" t="s">
        <v>211</v>
      </c>
      <c r="E28" s="30" t="s">
        <v>210</v>
      </c>
      <c r="F28" s="30" t="s">
        <v>166</v>
      </c>
      <c r="G28" s="29" t="s">
        <v>183</v>
      </c>
      <c r="H28" s="29"/>
    </row>
    <row r="29" spans="1:8" ht="30" x14ac:dyDescent="0.25">
      <c r="A29" s="29">
        <v>1037124</v>
      </c>
      <c r="B29" s="29">
        <v>75</v>
      </c>
      <c r="C29" s="30" t="s">
        <v>204</v>
      </c>
      <c r="D29" s="30" t="s">
        <v>63</v>
      </c>
      <c r="E29" s="30" t="s">
        <v>212</v>
      </c>
      <c r="F29" s="30" t="s">
        <v>198</v>
      </c>
      <c r="G29" s="29" t="s">
        <v>183</v>
      </c>
      <c r="H29" s="29"/>
    </row>
    <row r="30" spans="1:8" x14ac:dyDescent="0.25">
      <c r="A30" s="29">
        <v>1033811</v>
      </c>
      <c r="B30" s="29">
        <v>76</v>
      </c>
      <c r="C30" s="30" t="s">
        <v>204</v>
      </c>
      <c r="D30" s="30" t="s">
        <v>64</v>
      </c>
      <c r="E30" s="30" t="s">
        <v>212</v>
      </c>
      <c r="F30" s="30" t="s">
        <v>198</v>
      </c>
      <c r="G30" s="29" t="s">
        <v>183</v>
      </c>
      <c r="H30" s="29"/>
    </row>
    <row r="31" spans="1:8" x14ac:dyDescent="0.25">
      <c r="A31" s="29">
        <v>69902</v>
      </c>
      <c r="B31" s="29">
        <v>78</v>
      </c>
      <c r="C31" s="30" t="s">
        <v>204</v>
      </c>
      <c r="D31" s="30" t="s">
        <v>65</v>
      </c>
      <c r="E31" s="30" t="s">
        <v>212</v>
      </c>
      <c r="F31" s="30" t="s">
        <v>198</v>
      </c>
      <c r="G31" s="29" t="s">
        <v>183</v>
      </c>
      <c r="H31" s="29"/>
    </row>
    <row r="32" spans="1:8" x14ac:dyDescent="0.25">
      <c r="A32" s="29">
        <v>64972</v>
      </c>
      <c r="B32" s="29">
        <v>86</v>
      </c>
      <c r="C32" s="30" t="s">
        <v>204</v>
      </c>
      <c r="D32" s="30" t="s">
        <v>41</v>
      </c>
      <c r="E32" s="30" t="s">
        <v>41</v>
      </c>
      <c r="F32" s="30" t="s">
        <v>198</v>
      </c>
      <c r="G32" s="29" t="s">
        <v>183</v>
      </c>
      <c r="H32" s="29"/>
    </row>
    <row r="33" spans="1:8" ht="60" x14ac:dyDescent="0.25">
      <c r="A33" s="29">
        <v>65502313952</v>
      </c>
      <c r="B33" s="29">
        <v>92</v>
      </c>
      <c r="C33" s="30" t="s">
        <v>204</v>
      </c>
      <c r="D33" s="30" t="s">
        <v>213</v>
      </c>
      <c r="E33" s="30" t="s">
        <v>214</v>
      </c>
      <c r="F33" s="30" t="s">
        <v>166</v>
      </c>
      <c r="G33" s="29" t="s">
        <v>183</v>
      </c>
      <c r="H33" s="29"/>
    </row>
    <row r="34" spans="1:8" x14ac:dyDescent="0.25">
      <c r="A34" s="29">
        <v>65502425394</v>
      </c>
      <c r="B34" s="45">
        <v>93</v>
      </c>
      <c r="C34" s="30" t="s">
        <v>197</v>
      </c>
      <c r="D34" s="30" t="s">
        <v>66</v>
      </c>
      <c r="E34" s="30" t="s">
        <v>215</v>
      </c>
      <c r="F34" s="30" t="s">
        <v>166</v>
      </c>
      <c r="G34" s="29" t="s">
        <v>183</v>
      </c>
      <c r="H34" s="29"/>
    </row>
    <row r="35" spans="1:8" x14ac:dyDescent="0.25">
      <c r="A35" s="29">
        <v>1002455</v>
      </c>
      <c r="B35" s="29">
        <v>94</v>
      </c>
      <c r="C35" s="30" t="s">
        <v>204</v>
      </c>
      <c r="D35" s="30" t="s">
        <v>67</v>
      </c>
      <c r="E35" s="30" t="s">
        <v>216</v>
      </c>
      <c r="F35" s="30" t="s">
        <v>202</v>
      </c>
      <c r="G35" s="29" t="s">
        <v>183</v>
      </c>
      <c r="H35" s="29"/>
    </row>
    <row r="36" spans="1:8" ht="30" x14ac:dyDescent="0.25">
      <c r="A36" s="29">
        <v>152965</v>
      </c>
      <c r="B36" s="29">
        <v>105</v>
      </c>
      <c r="C36" s="30" t="s">
        <v>197</v>
      </c>
      <c r="D36" s="30" t="s">
        <v>68</v>
      </c>
      <c r="E36" s="30" t="s">
        <v>217</v>
      </c>
      <c r="F36" s="30" t="s">
        <v>198</v>
      </c>
      <c r="G36" s="29" t="s">
        <v>183</v>
      </c>
      <c r="H36" s="29"/>
    </row>
    <row r="37" spans="1:8" ht="60" x14ac:dyDescent="0.25">
      <c r="A37" s="29">
        <v>1005849</v>
      </c>
      <c r="B37" s="29">
        <v>114</v>
      </c>
      <c r="C37" s="30" t="s">
        <v>204</v>
      </c>
      <c r="D37" s="30" t="s">
        <v>218</v>
      </c>
      <c r="E37" s="30" t="s">
        <v>219</v>
      </c>
      <c r="F37" s="30" t="s">
        <v>167</v>
      </c>
      <c r="G37" s="29" t="s">
        <v>183</v>
      </c>
      <c r="H37" s="29"/>
    </row>
    <row r="38" spans="1:8" x14ac:dyDescent="0.25">
      <c r="A38" s="29">
        <v>78665</v>
      </c>
      <c r="B38" s="29">
        <v>118</v>
      </c>
      <c r="C38" s="30" t="s">
        <v>204</v>
      </c>
      <c r="D38" s="30" t="s">
        <v>223</v>
      </c>
      <c r="E38" s="30" t="s">
        <v>142</v>
      </c>
      <c r="F38" s="30" t="s">
        <v>166</v>
      </c>
      <c r="G38" s="29"/>
      <c r="H38" s="29" t="s">
        <v>183</v>
      </c>
    </row>
    <row r="39" spans="1:8" x14ac:dyDescent="0.25">
      <c r="A39" s="29">
        <v>78666</v>
      </c>
      <c r="B39" s="29">
        <v>118</v>
      </c>
      <c r="C39" s="30" t="s">
        <v>204</v>
      </c>
      <c r="D39" s="30" t="s">
        <v>224</v>
      </c>
      <c r="E39" s="30" t="s">
        <v>142</v>
      </c>
      <c r="F39" s="30" t="s">
        <v>166</v>
      </c>
      <c r="G39" s="29"/>
      <c r="H39" s="29" t="s">
        <v>183</v>
      </c>
    </row>
    <row r="40" spans="1:8" x14ac:dyDescent="0.25">
      <c r="A40" s="29">
        <v>2000216</v>
      </c>
      <c r="B40" s="29">
        <v>118</v>
      </c>
      <c r="C40" s="30" t="s">
        <v>204</v>
      </c>
      <c r="D40" s="30" t="s">
        <v>225</v>
      </c>
      <c r="E40" s="30" t="s">
        <v>142</v>
      </c>
      <c r="F40" s="30" t="s">
        <v>166</v>
      </c>
      <c r="G40" s="29"/>
      <c r="H40" s="29" t="s">
        <v>183</v>
      </c>
    </row>
    <row r="41" spans="1:8" x14ac:dyDescent="0.25">
      <c r="A41" s="29">
        <v>2000217</v>
      </c>
      <c r="B41" s="29">
        <v>118</v>
      </c>
      <c r="C41" s="30" t="s">
        <v>204</v>
      </c>
      <c r="D41" s="30" t="s">
        <v>226</v>
      </c>
      <c r="E41" s="30" t="s">
        <v>142</v>
      </c>
      <c r="F41" s="30" t="s">
        <v>166</v>
      </c>
      <c r="G41" s="29"/>
      <c r="H41" s="29" t="s">
        <v>183</v>
      </c>
    </row>
    <row r="42" spans="1:8" x14ac:dyDescent="0.25">
      <c r="A42" s="29">
        <v>2000218</v>
      </c>
      <c r="B42" s="29">
        <v>118</v>
      </c>
      <c r="C42" s="30" t="s">
        <v>204</v>
      </c>
      <c r="D42" s="30" t="s">
        <v>227</v>
      </c>
      <c r="E42" s="30" t="s">
        <v>142</v>
      </c>
      <c r="F42" s="30" t="s">
        <v>166</v>
      </c>
      <c r="G42" s="29"/>
      <c r="H42" s="29" t="s">
        <v>183</v>
      </c>
    </row>
    <row r="43" spans="1:8" x14ac:dyDescent="0.25">
      <c r="A43" s="29">
        <v>2000219</v>
      </c>
      <c r="B43" s="29">
        <v>118</v>
      </c>
      <c r="C43" s="30" t="s">
        <v>204</v>
      </c>
      <c r="D43" s="30" t="s">
        <v>228</v>
      </c>
      <c r="E43" s="30" t="s">
        <v>142</v>
      </c>
      <c r="F43" s="30" t="s">
        <v>166</v>
      </c>
      <c r="G43" s="29"/>
      <c r="H43" s="29" t="s">
        <v>183</v>
      </c>
    </row>
    <row r="44" spans="1:8" x14ac:dyDescent="0.25">
      <c r="A44" s="29">
        <v>2000220</v>
      </c>
      <c r="B44" s="29">
        <v>118</v>
      </c>
      <c r="C44" s="30" t="s">
        <v>204</v>
      </c>
      <c r="D44" s="30" t="s">
        <v>229</v>
      </c>
      <c r="E44" s="30" t="s">
        <v>142</v>
      </c>
      <c r="F44" s="30" t="s">
        <v>166</v>
      </c>
      <c r="G44" s="29"/>
      <c r="H44" s="29" t="s">
        <v>183</v>
      </c>
    </row>
    <row r="45" spans="1:8" x14ac:dyDescent="0.25">
      <c r="A45" s="29">
        <v>2000221</v>
      </c>
      <c r="B45" s="29">
        <v>118</v>
      </c>
      <c r="C45" s="30" t="s">
        <v>204</v>
      </c>
      <c r="D45" s="30" t="s">
        <v>230</v>
      </c>
      <c r="E45" s="30" t="s">
        <v>142</v>
      </c>
      <c r="F45" s="30" t="s">
        <v>166</v>
      </c>
      <c r="G45" s="29"/>
      <c r="H45" s="29" t="s">
        <v>183</v>
      </c>
    </row>
    <row r="46" spans="1:8" x14ac:dyDescent="0.25">
      <c r="A46" s="29">
        <v>2000240</v>
      </c>
      <c r="B46" s="29">
        <v>120</v>
      </c>
      <c r="C46" s="30" t="s">
        <v>204</v>
      </c>
      <c r="D46" s="30" t="s">
        <v>231</v>
      </c>
      <c r="E46" s="30" t="s">
        <v>232</v>
      </c>
      <c r="F46" s="30" t="s">
        <v>166</v>
      </c>
      <c r="G46" s="29" t="s">
        <v>183</v>
      </c>
      <c r="H46" s="29"/>
    </row>
    <row r="47" spans="1:8" x14ac:dyDescent="0.25">
      <c r="A47" s="29">
        <v>2000241</v>
      </c>
      <c r="B47" s="29">
        <v>120</v>
      </c>
      <c r="C47" s="30" t="s">
        <v>204</v>
      </c>
      <c r="D47" s="30" t="s">
        <v>233</v>
      </c>
      <c r="E47" s="30" t="s">
        <v>232</v>
      </c>
      <c r="F47" s="30" t="s">
        <v>166</v>
      </c>
      <c r="G47" s="29" t="s">
        <v>183</v>
      </c>
      <c r="H47" s="29"/>
    </row>
    <row r="48" spans="1:8" x14ac:dyDescent="0.25">
      <c r="A48" s="29">
        <v>2000238</v>
      </c>
      <c r="B48" s="29">
        <v>121</v>
      </c>
      <c r="C48" s="30" t="s">
        <v>204</v>
      </c>
      <c r="D48" s="30" t="s">
        <v>234</v>
      </c>
      <c r="E48" s="30" t="s">
        <v>232</v>
      </c>
      <c r="F48" s="30" t="s">
        <v>166</v>
      </c>
      <c r="G48" s="29" t="s">
        <v>183</v>
      </c>
      <c r="H48" s="29"/>
    </row>
    <row r="49" spans="1:8" x14ac:dyDescent="0.25">
      <c r="A49" s="29">
        <v>2000239</v>
      </c>
      <c r="B49" s="29">
        <v>121</v>
      </c>
      <c r="C49" s="30" t="s">
        <v>204</v>
      </c>
      <c r="D49" s="30" t="s">
        <v>235</v>
      </c>
      <c r="E49" s="30" t="s">
        <v>232</v>
      </c>
      <c r="F49" s="30" t="s">
        <v>166</v>
      </c>
      <c r="G49" s="29" t="s">
        <v>183</v>
      </c>
      <c r="H49" s="29"/>
    </row>
    <row r="50" spans="1:8" x14ac:dyDescent="0.25">
      <c r="A50" s="29">
        <v>65501387259</v>
      </c>
      <c r="B50" s="29">
        <v>122</v>
      </c>
      <c r="C50" s="30" t="s">
        <v>204</v>
      </c>
      <c r="D50" s="30" t="s">
        <v>42</v>
      </c>
      <c r="E50" s="30" t="s">
        <v>42</v>
      </c>
      <c r="F50" s="30" t="s">
        <v>166</v>
      </c>
      <c r="G50" s="29" t="s">
        <v>183</v>
      </c>
      <c r="H50" s="29"/>
    </row>
    <row r="51" spans="1:8" x14ac:dyDescent="0.25">
      <c r="A51" s="29">
        <v>1013187</v>
      </c>
      <c r="B51" s="29">
        <v>127</v>
      </c>
      <c r="C51" s="30" t="s">
        <v>204</v>
      </c>
      <c r="D51" s="30" t="s">
        <v>43</v>
      </c>
      <c r="E51" s="30" t="s">
        <v>236</v>
      </c>
      <c r="F51" s="30" t="s">
        <v>166</v>
      </c>
      <c r="G51" s="29" t="s">
        <v>183</v>
      </c>
      <c r="H51" s="29"/>
    </row>
    <row r="52" spans="1:8" x14ac:dyDescent="0.25">
      <c r="A52" s="29">
        <v>2000486</v>
      </c>
      <c r="B52" s="29">
        <v>128</v>
      </c>
      <c r="C52" s="30" t="s">
        <v>204</v>
      </c>
      <c r="D52" s="30" t="s">
        <v>171</v>
      </c>
      <c r="E52" s="30" t="s">
        <v>221</v>
      </c>
      <c r="F52" s="30" t="s">
        <v>198</v>
      </c>
      <c r="G52" s="29" t="s">
        <v>183</v>
      </c>
      <c r="H52" s="29"/>
    </row>
    <row r="53" spans="1:8" x14ac:dyDescent="0.25">
      <c r="A53" s="29">
        <v>71535</v>
      </c>
      <c r="B53" s="29">
        <v>1071</v>
      </c>
      <c r="C53" s="30" t="s">
        <v>197</v>
      </c>
      <c r="D53" s="30" t="s">
        <v>237</v>
      </c>
      <c r="E53" s="30" t="s">
        <v>238</v>
      </c>
      <c r="F53" s="30" t="s">
        <v>166</v>
      </c>
      <c r="G53" s="29"/>
      <c r="H53" s="29" t="s">
        <v>183</v>
      </c>
    </row>
    <row r="54" spans="1:8" x14ac:dyDescent="0.25">
      <c r="A54" s="29">
        <v>71532</v>
      </c>
      <c r="B54" s="29">
        <v>1071</v>
      </c>
      <c r="C54" s="30" t="s">
        <v>197</v>
      </c>
      <c r="D54" s="30" t="s">
        <v>239</v>
      </c>
      <c r="E54" s="30" t="s">
        <v>238</v>
      </c>
      <c r="F54" s="30" t="s">
        <v>166</v>
      </c>
      <c r="G54" s="29"/>
      <c r="H54" s="29" t="s">
        <v>183</v>
      </c>
    </row>
    <row r="55" spans="1:8" x14ac:dyDescent="0.25">
      <c r="A55" s="29">
        <v>1031629</v>
      </c>
      <c r="B55" s="29">
        <v>1074</v>
      </c>
      <c r="C55" s="30" t="s">
        <v>204</v>
      </c>
      <c r="D55" s="30" t="s">
        <v>71</v>
      </c>
      <c r="E55" s="30" t="s">
        <v>240</v>
      </c>
      <c r="F55" s="30" t="s">
        <v>166</v>
      </c>
      <c r="G55" s="29" t="s">
        <v>183</v>
      </c>
      <c r="H55" s="29"/>
    </row>
    <row r="56" spans="1:8" x14ac:dyDescent="0.25">
      <c r="A56" s="29">
        <v>1031627</v>
      </c>
      <c r="B56" s="29">
        <v>1074</v>
      </c>
      <c r="C56" s="30" t="s">
        <v>204</v>
      </c>
      <c r="D56" s="30" t="s">
        <v>72</v>
      </c>
      <c r="E56" s="30" t="s">
        <v>240</v>
      </c>
      <c r="F56" s="30" t="s">
        <v>166</v>
      </c>
      <c r="G56" s="29" t="s">
        <v>183</v>
      </c>
      <c r="H56" s="29"/>
    </row>
    <row r="57" spans="1:8" ht="30" x14ac:dyDescent="0.25">
      <c r="A57" s="29">
        <v>142481</v>
      </c>
      <c r="B57" s="29">
        <v>1081</v>
      </c>
      <c r="C57" s="30" t="s">
        <v>204</v>
      </c>
      <c r="D57" s="30" t="s">
        <v>73</v>
      </c>
      <c r="E57" s="34" t="s">
        <v>216</v>
      </c>
      <c r="F57" s="30" t="s">
        <v>202</v>
      </c>
      <c r="G57" s="29" t="s">
        <v>183</v>
      </c>
      <c r="H57" s="29"/>
    </row>
    <row r="58" spans="1:8" ht="30" x14ac:dyDescent="0.25">
      <c r="A58" s="29">
        <v>142482</v>
      </c>
      <c r="B58" s="29">
        <v>1082</v>
      </c>
      <c r="C58" s="30" t="s">
        <v>204</v>
      </c>
      <c r="D58" s="30" t="s">
        <v>74</v>
      </c>
      <c r="E58" s="34" t="s">
        <v>216</v>
      </c>
      <c r="F58" s="30" t="s">
        <v>202</v>
      </c>
      <c r="G58" s="29" t="s">
        <v>183</v>
      </c>
      <c r="H58" s="29"/>
    </row>
    <row r="59" spans="1:8" ht="45" x14ac:dyDescent="0.25">
      <c r="A59" s="29">
        <v>65507665273</v>
      </c>
      <c r="B59" s="29">
        <v>1094</v>
      </c>
      <c r="C59" s="30" t="s">
        <v>204</v>
      </c>
      <c r="D59" s="30" t="s">
        <v>75</v>
      </c>
      <c r="E59" s="30" t="s">
        <v>209</v>
      </c>
      <c r="F59" s="30" t="s">
        <v>166</v>
      </c>
      <c r="G59" s="29" t="s">
        <v>183</v>
      </c>
      <c r="H59" s="29"/>
    </row>
    <row r="60" spans="1:8" x14ac:dyDescent="0.25">
      <c r="A60" s="27">
        <v>75655</v>
      </c>
      <c r="B60" s="27">
        <v>1097</v>
      </c>
      <c r="C60" s="26" t="s">
        <v>204</v>
      </c>
      <c r="D60" s="26" t="s">
        <v>76</v>
      </c>
      <c r="E60" s="30" t="s">
        <v>76</v>
      </c>
      <c r="F60" s="30" t="s">
        <v>198</v>
      </c>
      <c r="G60" s="29" t="s">
        <v>183</v>
      </c>
      <c r="H60" s="29"/>
    </row>
    <row r="61" spans="1:8" x14ac:dyDescent="0.25">
      <c r="A61" s="29">
        <v>75145</v>
      </c>
      <c r="B61" s="29">
        <v>1800</v>
      </c>
      <c r="C61" s="30" t="s">
        <v>197</v>
      </c>
      <c r="D61" s="30" t="s">
        <v>77</v>
      </c>
      <c r="E61" s="30" t="s">
        <v>241</v>
      </c>
      <c r="F61" s="30" t="s">
        <v>166</v>
      </c>
      <c r="G61" s="29" t="s">
        <v>183</v>
      </c>
      <c r="H61" s="29"/>
    </row>
    <row r="62" spans="1:8" x14ac:dyDescent="0.25">
      <c r="A62" s="29">
        <v>75146</v>
      </c>
      <c r="B62" s="29">
        <v>1800</v>
      </c>
      <c r="C62" s="30" t="s">
        <v>197</v>
      </c>
      <c r="D62" s="30" t="s">
        <v>78</v>
      </c>
      <c r="E62" s="30" t="s">
        <v>241</v>
      </c>
      <c r="F62" s="30" t="s">
        <v>166</v>
      </c>
      <c r="G62" s="29" t="s">
        <v>183</v>
      </c>
      <c r="H62" s="29"/>
    </row>
    <row r="63" spans="1:8" x14ac:dyDescent="0.25">
      <c r="A63" s="29">
        <v>65507430562</v>
      </c>
      <c r="B63" s="29" t="s">
        <v>242</v>
      </c>
      <c r="C63" s="30" t="s">
        <v>165</v>
      </c>
      <c r="D63" s="30" t="s">
        <v>243</v>
      </c>
      <c r="E63" s="30" t="s">
        <v>243</v>
      </c>
      <c r="F63" s="30" t="s">
        <v>198</v>
      </c>
      <c r="G63" s="29" t="s">
        <v>183</v>
      </c>
      <c r="H63" s="29"/>
    </row>
    <row r="64" spans="1:8" x14ac:dyDescent="0.25">
      <c r="A64" s="29">
        <v>2000182</v>
      </c>
      <c r="B64" s="29">
        <v>2500</v>
      </c>
      <c r="C64" s="30" t="s">
        <v>204</v>
      </c>
      <c r="D64" s="30" t="s">
        <v>141</v>
      </c>
      <c r="E64" s="30" t="s">
        <v>142</v>
      </c>
      <c r="F64" s="30" t="s">
        <v>166</v>
      </c>
      <c r="G64" s="29"/>
      <c r="H64" s="29" t="s">
        <v>183</v>
      </c>
    </row>
    <row r="65" spans="1:8" x14ac:dyDescent="0.25">
      <c r="A65" s="29">
        <v>2000183</v>
      </c>
      <c r="B65" s="29">
        <v>2500</v>
      </c>
      <c r="C65" s="30" t="s">
        <v>204</v>
      </c>
      <c r="D65" s="30" t="s">
        <v>244</v>
      </c>
      <c r="E65" s="30" t="s">
        <v>142</v>
      </c>
      <c r="F65" s="30" t="s">
        <v>166</v>
      </c>
      <c r="G65" s="29"/>
      <c r="H65" s="29" t="s">
        <v>183</v>
      </c>
    </row>
    <row r="66" spans="1:8" x14ac:dyDescent="0.25">
      <c r="A66" s="29">
        <v>1012259</v>
      </c>
      <c r="B66" s="29">
        <v>2600</v>
      </c>
      <c r="C66" s="30" t="s">
        <v>204</v>
      </c>
      <c r="D66" s="30" t="s">
        <v>284</v>
      </c>
      <c r="E66" s="30" t="s">
        <v>142</v>
      </c>
      <c r="F66" s="30" t="s">
        <v>166</v>
      </c>
      <c r="G66" s="29"/>
      <c r="H66" s="29" t="s">
        <v>183</v>
      </c>
    </row>
    <row r="67" spans="1:8" x14ac:dyDescent="0.25">
      <c r="A67" s="29">
        <v>1012260</v>
      </c>
      <c r="B67" s="29">
        <v>2600</v>
      </c>
      <c r="C67" s="30" t="s">
        <v>204</v>
      </c>
      <c r="D67" s="30" t="s">
        <v>285</v>
      </c>
      <c r="E67" s="30" t="s">
        <v>142</v>
      </c>
      <c r="F67" s="30" t="s">
        <v>166</v>
      </c>
      <c r="G67" s="29"/>
      <c r="H67" s="29" t="s">
        <v>183</v>
      </c>
    </row>
    <row r="68" spans="1:8" x14ac:dyDescent="0.25">
      <c r="A68" s="29">
        <v>2000423</v>
      </c>
      <c r="B68" s="29">
        <v>2700</v>
      </c>
      <c r="C68" s="30" t="s">
        <v>204</v>
      </c>
      <c r="D68" s="30" t="s">
        <v>178</v>
      </c>
      <c r="E68" s="30" t="s">
        <v>142</v>
      </c>
      <c r="F68" s="30" t="s">
        <v>166</v>
      </c>
      <c r="G68" s="29"/>
      <c r="H68" s="29" t="s">
        <v>183</v>
      </c>
    </row>
    <row r="69" spans="1:8" x14ac:dyDescent="0.25">
      <c r="A69" s="29">
        <v>2000424</v>
      </c>
      <c r="B69" s="29">
        <v>2700</v>
      </c>
      <c r="C69" s="30" t="s">
        <v>204</v>
      </c>
      <c r="D69" s="30" t="s">
        <v>179</v>
      </c>
      <c r="E69" s="30" t="s">
        <v>142</v>
      </c>
      <c r="F69" s="30" t="s">
        <v>166</v>
      </c>
      <c r="G69" s="29"/>
      <c r="H69" s="29" t="s">
        <v>183</v>
      </c>
    </row>
    <row r="70" spans="1:8" x14ac:dyDescent="0.25">
      <c r="A70" s="29">
        <v>2000780</v>
      </c>
      <c r="B70" s="29">
        <v>2777</v>
      </c>
      <c r="C70" s="30" t="s">
        <v>204</v>
      </c>
      <c r="D70" s="30" t="s">
        <v>286</v>
      </c>
      <c r="E70" s="30" t="s">
        <v>142</v>
      </c>
      <c r="F70" s="30" t="s">
        <v>166</v>
      </c>
      <c r="G70" s="29"/>
      <c r="H70" s="29" t="s">
        <v>183</v>
      </c>
    </row>
    <row r="71" spans="1:8" x14ac:dyDescent="0.25">
      <c r="A71" s="29">
        <v>2000779</v>
      </c>
      <c r="B71" s="29">
        <v>2777</v>
      </c>
      <c r="C71" s="30" t="s">
        <v>204</v>
      </c>
      <c r="D71" s="30" t="s">
        <v>287</v>
      </c>
      <c r="E71" s="30" t="s">
        <v>142</v>
      </c>
      <c r="F71" s="30" t="s">
        <v>166</v>
      </c>
      <c r="G71" s="29"/>
      <c r="H71" s="29" t="s">
        <v>183</v>
      </c>
    </row>
    <row r="72" spans="1:8" x14ac:dyDescent="0.25">
      <c r="A72" s="29">
        <v>2001047</v>
      </c>
      <c r="B72" s="29">
        <v>2779</v>
      </c>
      <c r="C72" s="30" t="s">
        <v>204</v>
      </c>
      <c r="D72" s="30" t="s">
        <v>288</v>
      </c>
      <c r="E72" s="35" t="s">
        <v>142</v>
      </c>
      <c r="F72" s="30" t="s">
        <v>166</v>
      </c>
      <c r="G72" s="29"/>
      <c r="H72" s="29" t="s">
        <v>183</v>
      </c>
    </row>
    <row r="73" spans="1:8" x14ac:dyDescent="0.25">
      <c r="A73" s="29">
        <v>2001046</v>
      </c>
      <c r="B73" s="29">
        <v>2779</v>
      </c>
      <c r="C73" s="30" t="s">
        <v>204</v>
      </c>
      <c r="D73" s="30" t="s">
        <v>289</v>
      </c>
      <c r="E73" s="35" t="s">
        <v>142</v>
      </c>
      <c r="F73" s="30" t="s">
        <v>166</v>
      </c>
      <c r="G73" s="29"/>
      <c r="H73" s="29" t="s">
        <v>183</v>
      </c>
    </row>
    <row r="74" spans="1:8" x14ac:dyDescent="0.25">
      <c r="A74" s="36">
        <v>4031</v>
      </c>
      <c r="B74" s="29">
        <v>4031</v>
      </c>
      <c r="C74" s="30" t="s">
        <v>197</v>
      </c>
      <c r="D74" s="30" t="s">
        <v>163</v>
      </c>
      <c r="E74" s="35" t="s">
        <v>163</v>
      </c>
      <c r="F74" s="30" t="s">
        <v>198</v>
      </c>
      <c r="G74" s="29" t="s">
        <v>183</v>
      </c>
      <c r="H74" s="29"/>
    </row>
    <row r="75" spans="1:8" x14ac:dyDescent="0.25">
      <c r="A75" s="29">
        <v>1018014</v>
      </c>
      <c r="B75" s="29">
        <v>1018014</v>
      </c>
      <c r="C75" s="30" t="s">
        <v>204</v>
      </c>
      <c r="D75" s="30" t="s">
        <v>79</v>
      </c>
      <c r="E75" s="30" t="s">
        <v>79</v>
      </c>
      <c r="F75" s="30" t="s">
        <v>202</v>
      </c>
      <c r="G75" s="29" t="s">
        <v>183</v>
      </c>
      <c r="H75" s="29"/>
    </row>
    <row r="76" spans="1:8" ht="30" x14ac:dyDescent="0.25">
      <c r="A76" s="29">
        <v>1018122</v>
      </c>
      <c r="B76" s="29">
        <v>1018122</v>
      </c>
      <c r="C76" s="30" t="s">
        <v>204</v>
      </c>
      <c r="D76" s="30" t="s">
        <v>80</v>
      </c>
      <c r="E76" s="30" t="s">
        <v>216</v>
      </c>
      <c r="F76" s="30" t="s">
        <v>202</v>
      </c>
      <c r="G76" s="29" t="s">
        <v>183</v>
      </c>
      <c r="H76" s="29"/>
    </row>
    <row r="77" spans="1:8" x14ac:dyDescent="0.25">
      <c r="A77" s="29">
        <v>1018302</v>
      </c>
      <c r="B77" s="29">
        <v>1018302</v>
      </c>
      <c r="C77" s="30" t="s">
        <v>204</v>
      </c>
      <c r="D77" s="30" t="s">
        <v>81</v>
      </c>
      <c r="E77" s="30" t="s">
        <v>216</v>
      </c>
      <c r="F77" s="30" t="s">
        <v>202</v>
      </c>
      <c r="G77" s="29" t="s">
        <v>183</v>
      </c>
      <c r="H77" s="29"/>
    </row>
    <row r="78" spans="1:8" ht="30" x14ac:dyDescent="0.25">
      <c r="A78" s="29">
        <v>1031547</v>
      </c>
      <c r="B78" s="29">
        <v>1031547</v>
      </c>
      <c r="C78" s="30" t="s">
        <v>204</v>
      </c>
      <c r="D78" s="30" t="s">
        <v>34</v>
      </c>
      <c r="E78" s="30" t="s">
        <v>245</v>
      </c>
      <c r="F78" s="30" t="s">
        <v>198</v>
      </c>
      <c r="G78" s="29" t="s">
        <v>183</v>
      </c>
      <c r="H78" s="29"/>
    </row>
    <row r="79" spans="1:8" ht="30" x14ac:dyDescent="0.25">
      <c r="A79" s="29">
        <v>1031548</v>
      </c>
      <c r="B79" s="29">
        <v>1031548</v>
      </c>
      <c r="C79" s="30" t="s">
        <v>204</v>
      </c>
      <c r="D79" s="30" t="s">
        <v>35</v>
      </c>
      <c r="E79" s="30" t="s">
        <v>245</v>
      </c>
      <c r="F79" s="30" t="s">
        <v>198</v>
      </c>
      <c r="G79" s="29" t="s">
        <v>183</v>
      </c>
      <c r="H79" s="29"/>
    </row>
    <row r="80" spans="1:8" ht="30" x14ac:dyDescent="0.25">
      <c r="A80" s="29">
        <v>1031549</v>
      </c>
      <c r="B80" s="29">
        <v>1031549</v>
      </c>
      <c r="C80" s="30" t="s">
        <v>204</v>
      </c>
      <c r="D80" s="30" t="s">
        <v>36</v>
      </c>
      <c r="E80" s="30" t="s">
        <v>245</v>
      </c>
      <c r="F80" s="30" t="s">
        <v>198</v>
      </c>
      <c r="G80" s="29" t="s">
        <v>183</v>
      </c>
      <c r="H80" s="29"/>
    </row>
    <row r="81" spans="1:8" x14ac:dyDescent="0.25">
      <c r="A81" s="29">
        <v>1031550</v>
      </c>
      <c r="B81" s="29">
        <v>1031550</v>
      </c>
      <c r="C81" s="30" t="s">
        <v>204</v>
      </c>
      <c r="D81" s="30" t="s">
        <v>37</v>
      </c>
      <c r="E81" s="30" t="s">
        <v>245</v>
      </c>
      <c r="F81" s="30" t="s">
        <v>198</v>
      </c>
      <c r="G81" s="29" t="s">
        <v>183</v>
      </c>
      <c r="H81" s="29"/>
    </row>
    <row r="82" spans="1:8" ht="30" x14ac:dyDescent="0.25">
      <c r="A82" s="29">
        <v>1031551</v>
      </c>
      <c r="B82" s="29">
        <v>1031551</v>
      </c>
      <c r="C82" s="30" t="s">
        <v>204</v>
      </c>
      <c r="D82" s="30" t="s">
        <v>38</v>
      </c>
      <c r="E82" s="30" t="s">
        <v>245</v>
      </c>
      <c r="F82" s="33" t="s">
        <v>198</v>
      </c>
      <c r="G82" s="29" t="s">
        <v>183</v>
      </c>
      <c r="H82" s="29"/>
    </row>
    <row r="83" spans="1:8" x14ac:dyDescent="0.25">
      <c r="A83" s="27">
        <v>79971</v>
      </c>
      <c r="B83" s="27">
        <v>1032128</v>
      </c>
      <c r="C83" s="26" t="s">
        <v>197</v>
      </c>
      <c r="D83" s="26" t="s">
        <v>290</v>
      </c>
      <c r="E83" s="30" t="s">
        <v>290</v>
      </c>
      <c r="F83" s="30" t="s">
        <v>166</v>
      </c>
      <c r="G83" s="29" t="s">
        <v>183</v>
      </c>
      <c r="H83" s="29"/>
    </row>
    <row r="84" spans="1:8" ht="45" x14ac:dyDescent="0.25">
      <c r="A84" s="21">
        <v>1032873</v>
      </c>
      <c r="B84" s="29">
        <v>1032873</v>
      </c>
      <c r="C84" s="30" t="s">
        <v>165</v>
      </c>
      <c r="D84" s="30" t="s">
        <v>170</v>
      </c>
      <c r="E84" s="30" t="s">
        <v>170</v>
      </c>
      <c r="F84" s="30" t="s">
        <v>166</v>
      </c>
      <c r="G84" s="29" t="s">
        <v>183</v>
      </c>
      <c r="H84" s="29"/>
    </row>
    <row r="85" spans="1:8" x14ac:dyDescent="0.25">
      <c r="A85" s="27">
        <v>2000736</v>
      </c>
      <c r="B85" s="27">
        <v>2000736</v>
      </c>
      <c r="C85" s="26" t="s">
        <v>197</v>
      </c>
      <c r="D85" s="26" t="s">
        <v>86</v>
      </c>
      <c r="E85" s="30" t="s">
        <v>76</v>
      </c>
      <c r="F85" s="30" t="s">
        <v>198</v>
      </c>
      <c r="G85" s="29" t="s">
        <v>183</v>
      </c>
      <c r="H85" s="29"/>
    </row>
    <row r="86" spans="1:8" ht="30" x14ac:dyDescent="0.25">
      <c r="A86" s="29">
        <v>2000905</v>
      </c>
      <c r="B86" s="29">
        <v>2000905</v>
      </c>
      <c r="C86" s="30" t="s">
        <v>204</v>
      </c>
      <c r="D86" s="30" t="s">
        <v>45</v>
      </c>
      <c r="E86" s="30" t="s">
        <v>45</v>
      </c>
      <c r="F86" s="30" t="s">
        <v>166</v>
      </c>
      <c r="G86" s="29" t="s">
        <v>183</v>
      </c>
      <c r="H86" s="29"/>
    </row>
    <row r="87" spans="1:8" x14ac:dyDescent="0.25">
      <c r="A87" s="29">
        <v>65505283448</v>
      </c>
      <c r="B87" s="29" t="s">
        <v>96</v>
      </c>
      <c r="C87" s="30" t="s">
        <v>204</v>
      </c>
      <c r="D87" s="30" t="s">
        <v>246</v>
      </c>
      <c r="E87" s="30" t="s">
        <v>247</v>
      </c>
      <c r="F87" s="30" t="s">
        <v>198</v>
      </c>
      <c r="G87" s="29" t="s">
        <v>183</v>
      </c>
      <c r="H87" s="29"/>
    </row>
    <row r="88" spans="1:8" x14ac:dyDescent="0.25">
      <c r="A88" s="29">
        <v>65505283360</v>
      </c>
      <c r="B88" s="29" t="s">
        <v>97</v>
      </c>
      <c r="C88" s="30" t="s">
        <v>204</v>
      </c>
      <c r="D88" s="30" t="s">
        <v>248</v>
      </c>
      <c r="E88" s="30" t="s">
        <v>247</v>
      </c>
      <c r="F88" s="30" t="s">
        <v>198</v>
      </c>
      <c r="G88" s="29" t="s">
        <v>183</v>
      </c>
      <c r="H88" s="29"/>
    </row>
    <row r="89" spans="1:8" ht="45" x14ac:dyDescent="0.25">
      <c r="A89" s="29">
        <v>1018867</v>
      </c>
      <c r="B89" s="38" t="s">
        <v>93</v>
      </c>
      <c r="C89" s="37" t="s">
        <v>204</v>
      </c>
      <c r="D89" s="37" t="s">
        <v>249</v>
      </c>
      <c r="E89" s="22" t="s">
        <v>250</v>
      </c>
      <c r="F89" s="37" t="s">
        <v>198</v>
      </c>
      <c r="G89" s="38" t="s">
        <v>183</v>
      </c>
      <c r="H89" s="38"/>
    </row>
    <row r="90" spans="1:8" ht="30" x14ac:dyDescent="0.25">
      <c r="A90" s="29">
        <v>2000849</v>
      </c>
      <c r="B90" s="29" t="s">
        <v>174</v>
      </c>
      <c r="C90" s="30" t="s">
        <v>204</v>
      </c>
      <c r="D90" s="30" t="s">
        <v>251</v>
      </c>
      <c r="E90" s="30" t="s">
        <v>252</v>
      </c>
      <c r="F90" s="30" t="s">
        <v>198</v>
      </c>
      <c r="G90" s="29" t="s">
        <v>183</v>
      </c>
      <c r="H90" s="29"/>
    </row>
    <row r="91" spans="1:8" ht="30" x14ac:dyDescent="0.25">
      <c r="A91" s="29">
        <v>2000848</v>
      </c>
      <c r="B91" s="29" t="s">
        <v>173</v>
      </c>
      <c r="C91" s="30" t="s">
        <v>204</v>
      </c>
      <c r="D91" s="30" t="s">
        <v>253</v>
      </c>
      <c r="E91" s="30" t="s">
        <v>252</v>
      </c>
      <c r="F91" s="30" t="s">
        <v>198</v>
      </c>
      <c r="G91" s="29" t="s">
        <v>183</v>
      </c>
      <c r="H91" s="29"/>
    </row>
    <row r="92" spans="1:8" ht="30" x14ac:dyDescent="0.25">
      <c r="A92" s="29">
        <v>65501372909</v>
      </c>
      <c r="B92" s="29" t="s">
        <v>94</v>
      </c>
      <c r="C92" s="30" t="s">
        <v>204</v>
      </c>
      <c r="D92" s="30" t="s">
        <v>95</v>
      </c>
      <c r="E92" s="30" t="s">
        <v>254</v>
      </c>
      <c r="F92" s="30" t="s">
        <v>198</v>
      </c>
      <c r="G92" s="29" t="s">
        <v>183</v>
      </c>
      <c r="H92" s="29"/>
    </row>
    <row r="93" spans="1:8" x14ac:dyDescent="0.25">
      <c r="A93" s="29">
        <v>1031340</v>
      </c>
      <c r="B93" s="29" t="s">
        <v>100</v>
      </c>
      <c r="C93" s="30" t="s">
        <v>204</v>
      </c>
      <c r="D93" s="30" t="s">
        <v>101</v>
      </c>
      <c r="E93" s="30" t="s">
        <v>101</v>
      </c>
      <c r="F93" s="30" t="s">
        <v>198</v>
      </c>
      <c r="G93" s="29" t="s">
        <v>183</v>
      </c>
      <c r="H93" s="29"/>
    </row>
    <row r="94" spans="1:8" x14ac:dyDescent="0.25">
      <c r="A94" s="27">
        <v>2000522</v>
      </c>
      <c r="B94" s="27" t="s">
        <v>47</v>
      </c>
      <c r="C94" s="26" t="s">
        <v>204</v>
      </c>
      <c r="D94" s="26" t="s">
        <v>48</v>
      </c>
      <c r="E94" s="30" t="s">
        <v>48</v>
      </c>
      <c r="F94" s="30" t="s">
        <v>198</v>
      </c>
      <c r="G94" s="29" t="s">
        <v>183</v>
      </c>
      <c r="H94" s="29"/>
    </row>
    <row r="95" spans="1:8" x14ac:dyDescent="0.25">
      <c r="A95" s="29">
        <v>65505283309</v>
      </c>
      <c r="B95" s="29" t="s">
        <v>98</v>
      </c>
      <c r="C95" s="30" t="s">
        <v>204</v>
      </c>
      <c r="D95" s="30" t="s">
        <v>98</v>
      </c>
      <c r="E95" s="30" t="s">
        <v>247</v>
      </c>
      <c r="F95" s="30" t="s">
        <v>198</v>
      </c>
      <c r="G95" s="29" t="s">
        <v>183</v>
      </c>
      <c r="H95" s="29"/>
    </row>
    <row r="96" spans="1:8" x14ac:dyDescent="0.25">
      <c r="A96" s="29">
        <v>2000574</v>
      </c>
      <c r="B96" s="29" t="s">
        <v>172</v>
      </c>
      <c r="C96" s="30" t="s">
        <v>204</v>
      </c>
      <c r="D96" s="30" t="s">
        <v>255</v>
      </c>
      <c r="E96" s="30" t="s">
        <v>172</v>
      </c>
      <c r="F96" s="30" t="s">
        <v>166</v>
      </c>
      <c r="G96" s="29" t="s">
        <v>183</v>
      </c>
      <c r="H96" s="29"/>
    </row>
    <row r="97" spans="1:8" x14ac:dyDescent="0.25">
      <c r="A97" s="29">
        <v>2000577</v>
      </c>
      <c r="B97" s="29" t="s">
        <v>172</v>
      </c>
      <c r="C97" s="30" t="s">
        <v>204</v>
      </c>
      <c r="D97" s="30" t="s">
        <v>255</v>
      </c>
      <c r="E97" s="30" t="s">
        <v>172</v>
      </c>
      <c r="F97" s="30" t="s">
        <v>166</v>
      </c>
      <c r="G97" s="29" t="s">
        <v>183</v>
      </c>
      <c r="H97" s="29"/>
    </row>
    <row r="98" spans="1:8" x14ac:dyDescent="0.25">
      <c r="A98" s="29">
        <v>2000575</v>
      </c>
      <c r="B98" s="29" t="s">
        <v>172</v>
      </c>
      <c r="C98" s="30" t="s">
        <v>204</v>
      </c>
      <c r="D98" s="30" t="s">
        <v>255</v>
      </c>
      <c r="E98" s="30" t="s">
        <v>172</v>
      </c>
      <c r="F98" s="30" t="s">
        <v>166</v>
      </c>
      <c r="G98" s="29" t="s">
        <v>183</v>
      </c>
      <c r="H98" s="29"/>
    </row>
    <row r="99" spans="1:8" x14ac:dyDescent="0.25">
      <c r="A99" s="29">
        <v>2000576</v>
      </c>
      <c r="B99" s="29" t="s">
        <v>172</v>
      </c>
      <c r="C99" s="30" t="s">
        <v>204</v>
      </c>
      <c r="D99" s="30" t="s">
        <v>255</v>
      </c>
      <c r="E99" s="30" t="s">
        <v>172</v>
      </c>
      <c r="F99" s="30" t="s">
        <v>166</v>
      </c>
      <c r="G99" s="29" t="s">
        <v>183</v>
      </c>
      <c r="H99" s="30"/>
    </row>
    <row r="100" spans="1:8" ht="45" x14ac:dyDescent="0.25">
      <c r="A100" s="29">
        <v>2000926</v>
      </c>
      <c r="B100" s="29" t="s">
        <v>256</v>
      </c>
      <c r="C100" s="30" t="s">
        <v>204</v>
      </c>
      <c r="D100" s="30" t="s">
        <v>257</v>
      </c>
      <c r="E100" s="30" t="s">
        <v>258</v>
      </c>
      <c r="F100" s="30" t="s">
        <v>259</v>
      </c>
      <c r="G100" s="29" t="s">
        <v>183</v>
      </c>
      <c r="H100" s="29"/>
    </row>
    <row r="101" spans="1:8" ht="30" x14ac:dyDescent="0.25">
      <c r="A101" s="29">
        <v>2000928</v>
      </c>
      <c r="B101" s="29" t="s">
        <v>57</v>
      </c>
      <c r="C101" s="30" t="s">
        <v>204</v>
      </c>
      <c r="D101" s="30" t="s">
        <v>260</v>
      </c>
      <c r="E101" s="30" t="s">
        <v>261</v>
      </c>
      <c r="F101" s="30" t="s">
        <v>166</v>
      </c>
      <c r="G101" s="29" t="s">
        <v>183</v>
      </c>
      <c r="H101" s="29"/>
    </row>
    <row r="102" spans="1:8" ht="45" x14ac:dyDescent="0.25">
      <c r="A102" s="29">
        <v>2000927</v>
      </c>
      <c r="B102" s="29" t="s">
        <v>56</v>
      </c>
      <c r="C102" s="30" t="s">
        <v>204</v>
      </c>
      <c r="D102" s="30" t="s">
        <v>262</v>
      </c>
      <c r="E102" s="30" t="s">
        <v>263</v>
      </c>
      <c r="F102" s="30" t="s">
        <v>166</v>
      </c>
      <c r="G102" s="29" t="s">
        <v>183</v>
      </c>
      <c r="H102" s="29"/>
    </row>
    <row r="103" spans="1:8" ht="30" x14ac:dyDescent="0.25">
      <c r="A103" s="29">
        <v>65505569851</v>
      </c>
      <c r="B103" s="29" t="s">
        <v>146</v>
      </c>
      <c r="C103" s="30" t="s">
        <v>204</v>
      </c>
      <c r="D103" s="30" t="s">
        <v>168</v>
      </c>
      <c r="E103" s="30" t="s">
        <v>147</v>
      </c>
      <c r="F103" s="30" t="s">
        <v>198</v>
      </c>
      <c r="G103" s="29" t="s">
        <v>183</v>
      </c>
      <c r="H103" s="29"/>
    </row>
    <row r="104" spans="1:8" ht="30" x14ac:dyDescent="0.25">
      <c r="A104" s="29">
        <v>2000534</v>
      </c>
      <c r="B104" s="29" t="s">
        <v>50</v>
      </c>
      <c r="C104" s="30" t="s">
        <v>204</v>
      </c>
      <c r="D104" s="30" t="s">
        <v>51</v>
      </c>
      <c r="E104" s="30" t="s">
        <v>51</v>
      </c>
      <c r="F104" s="30" t="s">
        <v>259</v>
      </c>
      <c r="G104" s="29" t="s">
        <v>183</v>
      </c>
      <c r="H104" s="29"/>
    </row>
    <row r="105" spans="1:8" ht="30" x14ac:dyDescent="0.25">
      <c r="A105" s="29">
        <v>2000470</v>
      </c>
      <c r="B105" s="29" t="s">
        <v>89</v>
      </c>
      <c r="C105" s="30" t="s">
        <v>204</v>
      </c>
      <c r="D105" s="30" t="s">
        <v>264</v>
      </c>
      <c r="E105" s="30" t="s">
        <v>265</v>
      </c>
      <c r="F105" s="30" t="s">
        <v>198</v>
      </c>
      <c r="G105" s="29" t="s">
        <v>183</v>
      </c>
      <c r="H105" s="29"/>
    </row>
    <row r="106" spans="1:8" x14ac:dyDescent="0.25">
      <c r="A106" s="29">
        <v>65505285253</v>
      </c>
      <c r="B106" s="29" t="s">
        <v>99</v>
      </c>
      <c r="C106" s="30" t="s">
        <v>204</v>
      </c>
      <c r="D106" s="30" t="s">
        <v>99</v>
      </c>
      <c r="E106" s="30" t="s">
        <v>247</v>
      </c>
      <c r="F106" s="29" t="s">
        <v>198</v>
      </c>
      <c r="G106" s="29"/>
      <c r="H106" s="30"/>
    </row>
    <row r="107" spans="1:8" ht="30" x14ac:dyDescent="0.25">
      <c r="A107" s="29">
        <v>2000469</v>
      </c>
      <c r="B107" s="29" t="s">
        <v>90</v>
      </c>
      <c r="C107" s="30" t="s">
        <v>204</v>
      </c>
      <c r="D107" s="30" t="s">
        <v>266</v>
      </c>
      <c r="E107" s="30" t="s">
        <v>265</v>
      </c>
      <c r="F107" s="29" t="s">
        <v>198</v>
      </c>
      <c r="G107" s="29" t="s">
        <v>183</v>
      </c>
      <c r="H107" s="30"/>
    </row>
    <row r="108" spans="1:8" x14ac:dyDescent="0.25">
      <c r="A108" s="29">
        <v>2000730</v>
      </c>
      <c r="B108" s="29" t="s">
        <v>54</v>
      </c>
      <c r="C108" s="30" t="s">
        <v>204</v>
      </c>
      <c r="D108" s="30" t="s">
        <v>267</v>
      </c>
      <c r="E108" s="30" t="s">
        <v>55</v>
      </c>
      <c r="F108" s="29" t="s">
        <v>198</v>
      </c>
      <c r="G108" s="29" t="s">
        <v>183</v>
      </c>
      <c r="H108" s="30"/>
    </row>
    <row r="109" spans="1:8" ht="45" x14ac:dyDescent="0.25">
      <c r="A109" s="29">
        <v>2000466</v>
      </c>
      <c r="B109" s="29" t="s">
        <v>91</v>
      </c>
      <c r="C109" s="30" t="s">
        <v>204</v>
      </c>
      <c r="D109" s="30" t="s">
        <v>268</v>
      </c>
      <c r="E109" s="30" t="s">
        <v>265</v>
      </c>
      <c r="F109" s="29" t="s">
        <v>198</v>
      </c>
      <c r="G109" s="29" t="s">
        <v>183</v>
      </c>
      <c r="H109" s="30"/>
    </row>
    <row r="110" spans="1:8" ht="45" x14ac:dyDescent="0.25">
      <c r="A110" s="29">
        <v>2000467</v>
      </c>
      <c r="B110" s="29" t="s">
        <v>92</v>
      </c>
      <c r="C110" s="30" t="s">
        <v>204</v>
      </c>
      <c r="D110" s="30" t="s">
        <v>269</v>
      </c>
      <c r="E110" s="30" t="s">
        <v>265</v>
      </c>
      <c r="F110" s="29" t="s">
        <v>198</v>
      </c>
      <c r="G110" s="29" t="s">
        <v>183</v>
      </c>
      <c r="H110" s="30"/>
    </row>
    <row r="111" spans="1:8" ht="30" x14ac:dyDescent="0.25">
      <c r="A111" s="29">
        <v>2001050</v>
      </c>
      <c r="B111" s="29" t="s">
        <v>177</v>
      </c>
      <c r="C111" s="30" t="s">
        <v>204</v>
      </c>
      <c r="D111" s="30" t="s">
        <v>270</v>
      </c>
      <c r="E111" s="30" t="s">
        <v>271</v>
      </c>
      <c r="F111" s="29" t="s">
        <v>198</v>
      </c>
      <c r="G111" s="29" t="s">
        <v>183</v>
      </c>
      <c r="H111" s="30"/>
    </row>
    <row r="112" spans="1:8" ht="30" x14ac:dyDescent="0.25">
      <c r="A112" s="29">
        <v>2001049</v>
      </c>
      <c r="B112" s="29" t="s">
        <v>176</v>
      </c>
      <c r="C112" s="30" t="s">
        <v>204</v>
      </c>
      <c r="D112" s="30" t="s">
        <v>272</v>
      </c>
      <c r="E112" s="30" t="s">
        <v>271</v>
      </c>
      <c r="F112" s="29" t="s">
        <v>198</v>
      </c>
      <c r="G112" s="29" t="s">
        <v>183</v>
      </c>
      <c r="H112" s="30"/>
    </row>
    <row r="113" spans="1:8" x14ac:dyDescent="0.25">
      <c r="A113" s="29">
        <v>147491</v>
      </c>
      <c r="B113" s="29" t="s">
        <v>297</v>
      </c>
      <c r="C113" s="30" t="s">
        <v>204</v>
      </c>
      <c r="D113" s="30" t="s">
        <v>298</v>
      </c>
      <c r="E113" s="30" t="s">
        <v>299</v>
      </c>
      <c r="F113" s="29" t="s">
        <v>297</v>
      </c>
      <c r="G113" s="29" t="s">
        <v>183</v>
      </c>
      <c r="H113" s="30"/>
    </row>
    <row r="114" spans="1:8" x14ac:dyDescent="0.25">
      <c r="A114" s="29">
        <v>147492</v>
      </c>
      <c r="B114" s="29" t="s">
        <v>297</v>
      </c>
      <c r="C114" s="30" t="s">
        <v>204</v>
      </c>
      <c r="D114" s="30" t="s">
        <v>300</v>
      </c>
      <c r="E114" s="30" t="s">
        <v>299</v>
      </c>
      <c r="F114" s="29" t="s">
        <v>297</v>
      </c>
      <c r="G114" s="29" t="s">
        <v>183</v>
      </c>
      <c r="H114" s="30"/>
    </row>
    <row r="115" spans="1:8" x14ac:dyDescent="0.25">
      <c r="A115" s="29">
        <v>159246</v>
      </c>
      <c r="B115" s="29" t="s">
        <v>297</v>
      </c>
      <c r="C115" s="30" t="s">
        <v>204</v>
      </c>
      <c r="D115" s="30" t="s">
        <v>301</v>
      </c>
      <c r="E115" s="30" t="s">
        <v>299</v>
      </c>
      <c r="F115" s="30" t="s">
        <v>297</v>
      </c>
      <c r="G115" s="29" t="s">
        <v>183</v>
      </c>
      <c r="H115" s="29"/>
    </row>
    <row r="116" spans="1:8" ht="30" x14ac:dyDescent="0.25">
      <c r="A116" s="29">
        <v>1010401</v>
      </c>
      <c r="B116" s="29" t="s">
        <v>297</v>
      </c>
      <c r="C116" s="30" t="s">
        <v>204</v>
      </c>
      <c r="D116" s="30" t="s">
        <v>302</v>
      </c>
      <c r="E116" s="30" t="s">
        <v>299</v>
      </c>
      <c r="F116" s="30" t="s">
        <v>297</v>
      </c>
      <c r="G116" s="29" t="s">
        <v>183</v>
      </c>
      <c r="H116" s="29"/>
    </row>
    <row r="117" spans="1:8" x14ac:dyDescent="0.25">
      <c r="A117" s="29">
        <v>65503562246</v>
      </c>
      <c r="B117" s="29" t="s">
        <v>58</v>
      </c>
      <c r="C117" s="30" t="s">
        <v>204</v>
      </c>
      <c r="D117" s="30" t="s">
        <v>59</v>
      </c>
      <c r="E117" s="30" t="s">
        <v>59</v>
      </c>
      <c r="F117" s="30" t="s">
        <v>198</v>
      </c>
      <c r="G117" s="29" t="s">
        <v>183</v>
      </c>
      <c r="H117" s="29"/>
    </row>
    <row r="118" spans="1:8" ht="30" x14ac:dyDescent="0.25">
      <c r="A118" s="29">
        <v>1031341</v>
      </c>
      <c r="B118" s="29" t="s">
        <v>175</v>
      </c>
      <c r="C118" s="30" t="s">
        <v>204</v>
      </c>
      <c r="D118" s="30" t="s">
        <v>148</v>
      </c>
      <c r="E118" s="30" t="s">
        <v>148</v>
      </c>
      <c r="F118" s="30" t="s">
        <v>198</v>
      </c>
      <c r="G118" s="29" t="s">
        <v>183</v>
      </c>
      <c r="H118" s="29"/>
    </row>
    <row r="119" spans="1:8" ht="30" x14ac:dyDescent="0.25">
      <c r="A119" s="29">
        <v>2100</v>
      </c>
      <c r="B119" s="29">
        <v>2100</v>
      </c>
      <c r="C119" s="30" t="s">
        <v>204</v>
      </c>
      <c r="D119" s="30" t="s">
        <v>291</v>
      </c>
      <c r="E119" s="30" t="s">
        <v>292</v>
      </c>
      <c r="F119" s="30" t="s">
        <v>293</v>
      </c>
      <c r="G119" s="29" t="s">
        <v>183</v>
      </c>
      <c r="H119" s="29"/>
    </row>
    <row r="120" spans="1:8" x14ac:dyDescent="0.25">
      <c r="A120" s="29">
        <v>1036691</v>
      </c>
      <c r="B120" s="29" t="s">
        <v>311</v>
      </c>
      <c r="C120" s="30" t="s">
        <v>204</v>
      </c>
      <c r="D120" s="30" t="s">
        <v>311</v>
      </c>
      <c r="E120" s="30" t="s">
        <v>311</v>
      </c>
      <c r="F120" s="30" t="s">
        <v>307</v>
      </c>
      <c r="G120" s="29" t="s">
        <v>183</v>
      </c>
      <c r="H120" s="29"/>
    </row>
    <row r="121" spans="1:8" ht="30" x14ac:dyDescent="0.25">
      <c r="A121" s="32">
        <v>1037090</v>
      </c>
      <c r="B121" s="32" t="s">
        <v>303</v>
      </c>
      <c r="C121" s="31" t="s">
        <v>204</v>
      </c>
      <c r="D121" s="32" t="s">
        <v>309</v>
      </c>
      <c r="E121" s="32" t="s">
        <v>309</v>
      </c>
      <c r="F121" s="31" t="s">
        <v>166</v>
      </c>
      <c r="G121" s="32" t="s">
        <v>183</v>
      </c>
      <c r="H121" s="32"/>
    </row>
    <row r="122" spans="1:8" ht="30" x14ac:dyDescent="0.25">
      <c r="A122" s="32">
        <v>65501902345</v>
      </c>
      <c r="B122" s="32" t="s">
        <v>304</v>
      </c>
      <c r="C122" s="31" t="s">
        <v>204</v>
      </c>
      <c r="D122" s="32" t="s">
        <v>310</v>
      </c>
      <c r="E122" s="32" t="s">
        <v>310</v>
      </c>
      <c r="F122" s="31" t="s">
        <v>166</v>
      </c>
      <c r="G122" s="32" t="s">
        <v>183</v>
      </c>
      <c r="H122" s="32"/>
    </row>
    <row r="123" spans="1:8" ht="30" x14ac:dyDescent="0.25">
      <c r="A123" s="32">
        <v>1037087</v>
      </c>
      <c r="B123" s="32" t="s">
        <v>305</v>
      </c>
      <c r="C123" s="31" t="s">
        <v>204</v>
      </c>
      <c r="D123" s="32" t="s">
        <v>308</v>
      </c>
      <c r="E123" s="32" t="s">
        <v>308</v>
      </c>
      <c r="F123" s="31" t="s">
        <v>166</v>
      </c>
      <c r="G123" s="32" t="s">
        <v>183</v>
      </c>
      <c r="H123" s="32"/>
    </row>
    <row r="124" spans="1:8" ht="45" x14ac:dyDescent="0.25">
      <c r="A124" s="32">
        <v>1036723</v>
      </c>
      <c r="B124" s="32" t="s">
        <v>312</v>
      </c>
      <c r="C124" s="31" t="s">
        <v>165</v>
      </c>
      <c r="D124" s="39" t="s">
        <v>314</v>
      </c>
      <c r="E124" s="39" t="s">
        <v>314</v>
      </c>
      <c r="F124" s="31" t="s">
        <v>259</v>
      </c>
      <c r="G124" s="32" t="s">
        <v>183</v>
      </c>
      <c r="H124" s="32"/>
    </row>
    <row r="125" spans="1:8" ht="45" x14ac:dyDescent="0.25">
      <c r="A125" s="32">
        <v>1036724</v>
      </c>
      <c r="B125" s="32" t="s">
        <v>313</v>
      </c>
      <c r="C125" s="31" t="s">
        <v>165</v>
      </c>
      <c r="D125" s="39" t="s">
        <v>315</v>
      </c>
      <c r="E125" s="39" t="s">
        <v>315</v>
      </c>
      <c r="F125" s="31" t="s">
        <v>307</v>
      </c>
      <c r="G125" s="32" t="s">
        <v>183</v>
      </c>
      <c r="H125" s="32"/>
    </row>
    <row r="126" spans="1:8" ht="30" x14ac:dyDescent="0.25">
      <c r="A126" s="29">
        <v>65508989338</v>
      </c>
      <c r="B126" s="29" t="s">
        <v>318</v>
      </c>
      <c r="C126" s="31" t="s">
        <v>165</v>
      </c>
      <c r="D126" s="30" t="s">
        <v>316</v>
      </c>
      <c r="E126" s="30" t="s">
        <v>316</v>
      </c>
      <c r="F126" s="31" t="s">
        <v>307</v>
      </c>
      <c r="G126" s="29" t="s">
        <v>183</v>
      </c>
      <c r="H126" s="29"/>
    </row>
    <row r="127" spans="1:8" x14ac:dyDescent="0.25">
      <c r="A127" s="48">
        <v>1037923</v>
      </c>
      <c r="B127" s="48" t="s">
        <v>320</v>
      </c>
      <c r="C127" s="48" t="s">
        <v>165</v>
      </c>
      <c r="D127" s="48" t="s">
        <v>323</v>
      </c>
      <c r="E127" s="48" t="s">
        <v>311</v>
      </c>
      <c r="F127" s="48" t="s">
        <v>307</v>
      </c>
      <c r="G127" s="48" t="s">
        <v>183</v>
      </c>
      <c r="H127" s="48"/>
    </row>
    <row r="128" spans="1:8" x14ac:dyDescent="0.25">
      <c r="A128" s="48">
        <v>1037925</v>
      </c>
      <c r="B128" s="48" t="s">
        <v>321</v>
      </c>
      <c r="C128" s="48" t="s">
        <v>165</v>
      </c>
      <c r="D128" s="48" t="s">
        <v>324</v>
      </c>
      <c r="E128" s="48" t="s">
        <v>311</v>
      </c>
      <c r="F128" s="48" t="s">
        <v>307</v>
      </c>
      <c r="G128" s="48" t="s">
        <v>183</v>
      </c>
      <c r="H128" s="48"/>
    </row>
    <row r="129" spans="1:8" x14ac:dyDescent="0.25">
      <c r="A129" s="48">
        <v>1037924</v>
      </c>
      <c r="B129" s="48" t="s">
        <v>322</v>
      </c>
      <c r="C129" s="48" t="s">
        <v>165</v>
      </c>
      <c r="D129" s="48" t="s">
        <v>325</v>
      </c>
      <c r="E129" s="48" t="s">
        <v>311</v>
      </c>
      <c r="F129" s="48" t="s">
        <v>307</v>
      </c>
      <c r="G129" s="48" t="s">
        <v>183</v>
      </c>
      <c r="H129" s="48"/>
    </row>
    <row r="130" spans="1:8" x14ac:dyDescent="0.25">
      <c r="A130" s="48">
        <v>65509560409</v>
      </c>
      <c r="B130" s="48" t="s">
        <v>349</v>
      </c>
      <c r="C130" s="48" t="s">
        <v>165</v>
      </c>
      <c r="D130" s="48" t="s">
        <v>349</v>
      </c>
      <c r="E130" s="48" t="s">
        <v>349</v>
      </c>
      <c r="F130" s="48" t="s">
        <v>307</v>
      </c>
      <c r="G130" s="48" t="s">
        <v>183</v>
      </c>
      <c r="H130" s="48"/>
    </row>
    <row r="131" spans="1:8" x14ac:dyDescent="0.25">
      <c r="A131" s="48">
        <v>65509560426</v>
      </c>
      <c r="B131" s="48" t="s">
        <v>350</v>
      </c>
      <c r="C131" s="48" t="s">
        <v>165</v>
      </c>
      <c r="D131" s="48" t="s">
        <v>350</v>
      </c>
      <c r="E131" s="48" t="s">
        <v>350</v>
      </c>
      <c r="F131" s="48" t="s">
        <v>307</v>
      </c>
      <c r="G131" s="48" t="s">
        <v>183</v>
      </c>
      <c r="H131" s="48"/>
    </row>
    <row r="132" spans="1:8" x14ac:dyDescent="0.25">
      <c r="A132" s="48">
        <v>65509560457</v>
      </c>
      <c r="B132" s="48" t="s">
        <v>351</v>
      </c>
      <c r="C132" s="48" t="s">
        <v>165</v>
      </c>
      <c r="D132" s="48" t="s">
        <v>351</v>
      </c>
      <c r="E132" s="48" t="s">
        <v>351</v>
      </c>
      <c r="F132" s="48" t="s">
        <v>307</v>
      </c>
      <c r="G132" s="48" t="s">
        <v>183</v>
      </c>
      <c r="H132" s="48"/>
    </row>
    <row r="133" spans="1:8" x14ac:dyDescent="0.25">
      <c r="A133" s="48">
        <v>65509560443</v>
      </c>
      <c r="B133" s="48" t="s">
        <v>352</v>
      </c>
      <c r="C133" s="48" t="s">
        <v>165</v>
      </c>
      <c r="D133" s="48" t="s">
        <v>352</v>
      </c>
      <c r="E133" s="48" t="s">
        <v>352</v>
      </c>
      <c r="F133" s="48" t="s">
        <v>307</v>
      </c>
      <c r="G133" s="48" t="s">
        <v>183</v>
      </c>
      <c r="H133" s="48"/>
    </row>
    <row r="134" spans="1:8" x14ac:dyDescent="0.25">
      <c r="A134" s="48"/>
      <c r="B134" s="48"/>
      <c r="C134" s="48"/>
      <c r="D134" s="48"/>
      <c r="E134" s="48"/>
      <c r="F134" s="48"/>
      <c r="G134" s="48"/>
      <c r="H134" s="48"/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 filterMode="1"/>
  <dimension ref="A1:H178"/>
  <sheetViews>
    <sheetView topLeftCell="A179" workbookViewId="0">
      <selection activeCell="C179" sqref="C179"/>
    </sheetView>
  </sheetViews>
  <sheetFormatPr baseColWidth="10" defaultRowHeight="15" x14ac:dyDescent="0.25"/>
  <cols>
    <col min="2" max="2" width="12" bestFit="1" customWidth="1"/>
    <col min="4" max="4" width="15.85546875" bestFit="1" customWidth="1"/>
    <col min="5" max="6" width="78.140625" bestFit="1" customWidth="1"/>
  </cols>
  <sheetData>
    <row r="1" spans="1:8" x14ac:dyDescent="0.25">
      <c r="A1" s="1" t="s">
        <v>188</v>
      </c>
      <c r="B1" s="1" t="s">
        <v>23</v>
      </c>
      <c r="C1" s="4" t="s">
        <v>106</v>
      </c>
      <c r="D1" s="1" t="s">
        <v>107</v>
      </c>
      <c r="E1" s="1" t="s">
        <v>108</v>
      </c>
      <c r="F1" s="1" t="s">
        <v>109</v>
      </c>
      <c r="G1" s="5" t="s">
        <v>144</v>
      </c>
      <c r="H1" s="5" t="s">
        <v>110</v>
      </c>
    </row>
    <row r="2" spans="1:8" hidden="1" x14ac:dyDescent="0.25">
      <c r="A2" t="s">
        <v>88</v>
      </c>
      <c r="B2">
        <v>156622</v>
      </c>
      <c r="D2">
        <v>58</v>
      </c>
      <c r="E2" t="s">
        <v>39</v>
      </c>
      <c r="F2" t="s">
        <v>39</v>
      </c>
      <c r="H2" t="s">
        <v>204</v>
      </c>
    </row>
    <row r="3" spans="1:8" hidden="1" x14ac:dyDescent="0.25">
      <c r="A3" t="s">
        <v>88</v>
      </c>
      <c r="B3">
        <v>154702</v>
      </c>
      <c r="D3">
        <v>60</v>
      </c>
      <c r="E3" t="s">
        <v>40</v>
      </c>
      <c r="F3" t="s">
        <v>210</v>
      </c>
      <c r="H3" t="s">
        <v>204</v>
      </c>
    </row>
    <row r="4" spans="1:8" hidden="1" x14ac:dyDescent="0.25">
      <c r="A4" t="s">
        <v>88</v>
      </c>
      <c r="B4">
        <v>80820</v>
      </c>
      <c r="D4">
        <v>63</v>
      </c>
      <c r="E4" t="s">
        <v>211</v>
      </c>
      <c r="F4" t="s">
        <v>210</v>
      </c>
      <c r="H4" t="s">
        <v>204</v>
      </c>
    </row>
    <row r="5" spans="1:8" hidden="1" x14ac:dyDescent="0.25">
      <c r="A5" t="s">
        <v>88</v>
      </c>
      <c r="B5">
        <v>64972</v>
      </c>
      <c r="D5">
        <v>86</v>
      </c>
      <c r="E5" t="s">
        <v>41</v>
      </c>
      <c r="F5" t="s">
        <v>41</v>
      </c>
      <c r="H5" t="s">
        <v>204</v>
      </c>
    </row>
    <row r="6" spans="1:8" hidden="1" x14ac:dyDescent="0.25">
      <c r="A6" t="s">
        <v>88</v>
      </c>
      <c r="B6">
        <v>1036691</v>
      </c>
      <c r="D6" t="s">
        <v>311</v>
      </c>
      <c r="E6" t="s">
        <v>311</v>
      </c>
      <c r="F6" t="s">
        <v>311</v>
      </c>
      <c r="H6" t="s">
        <v>317</v>
      </c>
    </row>
    <row r="7" spans="1:8" hidden="1" x14ac:dyDescent="0.25">
      <c r="A7" t="s">
        <v>88</v>
      </c>
      <c r="B7">
        <v>1037923</v>
      </c>
      <c r="D7" t="s">
        <v>320</v>
      </c>
      <c r="E7" t="s">
        <v>320</v>
      </c>
      <c r="F7" t="s">
        <v>311</v>
      </c>
      <c r="H7" t="s">
        <v>204</v>
      </c>
    </row>
    <row r="8" spans="1:8" hidden="1" x14ac:dyDescent="0.25">
      <c r="A8" t="s">
        <v>88</v>
      </c>
      <c r="B8">
        <v>1037925</v>
      </c>
      <c r="D8" t="s">
        <v>321</v>
      </c>
      <c r="E8" t="s">
        <v>321</v>
      </c>
      <c r="F8" t="s">
        <v>311</v>
      </c>
      <c r="H8" t="s">
        <v>204</v>
      </c>
    </row>
    <row r="9" spans="1:8" hidden="1" x14ac:dyDescent="0.25">
      <c r="A9" t="s">
        <v>88</v>
      </c>
      <c r="B9">
        <v>1037924</v>
      </c>
      <c r="D9" t="s">
        <v>322</v>
      </c>
      <c r="E9" t="s">
        <v>322</v>
      </c>
      <c r="F9" t="s">
        <v>311</v>
      </c>
      <c r="H9" t="s">
        <v>204</v>
      </c>
    </row>
    <row r="10" spans="1:8" hidden="1" x14ac:dyDescent="0.25">
      <c r="A10" t="s">
        <v>88</v>
      </c>
      <c r="B10">
        <v>2000206</v>
      </c>
      <c r="D10">
        <v>116</v>
      </c>
      <c r="E10" t="s">
        <v>220</v>
      </c>
      <c r="F10" t="s">
        <v>221</v>
      </c>
      <c r="H10" t="s">
        <v>204</v>
      </c>
    </row>
    <row r="11" spans="1:8" hidden="1" x14ac:dyDescent="0.25">
      <c r="A11" t="s">
        <v>88</v>
      </c>
      <c r="B11">
        <v>2000205</v>
      </c>
      <c r="D11">
        <v>117</v>
      </c>
      <c r="E11" t="s">
        <v>222</v>
      </c>
      <c r="F11" t="s">
        <v>221</v>
      </c>
      <c r="H11" t="s">
        <v>204</v>
      </c>
    </row>
    <row r="12" spans="1:8" hidden="1" x14ac:dyDescent="0.25">
      <c r="A12" t="s">
        <v>88</v>
      </c>
      <c r="B12">
        <v>2000241</v>
      </c>
      <c r="D12">
        <v>120</v>
      </c>
      <c r="E12" t="s">
        <v>233</v>
      </c>
      <c r="F12" t="s">
        <v>232</v>
      </c>
      <c r="H12" t="s">
        <v>204</v>
      </c>
    </row>
    <row r="13" spans="1:8" hidden="1" x14ac:dyDescent="0.25">
      <c r="A13" t="s">
        <v>88</v>
      </c>
      <c r="B13">
        <v>2000240</v>
      </c>
      <c r="D13">
        <v>120</v>
      </c>
      <c r="E13" t="s">
        <v>233</v>
      </c>
      <c r="F13" t="s">
        <v>232</v>
      </c>
      <c r="H13" t="s">
        <v>204</v>
      </c>
    </row>
    <row r="14" spans="1:8" hidden="1" x14ac:dyDescent="0.25">
      <c r="A14" t="s">
        <v>88</v>
      </c>
      <c r="B14">
        <v>2000239</v>
      </c>
      <c r="D14">
        <v>121</v>
      </c>
      <c r="E14" t="s">
        <v>235</v>
      </c>
      <c r="F14" t="s">
        <v>232</v>
      </c>
      <c r="H14" t="s">
        <v>204</v>
      </c>
    </row>
    <row r="15" spans="1:8" hidden="1" x14ac:dyDescent="0.25">
      <c r="A15" t="s">
        <v>88</v>
      </c>
      <c r="B15">
        <v>2000238</v>
      </c>
      <c r="D15">
        <v>121</v>
      </c>
      <c r="E15" t="s">
        <v>235</v>
      </c>
      <c r="F15" t="s">
        <v>232</v>
      </c>
      <c r="H15" t="s">
        <v>204</v>
      </c>
    </row>
    <row r="16" spans="1:8" hidden="1" x14ac:dyDescent="0.25">
      <c r="A16" t="s">
        <v>88</v>
      </c>
      <c r="B16">
        <v>65501387259</v>
      </c>
      <c r="D16">
        <v>122</v>
      </c>
      <c r="E16" t="s">
        <v>42</v>
      </c>
      <c r="F16" t="s">
        <v>42</v>
      </c>
      <c r="H16" t="s">
        <v>204</v>
      </c>
    </row>
    <row r="17" spans="1:8" hidden="1" x14ac:dyDescent="0.25">
      <c r="A17" t="s">
        <v>88</v>
      </c>
      <c r="B17">
        <v>71532</v>
      </c>
      <c r="D17">
        <v>1071</v>
      </c>
      <c r="E17" t="s">
        <v>239</v>
      </c>
      <c r="F17" t="s">
        <v>238</v>
      </c>
      <c r="H17" t="s">
        <v>197</v>
      </c>
    </row>
    <row r="18" spans="1:8" hidden="1" x14ac:dyDescent="0.25">
      <c r="A18" t="s">
        <v>88</v>
      </c>
      <c r="B18">
        <v>71535</v>
      </c>
      <c r="D18">
        <v>1071</v>
      </c>
      <c r="E18" t="s">
        <v>239</v>
      </c>
      <c r="F18" t="s">
        <v>238</v>
      </c>
      <c r="H18" t="s">
        <v>197</v>
      </c>
    </row>
    <row r="19" spans="1:8" hidden="1" x14ac:dyDescent="0.25">
      <c r="A19" t="s">
        <v>88</v>
      </c>
      <c r="B19">
        <v>1013187</v>
      </c>
      <c r="D19">
        <v>127</v>
      </c>
      <c r="E19" t="s">
        <v>43</v>
      </c>
      <c r="F19" t="s">
        <v>236</v>
      </c>
      <c r="H19" t="s">
        <v>204</v>
      </c>
    </row>
    <row r="20" spans="1:8" hidden="1" x14ac:dyDescent="0.25">
      <c r="A20" t="s">
        <v>88</v>
      </c>
      <c r="B20">
        <v>2000486</v>
      </c>
      <c r="D20">
        <v>128</v>
      </c>
      <c r="E20" t="s">
        <v>171</v>
      </c>
      <c r="F20" t="s">
        <v>221</v>
      </c>
      <c r="H20" t="s">
        <v>204</v>
      </c>
    </row>
    <row r="21" spans="1:8" hidden="1" x14ac:dyDescent="0.25">
      <c r="A21" t="s">
        <v>88</v>
      </c>
      <c r="B21">
        <v>2000863</v>
      </c>
      <c r="D21">
        <v>2000863</v>
      </c>
      <c r="E21" t="s">
        <v>44</v>
      </c>
      <c r="F21" t="s">
        <v>221</v>
      </c>
      <c r="H21" t="s">
        <v>204</v>
      </c>
    </row>
    <row r="22" spans="1:8" hidden="1" x14ac:dyDescent="0.25">
      <c r="A22" t="s">
        <v>88</v>
      </c>
      <c r="B22">
        <v>2000905</v>
      </c>
      <c r="D22">
        <v>2000905</v>
      </c>
      <c r="E22" t="s">
        <v>45</v>
      </c>
      <c r="F22" t="s">
        <v>45</v>
      </c>
      <c r="H22" t="s">
        <v>204</v>
      </c>
    </row>
    <row r="23" spans="1:8" hidden="1" x14ac:dyDescent="0.25">
      <c r="A23" t="s">
        <v>88</v>
      </c>
      <c r="B23">
        <v>2000570</v>
      </c>
      <c r="D23" t="s">
        <v>46</v>
      </c>
    </row>
    <row r="24" spans="1:8" hidden="1" x14ac:dyDescent="0.25">
      <c r="A24" t="s">
        <v>88</v>
      </c>
      <c r="B24">
        <v>2000571</v>
      </c>
      <c r="D24" t="s">
        <v>46</v>
      </c>
    </row>
    <row r="25" spans="1:8" hidden="1" x14ac:dyDescent="0.25">
      <c r="A25" t="s">
        <v>88</v>
      </c>
      <c r="B25">
        <v>2000572</v>
      </c>
      <c r="D25" t="s">
        <v>46</v>
      </c>
    </row>
    <row r="26" spans="1:8" hidden="1" x14ac:dyDescent="0.25">
      <c r="A26" t="s">
        <v>88</v>
      </c>
      <c r="B26">
        <v>2000573</v>
      </c>
      <c r="D26" t="s">
        <v>46</v>
      </c>
    </row>
    <row r="27" spans="1:8" hidden="1" x14ac:dyDescent="0.25">
      <c r="A27" t="s">
        <v>88</v>
      </c>
      <c r="B27">
        <v>2000574</v>
      </c>
      <c r="D27" t="s">
        <v>172</v>
      </c>
      <c r="E27" t="s">
        <v>255</v>
      </c>
      <c r="F27" t="s">
        <v>172</v>
      </c>
      <c r="H27" t="s">
        <v>204</v>
      </c>
    </row>
    <row r="28" spans="1:8" hidden="1" x14ac:dyDescent="0.25">
      <c r="A28" t="s">
        <v>88</v>
      </c>
      <c r="B28">
        <v>2000575</v>
      </c>
      <c r="D28" t="s">
        <v>172</v>
      </c>
      <c r="E28" t="s">
        <v>255</v>
      </c>
      <c r="F28" t="s">
        <v>172</v>
      </c>
      <c r="H28" t="s">
        <v>204</v>
      </c>
    </row>
    <row r="29" spans="1:8" hidden="1" x14ac:dyDescent="0.25">
      <c r="A29" t="s">
        <v>88</v>
      </c>
      <c r="B29">
        <v>2000576</v>
      </c>
      <c r="D29" t="s">
        <v>172</v>
      </c>
      <c r="E29" t="s">
        <v>255</v>
      </c>
      <c r="F29" t="s">
        <v>172</v>
      </c>
      <c r="H29" t="s">
        <v>204</v>
      </c>
    </row>
    <row r="30" spans="1:8" hidden="1" x14ac:dyDescent="0.25">
      <c r="A30" t="s">
        <v>88</v>
      </c>
      <c r="B30">
        <v>2000577</v>
      </c>
      <c r="D30" t="s">
        <v>172</v>
      </c>
      <c r="E30" t="s">
        <v>255</v>
      </c>
      <c r="F30" t="s">
        <v>172</v>
      </c>
      <c r="H30" t="s">
        <v>204</v>
      </c>
    </row>
    <row r="31" spans="1:8" hidden="1" x14ac:dyDescent="0.25">
      <c r="A31" t="s">
        <v>88</v>
      </c>
      <c r="B31">
        <v>2000522</v>
      </c>
      <c r="D31" t="s">
        <v>47</v>
      </c>
      <c r="E31" t="s">
        <v>48</v>
      </c>
      <c r="F31" t="s">
        <v>48</v>
      </c>
      <c r="H31" t="s">
        <v>204</v>
      </c>
    </row>
    <row r="32" spans="1:8" hidden="1" x14ac:dyDescent="0.25">
      <c r="A32" t="s">
        <v>88</v>
      </c>
      <c r="B32">
        <v>65503691935</v>
      </c>
      <c r="D32" t="s">
        <v>49</v>
      </c>
    </row>
    <row r="33" spans="1:8" hidden="1" x14ac:dyDescent="0.25">
      <c r="A33" t="s">
        <v>88</v>
      </c>
      <c r="B33">
        <v>2000534</v>
      </c>
      <c r="D33" t="s">
        <v>50</v>
      </c>
      <c r="E33" t="s">
        <v>51</v>
      </c>
      <c r="F33" t="s">
        <v>51</v>
      </c>
      <c r="H33" t="s">
        <v>204</v>
      </c>
    </row>
    <row r="34" spans="1:8" hidden="1" x14ac:dyDescent="0.25">
      <c r="A34" t="s">
        <v>88</v>
      </c>
      <c r="B34">
        <v>65504667724</v>
      </c>
      <c r="D34" t="s">
        <v>52</v>
      </c>
      <c r="E34" t="s">
        <v>169</v>
      </c>
      <c r="F34" t="s">
        <v>169</v>
      </c>
      <c r="H34" t="s">
        <v>204</v>
      </c>
    </row>
    <row r="35" spans="1:8" hidden="1" x14ac:dyDescent="0.25">
      <c r="A35" t="s">
        <v>88</v>
      </c>
      <c r="B35">
        <v>2001012</v>
      </c>
      <c r="D35">
        <v>2001012</v>
      </c>
      <c r="E35" t="s">
        <v>205</v>
      </c>
      <c r="F35" t="s">
        <v>149</v>
      </c>
      <c r="H35" t="s">
        <v>204</v>
      </c>
    </row>
    <row r="36" spans="1:8" hidden="1" x14ac:dyDescent="0.25">
      <c r="A36" t="s">
        <v>88</v>
      </c>
      <c r="B36">
        <v>65505569851</v>
      </c>
      <c r="D36" t="s">
        <v>146</v>
      </c>
      <c r="E36" t="s">
        <v>168</v>
      </c>
      <c r="F36" t="s">
        <v>147</v>
      </c>
      <c r="H36" t="s">
        <v>204</v>
      </c>
    </row>
    <row r="37" spans="1:8" hidden="1" x14ac:dyDescent="0.25">
      <c r="A37" t="s">
        <v>88</v>
      </c>
      <c r="B37">
        <v>65507430562</v>
      </c>
      <c r="D37" t="s">
        <v>242</v>
      </c>
      <c r="E37" t="s">
        <v>243</v>
      </c>
      <c r="F37" t="s">
        <v>243</v>
      </c>
      <c r="H37" t="s">
        <v>165</v>
      </c>
    </row>
    <row r="38" spans="1:8" hidden="1" x14ac:dyDescent="0.25">
      <c r="A38" t="s">
        <v>88</v>
      </c>
      <c r="B38">
        <v>65503863638</v>
      </c>
      <c r="D38" t="s">
        <v>53</v>
      </c>
      <c r="E38" t="s">
        <v>207</v>
      </c>
      <c r="F38" t="s">
        <v>208</v>
      </c>
      <c r="H38" t="s">
        <v>204</v>
      </c>
    </row>
    <row r="39" spans="1:8" hidden="1" x14ac:dyDescent="0.25">
      <c r="A39" t="s">
        <v>88</v>
      </c>
      <c r="B39">
        <v>1032382</v>
      </c>
      <c r="D39">
        <v>1032382</v>
      </c>
      <c r="E39" t="s">
        <v>164</v>
      </c>
      <c r="F39" t="s">
        <v>164</v>
      </c>
      <c r="H39" t="s">
        <v>197</v>
      </c>
    </row>
    <row r="40" spans="1:8" hidden="1" x14ac:dyDescent="0.25">
      <c r="A40" t="s">
        <v>88</v>
      </c>
      <c r="B40">
        <v>2000597</v>
      </c>
      <c r="D40" t="s">
        <v>306</v>
      </c>
    </row>
    <row r="41" spans="1:8" hidden="1" x14ac:dyDescent="0.25">
      <c r="A41" t="s">
        <v>88</v>
      </c>
      <c r="B41">
        <v>2000730</v>
      </c>
      <c r="D41" t="s">
        <v>54</v>
      </c>
      <c r="E41" t="s">
        <v>267</v>
      </c>
      <c r="F41" t="s">
        <v>55</v>
      </c>
      <c r="H41" t="s">
        <v>204</v>
      </c>
    </row>
    <row r="42" spans="1:8" hidden="1" x14ac:dyDescent="0.25">
      <c r="A42" t="s">
        <v>88</v>
      </c>
      <c r="B42">
        <v>2000927</v>
      </c>
      <c r="D42" t="s">
        <v>56</v>
      </c>
      <c r="E42" t="s">
        <v>262</v>
      </c>
      <c r="F42" t="s">
        <v>263</v>
      </c>
      <c r="H42" t="s">
        <v>204</v>
      </c>
    </row>
    <row r="43" spans="1:8" hidden="1" x14ac:dyDescent="0.25">
      <c r="A43" t="s">
        <v>88</v>
      </c>
      <c r="B43">
        <v>2000928</v>
      </c>
      <c r="D43" t="s">
        <v>57</v>
      </c>
      <c r="E43" t="s">
        <v>260</v>
      </c>
      <c r="F43" t="s">
        <v>261</v>
      </c>
      <c r="H43" t="s">
        <v>204</v>
      </c>
    </row>
    <row r="44" spans="1:8" hidden="1" x14ac:dyDescent="0.25">
      <c r="A44" t="s">
        <v>88</v>
      </c>
      <c r="B44">
        <v>65503562246</v>
      </c>
      <c r="D44" t="s">
        <v>58</v>
      </c>
      <c r="E44" t="s">
        <v>59</v>
      </c>
      <c r="F44" t="s">
        <v>59</v>
      </c>
      <c r="H44" t="s">
        <v>204</v>
      </c>
    </row>
    <row r="45" spans="1:8" hidden="1" x14ac:dyDescent="0.25">
      <c r="A45" t="s">
        <v>88</v>
      </c>
      <c r="B45">
        <v>2000204</v>
      </c>
      <c r="D45">
        <v>115</v>
      </c>
      <c r="E45" t="s">
        <v>158</v>
      </c>
      <c r="F45" t="s">
        <v>33</v>
      </c>
      <c r="H45" t="s">
        <v>197</v>
      </c>
    </row>
    <row r="46" spans="1:8" hidden="1" x14ac:dyDescent="0.25">
      <c r="A46" t="s">
        <v>88</v>
      </c>
      <c r="B46">
        <v>77703</v>
      </c>
      <c r="D46">
        <v>19</v>
      </c>
    </row>
    <row r="47" spans="1:8" hidden="1" x14ac:dyDescent="0.25">
      <c r="A47" t="s">
        <v>88</v>
      </c>
      <c r="B47">
        <v>65507408917</v>
      </c>
      <c r="D47">
        <v>37</v>
      </c>
      <c r="E47" t="s">
        <v>18</v>
      </c>
      <c r="F47" t="s">
        <v>209</v>
      </c>
      <c r="H47" t="s">
        <v>204</v>
      </c>
    </row>
    <row r="48" spans="1:8" hidden="1" x14ac:dyDescent="0.25">
      <c r="A48" t="s">
        <v>88</v>
      </c>
      <c r="B48">
        <v>156331</v>
      </c>
      <c r="D48">
        <v>71</v>
      </c>
      <c r="E48" t="s">
        <v>60</v>
      </c>
      <c r="F48" t="s">
        <v>61</v>
      </c>
      <c r="H48" t="s">
        <v>197</v>
      </c>
    </row>
    <row r="49" spans="1:8" hidden="1" x14ac:dyDescent="0.25">
      <c r="A49" t="s">
        <v>88</v>
      </c>
      <c r="B49">
        <v>65502222299</v>
      </c>
      <c r="D49">
        <v>74</v>
      </c>
      <c r="E49" t="s">
        <v>62</v>
      </c>
      <c r="F49" t="s">
        <v>62</v>
      </c>
      <c r="H49" t="s">
        <v>197</v>
      </c>
    </row>
    <row r="50" spans="1:8" hidden="1" x14ac:dyDescent="0.25">
      <c r="A50" t="s">
        <v>88</v>
      </c>
      <c r="B50">
        <v>1037124</v>
      </c>
      <c r="D50">
        <v>75</v>
      </c>
      <c r="E50" t="s">
        <v>63</v>
      </c>
      <c r="F50" t="s">
        <v>212</v>
      </c>
      <c r="H50" t="s">
        <v>204</v>
      </c>
    </row>
    <row r="51" spans="1:8" hidden="1" x14ac:dyDescent="0.25">
      <c r="A51" t="s">
        <v>88</v>
      </c>
      <c r="B51">
        <v>1033811</v>
      </c>
      <c r="D51">
        <v>76</v>
      </c>
      <c r="E51" t="s">
        <v>64</v>
      </c>
      <c r="F51" t="s">
        <v>212</v>
      </c>
      <c r="H51" t="s">
        <v>204</v>
      </c>
    </row>
    <row r="52" spans="1:8" hidden="1" x14ac:dyDescent="0.25">
      <c r="A52" t="s">
        <v>88</v>
      </c>
      <c r="B52">
        <v>69902</v>
      </c>
      <c r="D52">
        <v>78</v>
      </c>
      <c r="E52" t="s">
        <v>65</v>
      </c>
      <c r="F52" t="s">
        <v>212</v>
      </c>
      <c r="H52" t="s">
        <v>204</v>
      </c>
    </row>
    <row r="53" spans="1:8" hidden="1" x14ac:dyDescent="0.25">
      <c r="A53" t="s">
        <v>88</v>
      </c>
      <c r="B53">
        <v>65502425394</v>
      </c>
      <c r="D53">
        <v>93</v>
      </c>
      <c r="E53" t="s">
        <v>66</v>
      </c>
      <c r="F53" t="s">
        <v>215</v>
      </c>
      <c r="H53" t="s">
        <v>197</v>
      </c>
    </row>
    <row r="54" spans="1:8" hidden="1" x14ac:dyDescent="0.25">
      <c r="A54" t="s">
        <v>88</v>
      </c>
      <c r="B54">
        <v>1002455</v>
      </c>
      <c r="D54">
        <v>94</v>
      </c>
      <c r="E54" t="s">
        <v>67</v>
      </c>
      <c r="F54" t="s">
        <v>216</v>
      </c>
      <c r="H54" t="s">
        <v>204</v>
      </c>
    </row>
    <row r="55" spans="1:8" hidden="1" x14ac:dyDescent="0.25">
      <c r="A55" t="s">
        <v>88</v>
      </c>
      <c r="B55">
        <v>2000135</v>
      </c>
      <c r="D55">
        <v>100</v>
      </c>
      <c r="E55" t="s">
        <v>199</v>
      </c>
      <c r="F55" t="s">
        <v>33</v>
      </c>
      <c r="H55" t="s">
        <v>197</v>
      </c>
    </row>
    <row r="56" spans="1:8" hidden="1" x14ac:dyDescent="0.25">
      <c r="A56" t="s">
        <v>88</v>
      </c>
      <c r="B56">
        <v>152965</v>
      </c>
      <c r="D56">
        <v>105</v>
      </c>
      <c r="E56" t="s">
        <v>68</v>
      </c>
      <c r="F56" t="s">
        <v>217</v>
      </c>
      <c r="H56" t="s">
        <v>197</v>
      </c>
    </row>
    <row r="57" spans="1:8" hidden="1" x14ac:dyDescent="0.25">
      <c r="A57" t="s">
        <v>88</v>
      </c>
      <c r="B57">
        <v>1005849</v>
      </c>
      <c r="D57">
        <v>114</v>
      </c>
      <c r="E57" t="s">
        <v>218</v>
      </c>
      <c r="F57" t="s">
        <v>219</v>
      </c>
      <c r="H57" t="s">
        <v>204</v>
      </c>
    </row>
    <row r="58" spans="1:8" hidden="1" x14ac:dyDescent="0.25">
      <c r="A58" t="s">
        <v>88</v>
      </c>
      <c r="B58">
        <v>1008496</v>
      </c>
      <c r="D58">
        <v>119</v>
      </c>
      <c r="E58" t="s">
        <v>69</v>
      </c>
      <c r="F58" t="s">
        <v>200</v>
      </c>
      <c r="H58" t="s">
        <v>197</v>
      </c>
    </row>
    <row r="59" spans="1:8" hidden="1" x14ac:dyDescent="0.25">
      <c r="A59" t="s">
        <v>88</v>
      </c>
      <c r="B59">
        <v>1032128</v>
      </c>
      <c r="D59">
        <v>1032128</v>
      </c>
      <c r="E59" t="s">
        <v>290</v>
      </c>
      <c r="F59" t="s">
        <v>290</v>
      </c>
      <c r="H59" t="s">
        <v>197</v>
      </c>
    </row>
    <row r="60" spans="1:8" hidden="1" x14ac:dyDescent="0.25">
      <c r="A60" t="s">
        <v>88</v>
      </c>
      <c r="B60">
        <v>67715</v>
      </c>
      <c r="D60">
        <v>1068</v>
      </c>
      <c r="E60" t="s">
        <v>70</v>
      </c>
      <c r="F60" t="s">
        <v>201</v>
      </c>
      <c r="H60" t="s">
        <v>197</v>
      </c>
    </row>
    <row r="61" spans="1:8" hidden="1" x14ac:dyDescent="0.25">
      <c r="A61" t="s">
        <v>88</v>
      </c>
      <c r="B61">
        <v>1031629</v>
      </c>
      <c r="D61">
        <v>1074</v>
      </c>
      <c r="E61" t="s">
        <v>72</v>
      </c>
      <c r="F61" t="s">
        <v>240</v>
      </c>
      <c r="H61" t="s">
        <v>204</v>
      </c>
    </row>
    <row r="62" spans="1:8" hidden="1" x14ac:dyDescent="0.25">
      <c r="A62" t="s">
        <v>88</v>
      </c>
      <c r="B62">
        <v>1031627</v>
      </c>
      <c r="D62">
        <v>1074</v>
      </c>
      <c r="E62" t="s">
        <v>72</v>
      </c>
      <c r="F62" t="s">
        <v>240</v>
      </c>
      <c r="H62" t="s">
        <v>204</v>
      </c>
    </row>
    <row r="63" spans="1:8" hidden="1" x14ac:dyDescent="0.25">
      <c r="A63" t="s">
        <v>88</v>
      </c>
      <c r="B63">
        <v>142481</v>
      </c>
      <c r="D63">
        <v>1081</v>
      </c>
      <c r="E63" t="s">
        <v>73</v>
      </c>
      <c r="F63" t="s">
        <v>216</v>
      </c>
      <c r="H63" t="s">
        <v>204</v>
      </c>
    </row>
    <row r="64" spans="1:8" hidden="1" x14ac:dyDescent="0.25">
      <c r="A64" t="s">
        <v>88</v>
      </c>
      <c r="B64">
        <v>142482</v>
      </c>
      <c r="D64">
        <v>1082</v>
      </c>
      <c r="E64" t="s">
        <v>74</v>
      </c>
      <c r="F64" t="s">
        <v>216</v>
      </c>
      <c r="H64" t="s">
        <v>204</v>
      </c>
    </row>
    <row r="65" spans="1:8" hidden="1" x14ac:dyDescent="0.25">
      <c r="A65" t="s">
        <v>88</v>
      </c>
      <c r="B65">
        <v>65507665273</v>
      </c>
      <c r="D65">
        <v>1094</v>
      </c>
      <c r="E65" t="s">
        <v>75</v>
      </c>
      <c r="F65" t="s">
        <v>209</v>
      </c>
      <c r="H65" t="s">
        <v>204</v>
      </c>
    </row>
    <row r="66" spans="1:8" hidden="1" x14ac:dyDescent="0.25">
      <c r="A66" t="s">
        <v>88</v>
      </c>
      <c r="B66">
        <v>75655</v>
      </c>
      <c r="D66">
        <v>1097</v>
      </c>
      <c r="E66" t="s">
        <v>76</v>
      </c>
      <c r="F66" t="s">
        <v>76</v>
      </c>
      <c r="H66" t="s">
        <v>204</v>
      </c>
    </row>
    <row r="67" spans="1:8" hidden="1" x14ac:dyDescent="0.25">
      <c r="A67" t="s">
        <v>88</v>
      </c>
      <c r="B67">
        <v>75145</v>
      </c>
      <c r="D67">
        <v>1800</v>
      </c>
      <c r="E67" t="s">
        <v>78</v>
      </c>
      <c r="F67" t="s">
        <v>241</v>
      </c>
      <c r="H67" t="s">
        <v>197</v>
      </c>
    </row>
    <row r="68" spans="1:8" hidden="1" x14ac:dyDescent="0.25">
      <c r="A68" t="s">
        <v>88</v>
      </c>
      <c r="B68">
        <v>75146</v>
      </c>
      <c r="D68">
        <v>1800</v>
      </c>
      <c r="E68" t="s">
        <v>78</v>
      </c>
      <c r="F68" t="s">
        <v>241</v>
      </c>
      <c r="H68" t="s">
        <v>197</v>
      </c>
    </row>
    <row r="69" spans="1:8" hidden="1" x14ac:dyDescent="0.25">
      <c r="A69" t="s">
        <v>88</v>
      </c>
      <c r="B69">
        <v>1018014</v>
      </c>
      <c r="D69">
        <v>1018014</v>
      </c>
      <c r="E69" t="s">
        <v>79</v>
      </c>
      <c r="F69" t="s">
        <v>79</v>
      </c>
      <c r="H69" t="s">
        <v>204</v>
      </c>
    </row>
    <row r="70" spans="1:8" hidden="1" x14ac:dyDescent="0.25">
      <c r="A70" t="s">
        <v>88</v>
      </c>
      <c r="B70">
        <v>1018122</v>
      </c>
      <c r="D70">
        <v>1018122</v>
      </c>
      <c r="E70" t="s">
        <v>80</v>
      </c>
      <c r="F70" t="s">
        <v>216</v>
      </c>
      <c r="H70" t="s">
        <v>204</v>
      </c>
    </row>
    <row r="71" spans="1:8" hidden="1" x14ac:dyDescent="0.25">
      <c r="A71" t="s">
        <v>88</v>
      </c>
      <c r="B71">
        <v>1018302</v>
      </c>
      <c r="D71">
        <v>1018302</v>
      </c>
      <c r="E71" t="s">
        <v>81</v>
      </c>
      <c r="F71" t="s">
        <v>216</v>
      </c>
      <c r="H71" t="s">
        <v>204</v>
      </c>
    </row>
    <row r="72" spans="1:8" hidden="1" x14ac:dyDescent="0.25">
      <c r="A72" t="s">
        <v>88</v>
      </c>
      <c r="B72">
        <v>1018811</v>
      </c>
      <c r="D72">
        <v>1018811</v>
      </c>
      <c r="E72" t="s">
        <v>82</v>
      </c>
      <c r="F72" t="s">
        <v>203</v>
      </c>
      <c r="H72" t="s">
        <v>197</v>
      </c>
    </row>
    <row r="73" spans="1:8" hidden="1" x14ac:dyDescent="0.25">
      <c r="A73" t="s">
        <v>88</v>
      </c>
      <c r="B73">
        <v>4031</v>
      </c>
      <c r="D73">
        <v>4031</v>
      </c>
      <c r="E73" t="s">
        <v>163</v>
      </c>
      <c r="F73" t="s">
        <v>163</v>
      </c>
      <c r="H73" t="s">
        <v>197</v>
      </c>
    </row>
    <row r="74" spans="1:8" hidden="1" x14ac:dyDescent="0.25">
      <c r="A74" t="s">
        <v>88</v>
      </c>
      <c r="B74">
        <v>2000698</v>
      </c>
      <c r="D74">
        <v>2000698</v>
      </c>
      <c r="E74" t="s">
        <v>83</v>
      </c>
      <c r="F74" t="s">
        <v>33</v>
      </c>
      <c r="H74" t="s">
        <v>197</v>
      </c>
    </row>
    <row r="75" spans="1:8" hidden="1" x14ac:dyDescent="0.25">
      <c r="A75" t="s">
        <v>88</v>
      </c>
      <c r="B75">
        <v>2000732</v>
      </c>
      <c r="D75">
        <v>2000732</v>
      </c>
      <c r="E75" t="s">
        <v>84</v>
      </c>
      <c r="F75" t="s">
        <v>33</v>
      </c>
      <c r="H75" t="s">
        <v>197</v>
      </c>
    </row>
    <row r="76" spans="1:8" hidden="1" x14ac:dyDescent="0.25">
      <c r="A76" t="s">
        <v>88</v>
      </c>
      <c r="B76">
        <v>2000733</v>
      </c>
      <c r="D76">
        <v>2000733</v>
      </c>
      <c r="E76" t="s">
        <v>85</v>
      </c>
      <c r="F76" t="s">
        <v>33</v>
      </c>
      <c r="H76" t="s">
        <v>197</v>
      </c>
    </row>
    <row r="77" spans="1:8" hidden="1" x14ac:dyDescent="0.25">
      <c r="A77" t="s">
        <v>88</v>
      </c>
      <c r="B77">
        <v>2000736</v>
      </c>
      <c r="D77">
        <v>2000736</v>
      </c>
      <c r="E77" t="s">
        <v>86</v>
      </c>
      <c r="F77" t="s">
        <v>76</v>
      </c>
      <c r="H77" t="s">
        <v>197</v>
      </c>
    </row>
    <row r="78" spans="1:8" hidden="1" x14ac:dyDescent="0.25">
      <c r="A78" t="s">
        <v>88</v>
      </c>
      <c r="B78">
        <v>65502313952</v>
      </c>
      <c r="D78">
        <v>92</v>
      </c>
      <c r="E78" t="s">
        <v>213</v>
      </c>
      <c r="F78" t="s">
        <v>214</v>
      </c>
      <c r="H78" t="s">
        <v>204</v>
      </c>
    </row>
    <row r="79" spans="1:8" hidden="1" x14ac:dyDescent="0.25">
      <c r="A79" t="s">
        <v>88</v>
      </c>
      <c r="B79">
        <v>1032873</v>
      </c>
      <c r="D79">
        <v>1032873</v>
      </c>
      <c r="E79" t="s">
        <v>170</v>
      </c>
      <c r="F79" t="s">
        <v>170</v>
      </c>
      <c r="H79" t="s">
        <v>165</v>
      </c>
    </row>
    <row r="80" spans="1:8" hidden="1" x14ac:dyDescent="0.25">
      <c r="A80" t="s">
        <v>88</v>
      </c>
      <c r="B80">
        <v>65508989338</v>
      </c>
      <c r="D80" t="s">
        <v>318</v>
      </c>
      <c r="E80" t="s">
        <v>319</v>
      </c>
      <c r="F80" t="s">
        <v>319</v>
      </c>
      <c r="H80" t="s">
        <v>165</v>
      </c>
    </row>
    <row r="81" spans="1:8" hidden="1" x14ac:dyDescent="0.25">
      <c r="A81" t="s">
        <v>88</v>
      </c>
      <c r="B81">
        <v>65509560409</v>
      </c>
      <c r="D81" t="s">
        <v>353</v>
      </c>
      <c r="E81" t="s">
        <v>349</v>
      </c>
      <c r="F81" t="s">
        <v>349</v>
      </c>
      <c r="H81" t="s">
        <v>165</v>
      </c>
    </row>
    <row r="82" spans="1:8" hidden="1" x14ac:dyDescent="0.25">
      <c r="A82" t="s">
        <v>88</v>
      </c>
      <c r="B82">
        <v>65509560426</v>
      </c>
      <c r="D82" t="s">
        <v>354</v>
      </c>
      <c r="E82" t="s">
        <v>350</v>
      </c>
      <c r="F82" t="s">
        <v>350</v>
      </c>
      <c r="H82" t="s">
        <v>165</v>
      </c>
    </row>
    <row r="83" spans="1:8" hidden="1" x14ac:dyDescent="0.25">
      <c r="A83" t="s">
        <v>88</v>
      </c>
      <c r="B83">
        <v>65509560457</v>
      </c>
      <c r="D83" t="s">
        <v>355</v>
      </c>
      <c r="E83" t="s">
        <v>351</v>
      </c>
      <c r="F83" t="s">
        <v>351</v>
      </c>
      <c r="H83" t="s">
        <v>165</v>
      </c>
    </row>
    <row r="84" spans="1:8" hidden="1" x14ac:dyDescent="0.25">
      <c r="A84" t="s">
        <v>88</v>
      </c>
      <c r="B84">
        <v>65509560443</v>
      </c>
      <c r="D84" t="s">
        <v>356</v>
      </c>
      <c r="E84" t="s">
        <v>352</v>
      </c>
      <c r="F84" t="s">
        <v>352</v>
      </c>
      <c r="H84" t="s">
        <v>165</v>
      </c>
    </row>
    <row r="85" spans="1:8" hidden="1" x14ac:dyDescent="0.25">
      <c r="A85" t="s">
        <v>88</v>
      </c>
      <c r="B85">
        <v>1036723</v>
      </c>
      <c r="D85" t="s">
        <v>312</v>
      </c>
      <c r="E85" t="s">
        <v>314</v>
      </c>
      <c r="F85" t="s">
        <v>314</v>
      </c>
      <c r="H85" t="s">
        <v>165</v>
      </c>
    </row>
    <row r="86" spans="1:8" hidden="1" x14ac:dyDescent="0.25">
      <c r="A86" t="s">
        <v>87</v>
      </c>
      <c r="B86">
        <v>147492</v>
      </c>
      <c r="D86" t="s">
        <v>297</v>
      </c>
      <c r="E86" t="s">
        <v>302</v>
      </c>
      <c r="F86" t="s">
        <v>299</v>
      </c>
      <c r="H86" t="s">
        <v>204</v>
      </c>
    </row>
    <row r="87" spans="1:8" hidden="1" x14ac:dyDescent="0.25">
      <c r="A87" t="s">
        <v>87</v>
      </c>
      <c r="B87">
        <v>147491</v>
      </c>
      <c r="D87" t="s">
        <v>297</v>
      </c>
      <c r="E87" t="s">
        <v>302</v>
      </c>
      <c r="F87" t="s">
        <v>299</v>
      </c>
      <c r="H87" t="s">
        <v>204</v>
      </c>
    </row>
    <row r="88" spans="1:8" hidden="1" x14ac:dyDescent="0.25">
      <c r="A88" t="s">
        <v>87</v>
      </c>
      <c r="B88">
        <v>159246</v>
      </c>
      <c r="D88" t="s">
        <v>297</v>
      </c>
      <c r="E88" t="s">
        <v>302</v>
      </c>
      <c r="F88" t="s">
        <v>299</v>
      </c>
      <c r="H88" t="s">
        <v>204</v>
      </c>
    </row>
    <row r="89" spans="1:8" hidden="1" x14ac:dyDescent="0.25">
      <c r="A89" t="s">
        <v>87</v>
      </c>
      <c r="B89">
        <v>1010401</v>
      </c>
      <c r="D89" t="s">
        <v>297</v>
      </c>
      <c r="E89" t="s">
        <v>302</v>
      </c>
      <c r="F89" t="s">
        <v>299</v>
      </c>
      <c r="H89" t="s">
        <v>204</v>
      </c>
    </row>
    <row r="90" spans="1:8" hidden="1" x14ac:dyDescent="0.25">
      <c r="A90" t="s">
        <v>105</v>
      </c>
      <c r="B90">
        <v>2000470</v>
      </c>
      <c r="D90" t="s">
        <v>89</v>
      </c>
      <c r="E90" t="s">
        <v>264</v>
      </c>
      <c r="F90" t="s">
        <v>265</v>
      </c>
      <c r="H90" t="s">
        <v>204</v>
      </c>
    </row>
    <row r="91" spans="1:8" hidden="1" x14ac:dyDescent="0.25">
      <c r="A91" t="s">
        <v>105</v>
      </c>
      <c r="B91">
        <v>2000469</v>
      </c>
      <c r="D91" t="s">
        <v>90</v>
      </c>
      <c r="E91" t="s">
        <v>266</v>
      </c>
      <c r="F91" t="s">
        <v>265</v>
      </c>
      <c r="H91" t="s">
        <v>204</v>
      </c>
    </row>
    <row r="92" spans="1:8" hidden="1" x14ac:dyDescent="0.25">
      <c r="A92" t="s">
        <v>105</v>
      </c>
      <c r="B92">
        <v>2000466</v>
      </c>
      <c r="D92" t="s">
        <v>91</v>
      </c>
      <c r="E92" t="s">
        <v>268</v>
      </c>
      <c r="F92" t="s">
        <v>265</v>
      </c>
      <c r="H92" t="s">
        <v>204</v>
      </c>
    </row>
    <row r="93" spans="1:8" hidden="1" x14ac:dyDescent="0.25">
      <c r="A93" t="s">
        <v>105</v>
      </c>
      <c r="B93">
        <v>2000467</v>
      </c>
      <c r="D93" t="s">
        <v>92</v>
      </c>
      <c r="E93" t="s">
        <v>269</v>
      </c>
      <c r="F93" t="s">
        <v>265</v>
      </c>
      <c r="H93" t="s">
        <v>204</v>
      </c>
    </row>
    <row r="94" spans="1:8" hidden="1" x14ac:dyDescent="0.25">
      <c r="A94" t="s">
        <v>105</v>
      </c>
      <c r="B94">
        <v>1018867</v>
      </c>
      <c r="D94" t="s">
        <v>93</v>
      </c>
      <c r="E94" t="s">
        <v>249</v>
      </c>
      <c r="F94" t="s">
        <v>250</v>
      </c>
      <c r="H94" t="s">
        <v>204</v>
      </c>
    </row>
    <row r="95" spans="1:8" hidden="1" x14ac:dyDescent="0.25">
      <c r="A95" t="s">
        <v>105</v>
      </c>
      <c r="B95">
        <v>65501372909</v>
      </c>
      <c r="D95" t="s">
        <v>94</v>
      </c>
      <c r="E95" t="s">
        <v>95</v>
      </c>
      <c r="F95" t="s">
        <v>254</v>
      </c>
      <c r="H95" t="s">
        <v>204</v>
      </c>
    </row>
    <row r="96" spans="1:8" hidden="1" x14ac:dyDescent="0.25">
      <c r="A96" t="s">
        <v>105</v>
      </c>
      <c r="B96">
        <v>65505283448</v>
      </c>
      <c r="D96" t="s">
        <v>96</v>
      </c>
      <c r="E96" t="s">
        <v>246</v>
      </c>
      <c r="F96" t="s">
        <v>247</v>
      </c>
      <c r="H96" t="s">
        <v>204</v>
      </c>
    </row>
    <row r="97" spans="1:8" hidden="1" x14ac:dyDescent="0.25">
      <c r="A97" t="s">
        <v>105</v>
      </c>
      <c r="B97">
        <v>65505283360</v>
      </c>
      <c r="D97" t="s">
        <v>97</v>
      </c>
      <c r="E97" t="s">
        <v>248</v>
      </c>
      <c r="F97" t="s">
        <v>247</v>
      </c>
      <c r="H97" t="s">
        <v>204</v>
      </c>
    </row>
    <row r="98" spans="1:8" hidden="1" x14ac:dyDescent="0.25">
      <c r="A98" t="s">
        <v>105</v>
      </c>
      <c r="B98">
        <v>65505283309</v>
      </c>
      <c r="D98" t="s">
        <v>98</v>
      </c>
      <c r="E98" t="s">
        <v>98</v>
      </c>
      <c r="F98" t="s">
        <v>247</v>
      </c>
      <c r="H98" t="s">
        <v>204</v>
      </c>
    </row>
    <row r="99" spans="1:8" hidden="1" x14ac:dyDescent="0.25">
      <c r="A99" t="s">
        <v>105</v>
      </c>
      <c r="B99">
        <v>65505285253</v>
      </c>
      <c r="D99" t="s">
        <v>99</v>
      </c>
      <c r="E99" t="s">
        <v>99</v>
      </c>
      <c r="F99" t="s">
        <v>247</v>
      </c>
      <c r="H99" t="s">
        <v>204</v>
      </c>
    </row>
    <row r="100" spans="1:8" hidden="1" x14ac:dyDescent="0.25">
      <c r="A100" t="s">
        <v>105</v>
      </c>
      <c r="B100">
        <v>1031340</v>
      </c>
      <c r="D100" t="s">
        <v>100</v>
      </c>
      <c r="E100" t="s">
        <v>101</v>
      </c>
      <c r="F100" t="s">
        <v>101</v>
      </c>
      <c r="H100" t="s">
        <v>204</v>
      </c>
    </row>
    <row r="101" spans="1:8" hidden="1" x14ac:dyDescent="0.25">
      <c r="A101" t="s">
        <v>105</v>
      </c>
      <c r="B101">
        <v>2000848</v>
      </c>
      <c r="D101" t="s">
        <v>173</v>
      </c>
      <c r="E101" t="s">
        <v>253</v>
      </c>
      <c r="F101" t="s">
        <v>252</v>
      </c>
      <c r="H101" t="s">
        <v>204</v>
      </c>
    </row>
    <row r="102" spans="1:8" hidden="1" x14ac:dyDescent="0.25">
      <c r="A102" t="s">
        <v>105</v>
      </c>
      <c r="B102">
        <v>2000849</v>
      </c>
      <c r="D102" t="s">
        <v>174</v>
      </c>
      <c r="E102" t="s">
        <v>251</v>
      </c>
      <c r="F102" t="s">
        <v>252</v>
      </c>
      <c r="H102" t="s">
        <v>204</v>
      </c>
    </row>
    <row r="103" spans="1:8" hidden="1" x14ac:dyDescent="0.25">
      <c r="A103" t="s">
        <v>105</v>
      </c>
      <c r="B103">
        <v>2000926</v>
      </c>
      <c r="D103" t="s">
        <v>256</v>
      </c>
      <c r="E103" t="s">
        <v>257</v>
      </c>
      <c r="F103" t="s">
        <v>258</v>
      </c>
      <c r="H103" t="s">
        <v>204</v>
      </c>
    </row>
    <row r="104" spans="1:8" hidden="1" x14ac:dyDescent="0.25">
      <c r="A104" t="s">
        <v>105</v>
      </c>
      <c r="B104">
        <v>1031547</v>
      </c>
      <c r="D104">
        <v>1031547</v>
      </c>
      <c r="E104" t="s">
        <v>34</v>
      </c>
      <c r="F104" t="s">
        <v>245</v>
      </c>
      <c r="H104" t="s">
        <v>204</v>
      </c>
    </row>
    <row r="105" spans="1:8" hidden="1" x14ac:dyDescent="0.25">
      <c r="A105" t="s">
        <v>105</v>
      </c>
      <c r="B105">
        <v>1031548</v>
      </c>
      <c r="D105">
        <v>1031548</v>
      </c>
      <c r="E105" t="s">
        <v>35</v>
      </c>
      <c r="F105" t="s">
        <v>245</v>
      </c>
      <c r="H105" t="s">
        <v>204</v>
      </c>
    </row>
    <row r="106" spans="1:8" hidden="1" x14ac:dyDescent="0.25">
      <c r="A106" t="s">
        <v>105</v>
      </c>
      <c r="B106">
        <v>1031549</v>
      </c>
      <c r="D106">
        <v>1031549</v>
      </c>
      <c r="E106" t="s">
        <v>36</v>
      </c>
      <c r="F106" t="s">
        <v>245</v>
      </c>
      <c r="H106" t="s">
        <v>204</v>
      </c>
    </row>
    <row r="107" spans="1:8" hidden="1" x14ac:dyDescent="0.25">
      <c r="A107" t="s">
        <v>105</v>
      </c>
      <c r="B107">
        <v>1031550</v>
      </c>
      <c r="D107">
        <v>1031550</v>
      </c>
      <c r="E107" t="s">
        <v>37</v>
      </c>
      <c r="F107" t="s">
        <v>245</v>
      </c>
      <c r="H107" t="s">
        <v>204</v>
      </c>
    </row>
    <row r="108" spans="1:8" hidden="1" x14ac:dyDescent="0.25">
      <c r="A108" t="s">
        <v>105</v>
      </c>
      <c r="B108">
        <v>1031551</v>
      </c>
      <c r="D108">
        <v>1031551</v>
      </c>
      <c r="E108" t="s">
        <v>38</v>
      </c>
      <c r="F108" t="s">
        <v>245</v>
      </c>
      <c r="H108" t="s">
        <v>204</v>
      </c>
    </row>
    <row r="109" spans="1:8" hidden="1" x14ac:dyDescent="0.25">
      <c r="A109" t="s">
        <v>105</v>
      </c>
      <c r="B109">
        <v>78666</v>
      </c>
      <c r="D109">
        <v>118</v>
      </c>
      <c r="E109" t="s">
        <v>230</v>
      </c>
      <c r="F109" t="s">
        <v>142</v>
      </c>
      <c r="H109" t="s">
        <v>204</v>
      </c>
    </row>
    <row r="110" spans="1:8" hidden="1" x14ac:dyDescent="0.25">
      <c r="A110" t="s">
        <v>105</v>
      </c>
      <c r="B110">
        <v>2000219</v>
      </c>
      <c r="D110">
        <v>118</v>
      </c>
      <c r="E110" t="s">
        <v>230</v>
      </c>
      <c r="F110" t="s">
        <v>142</v>
      </c>
      <c r="H110" t="s">
        <v>204</v>
      </c>
    </row>
    <row r="111" spans="1:8" hidden="1" x14ac:dyDescent="0.25">
      <c r="A111" t="s">
        <v>105</v>
      </c>
      <c r="B111">
        <v>2000220</v>
      </c>
      <c r="D111">
        <v>118</v>
      </c>
      <c r="E111" t="s">
        <v>230</v>
      </c>
      <c r="F111" t="s">
        <v>142</v>
      </c>
      <c r="H111" t="s">
        <v>204</v>
      </c>
    </row>
    <row r="112" spans="1:8" hidden="1" x14ac:dyDescent="0.25">
      <c r="A112" t="s">
        <v>105</v>
      </c>
      <c r="B112">
        <v>2000221</v>
      </c>
      <c r="D112">
        <v>118</v>
      </c>
      <c r="E112" t="s">
        <v>230</v>
      </c>
      <c r="F112" t="s">
        <v>142</v>
      </c>
      <c r="H112" t="s">
        <v>204</v>
      </c>
    </row>
    <row r="113" spans="1:8" hidden="1" x14ac:dyDescent="0.25">
      <c r="A113" t="s">
        <v>105</v>
      </c>
      <c r="B113">
        <v>78665</v>
      </c>
      <c r="D113">
        <v>118</v>
      </c>
      <c r="E113" t="s">
        <v>230</v>
      </c>
      <c r="F113" t="s">
        <v>142</v>
      </c>
      <c r="H113" t="s">
        <v>204</v>
      </c>
    </row>
    <row r="114" spans="1:8" hidden="1" x14ac:dyDescent="0.25">
      <c r="A114" t="s">
        <v>105</v>
      </c>
      <c r="B114">
        <v>2000216</v>
      </c>
      <c r="D114">
        <v>118</v>
      </c>
      <c r="E114" t="s">
        <v>230</v>
      </c>
      <c r="F114" t="s">
        <v>142</v>
      </c>
      <c r="H114" t="s">
        <v>204</v>
      </c>
    </row>
    <row r="115" spans="1:8" hidden="1" x14ac:dyDescent="0.25">
      <c r="A115" t="s">
        <v>105</v>
      </c>
      <c r="B115">
        <v>2000217</v>
      </c>
      <c r="D115">
        <v>118</v>
      </c>
      <c r="E115" t="s">
        <v>230</v>
      </c>
      <c r="F115" t="s">
        <v>142</v>
      </c>
      <c r="H115" t="s">
        <v>204</v>
      </c>
    </row>
    <row r="116" spans="1:8" hidden="1" x14ac:dyDescent="0.25">
      <c r="A116" t="s">
        <v>105</v>
      </c>
      <c r="B116">
        <v>2000218</v>
      </c>
      <c r="D116">
        <v>118</v>
      </c>
      <c r="E116" t="s">
        <v>230</v>
      </c>
      <c r="F116" t="s">
        <v>142</v>
      </c>
      <c r="H116" t="s">
        <v>204</v>
      </c>
    </row>
    <row r="117" spans="1:8" hidden="1" x14ac:dyDescent="0.25">
      <c r="A117" t="s">
        <v>105</v>
      </c>
      <c r="B117">
        <v>2000183</v>
      </c>
      <c r="D117">
        <v>2500</v>
      </c>
      <c r="E117" t="s">
        <v>244</v>
      </c>
      <c r="F117" t="s">
        <v>142</v>
      </c>
      <c r="H117" t="s">
        <v>204</v>
      </c>
    </row>
    <row r="118" spans="1:8" hidden="1" x14ac:dyDescent="0.25">
      <c r="A118" t="s">
        <v>105</v>
      </c>
      <c r="B118" t="s">
        <v>111</v>
      </c>
      <c r="D118">
        <v>2500</v>
      </c>
      <c r="E118" t="s">
        <v>244</v>
      </c>
      <c r="F118" t="s">
        <v>142</v>
      </c>
      <c r="H118" t="s">
        <v>204</v>
      </c>
    </row>
    <row r="119" spans="1:8" hidden="1" x14ac:dyDescent="0.25">
      <c r="A119" t="s">
        <v>105</v>
      </c>
      <c r="B119" t="s">
        <v>112</v>
      </c>
      <c r="D119">
        <v>2500</v>
      </c>
      <c r="E119" t="s">
        <v>244</v>
      </c>
      <c r="F119" t="s">
        <v>142</v>
      </c>
      <c r="H119" t="s">
        <v>204</v>
      </c>
    </row>
    <row r="120" spans="1:8" hidden="1" x14ac:dyDescent="0.25">
      <c r="A120" t="s">
        <v>105</v>
      </c>
      <c r="B120" t="s">
        <v>113</v>
      </c>
      <c r="D120">
        <v>2500</v>
      </c>
      <c r="E120" t="s">
        <v>244</v>
      </c>
      <c r="F120" t="s">
        <v>142</v>
      </c>
      <c r="H120" t="s">
        <v>204</v>
      </c>
    </row>
    <row r="121" spans="1:8" hidden="1" x14ac:dyDescent="0.25">
      <c r="A121" t="s">
        <v>105</v>
      </c>
      <c r="B121">
        <v>2000182</v>
      </c>
      <c r="D121">
        <v>2500</v>
      </c>
      <c r="E121" t="s">
        <v>244</v>
      </c>
      <c r="F121" t="s">
        <v>142</v>
      </c>
      <c r="H121" t="s">
        <v>204</v>
      </c>
    </row>
    <row r="122" spans="1:8" hidden="1" x14ac:dyDescent="0.25">
      <c r="A122" t="s">
        <v>105</v>
      </c>
      <c r="B122" t="s">
        <v>114</v>
      </c>
      <c r="D122">
        <v>2500</v>
      </c>
      <c r="E122" t="s">
        <v>244</v>
      </c>
      <c r="F122" t="s">
        <v>142</v>
      </c>
      <c r="H122" t="s">
        <v>204</v>
      </c>
    </row>
    <row r="123" spans="1:8" hidden="1" x14ac:dyDescent="0.25">
      <c r="A123" t="s">
        <v>105</v>
      </c>
      <c r="B123" t="s">
        <v>115</v>
      </c>
      <c r="D123">
        <v>2500</v>
      </c>
      <c r="E123" t="s">
        <v>244</v>
      </c>
      <c r="F123" t="s">
        <v>142</v>
      </c>
      <c r="H123" t="s">
        <v>204</v>
      </c>
    </row>
    <row r="124" spans="1:8" hidden="1" x14ac:dyDescent="0.25">
      <c r="A124" t="s">
        <v>105</v>
      </c>
      <c r="B124" t="s">
        <v>116</v>
      </c>
      <c r="D124">
        <v>2500</v>
      </c>
      <c r="E124" t="s">
        <v>244</v>
      </c>
      <c r="F124" t="s">
        <v>142</v>
      </c>
      <c r="H124" t="s">
        <v>204</v>
      </c>
    </row>
    <row r="125" spans="1:8" hidden="1" x14ac:dyDescent="0.25">
      <c r="A125" t="s">
        <v>105</v>
      </c>
      <c r="B125" t="s">
        <v>117</v>
      </c>
      <c r="D125">
        <v>2600</v>
      </c>
      <c r="E125" t="s">
        <v>285</v>
      </c>
      <c r="F125" t="s">
        <v>142</v>
      </c>
      <c r="H125" t="s">
        <v>204</v>
      </c>
    </row>
    <row r="126" spans="1:8" hidden="1" x14ac:dyDescent="0.25">
      <c r="A126" t="s">
        <v>105</v>
      </c>
      <c r="B126" t="s">
        <v>118</v>
      </c>
      <c r="D126">
        <v>2600</v>
      </c>
      <c r="E126" t="s">
        <v>285</v>
      </c>
      <c r="F126" t="s">
        <v>142</v>
      </c>
      <c r="H126" t="s">
        <v>204</v>
      </c>
    </row>
    <row r="127" spans="1:8" hidden="1" x14ac:dyDescent="0.25">
      <c r="A127" t="s">
        <v>105</v>
      </c>
      <c r="B127" t="s">
        <v>119</v>
      </c>
      <c r="D127">
        <v>2600</v>
      </c>
      <c r="E127" t="s">
        <v>285</v>
      </c>
      <c r="F127" t="s">
        <v>142</v>
      </c>
      <c r="H127" t="s">
        <v>204</v>
      </c>
    </row>
    <row r="128" spans="1:8" hidden="1" x14ac:dyDescent="0.25">
      <c r="A128" t="s">
        <v>105</v>
      </c>
      <c r="B128" t="s">
        <v>120</v>
      </c>
      <c r="D128">
        <v>2600</v>
      </c>
      <c r="E128" t="s">
        <v>285</v>
      </c>
      <c r="F128" t="s">
        <v>142</v>
      </c>
      <c r="H128" t="s">
        <v>204</v>
      </c>
    </row>
    <row r="129" spans="1:8" hidden="1" x14ac:dyDescent="0.25">
      <c r="A129" t="s">
        <v>105</v>
      </c>
      <c r="B129" t="s">
        <v>121</v>
      </c>
      <c r="D129">
        <v>2600</v>
      </c>
      <c r="E129" t="s">
        <v>285</v>
      </c>
      <c r="F129" t="s">
        <v>142</v>
      </c>
      <c r="H129" t="s">
        <v>204</v>
      </c>
    </row>
    <row r="130" spans="1:8" hidden="1" x14ac:dyDescent="0.25">
      <c r="A130" t="s">
        <v>105</v>
      </c>
      <c r="B130" t="s">
        <v>122</v>
      </c>
      <c r="D130">
        <v>2600</v>
      </c>
      <c r="E130" t="s">
        <v>285</v>
      </c>
      <c r="F130" t="s">
        <v>142</v>
      </c>
      <c r="H130" t="s">
        <v>204</v>
      </c>
    </row>
    <row r="131" spans="1:8" hidden="1" x14ac:dyDescent="0.25">
      <c r="A131" t="s">
        <v>105</v>
      </c>
      <c r="B131" t="s">
        <v>123</v>
      </c>
      <c r="D131">
        <v>2600</v>
      </c>
      <c r="E131" t="s">
        <v>285</v>
      </c>
      <c r="F131" t="s">
        <v>142</v>
      </c>
      <c r="H131" t="s">
        <v>204</v>
      </c>
    </row>
    <row r="132" spans="1:8" hidden="1" x14ac:dyDescent="0.25">
      <c r="A132" t="s">
        <v>105</v>
      </c>
      <c r="B132" t="s">
        <v>124</v>
      </c>
      <c r="D132">
        <v>2600</v>
      </c>
      <c r="E132" t="s">
        <v>285</v>
      </c>
      <c r="F132" t="s">
        <v>142</v>
      </c>
      <c r="H132" t="s">
        <v>204</v>
      </c>
    </row>
    <row r="133" spans="1:8" hidden="1" x14ac:dyDescent="0.25">
      <c r="A133" t="s">
        <v>105</v>
      </c>
      <c r="B133" t="s">
        <v>125</v>
      </c>
      <c r="D133">
        <v>2777</v>
      </c>
      <c r="E133" t="s">
        <v>287</v>
      </c>
      <c r="F133" t="s">
        <v>142</v>
      </c>
      <c r="H133" t="s">
        <v>204</v>
      </c>
    </row>
    <row r="134" spans="1:8" hidden="1" x14ac:dyDescent="0.25">
      <c r="A134" t="s">
        <v>105</v>
      </c>
      <c r="B134" t="s">
        <v>126</v>
      </c>
      <c r="D134">
        <v>2777</v>
      </c>
      <c r="E134" t="s">
        <v>287</v>
      </c>
      <c r="F134" t="s">
        <v>142</v>
      </c>
      <c r="H134" t="s">
        <v>204</v>
      </c>
    </row>
    <row r="135" spans="1:8" hidden="1" x14ac:dyDescent="0.25">
      <c r="A135" t="s">
        <v>105</v>
      </c>
      <c r="B135" t="s">
        <v>127</v>
      </c>
      <c r="D135">
        <v>2777</v>
      </c>
      <c r="E135" t="s">
        <v>287</v>
      </c>
      <c r="F135" t="s">
        <v>142</v>
      </c>
      <c r="H135" t="s">
        <v>204</v>
      </c>
    </row>
    <row r="136" spans="1:8" hidden="1" x14ac:dyDescent="0.25">
      <c r="A136" t="s">
        <v>105</v>
      </c>
      <c r="B136" t="s">
        <v>128</v>
      </c>
      <c r="D136">
        <v>2777</v>
      </c>
      <c r="E136" t="s">
        <v>287</v>
      </c>
      <c r="F136" t="s">
        <v>142</v>
      </c>
      <c r="H136" t="s">
        <v>204</v>
      </c>
    </row>
    <row r="137" spans="1:8" hidden="1" x14ac:dyDescent="0.25">
      <c r="A137" t="s">
        <v>105</v>
      </c>
      <c r="B137" t="s">
        <v>129</v>
      </c>
      <c r="D137">
        <v>2777</v>
      </c>
      <c r="E137" t="s">
        <v>287</v>
      </c>
      <c r="F137" t="s">
        <v>142</v>
      </c>
      <c r="H137" t="s">
        <v>204</v>
      </c>
    </row>
    <row r="138" spans="1:8" hidden="1" x14ac:dyDescent="0.25">
      <c r="A138" t="s">
        <v>105</v>
      </c>
      <c r="B138" t="s">
        <v>130</v>
      </c>
      <c r="D138">
        <v>2777</v>
      </c>
      <c r="E138" t="s">
        <v>287</v>
      </c>
      <c r="F138" t="s">
        <v>142</v>
      </c>
      <c r="H138" t="s">
        <v>204</v>
      </c>
    </row>
    <row r="139" spans="1:8" hidden="1" x14ac:dyDescent="0.25">
      <c r="A139" t="s">
        <v>105</v>
      </c>
      <c r="B139" t="s">
        <v>131</v>
      </c>
      <c r="D139">
        <v>2777</v>
      </c>
      <c r="E139" t="s">
        <v>287</v>
      </c>
      <c r="F139" t="s">
        <v>142</v>
      </c>
      <c r="H139" t="s">
        <v>204</v>
      </c>
    </row>
    <row r="140" spans="1:8" hidden="1" x14ac:dyDescent="0.25">
      <c r="A140" t="s">
        <v>105</v>
      </c>
      <c r="B140" t="s">
        <v>132</v>
      </c>
      <c r="D140">
        <v>2777</v>
      </c>
      <c r="E140" t="s">
        <v>287</v>
      </c>
      <c r="F140" t="s">
        <v>142</v>
      </c>
      <c r="H140" t="s">
        <v>204</v>
      </c>
    </row>
    <row r="141" spans="1:8" hidden="1" x14ac:dyDescent="0.25">
      <c r="A141" t="s">
        <v>105</v>
      </c>
      <c r="B141" t="s">
        <v>133</v>
      </c>
      <c r="D141">
        <v>2700</v>
      </c>
      <c r="E141" t="s">
        <v>179</v>
      </c>
      <c r="F141" t="s">
        <v>142</v>
      </c>
      <c r="H141" t="s">
        <v>204</v>
      </c>
    </row>
    <row r="142" spans="1:8" hidden="1" x14ac:dyDescent="0.25">
      <c r="A142" t="s">
        <v>105</v>
      </c>
      <c r="B142" t="s">
        <v>134</v>
      </c>
      <c r="D142">
        <v>2700</v>
      </c>
      <c r="E142" t="s">
        <v>179</v>
      </c>
      <c r="F142" t="s">
        <v>142</v>
      </c>
      <c r="H142" t="s">
        <v>204</v>
      </c>
    </row>
    <row r="143" spans="1:8" hidden="1" x14ac:dyDescent="0.25">
      <c r="A143" t="s">
        <v>105</v>
      </c>
      <c r="B143" t="s">
        <v>135</v>
      </c>
      <c r="D143">
        <v>2700</v>
      </c>
      <c r="E143" t="s">
        <v>179</v>
      </c>
      <c r="F143" t="s">
        <v>142</v>
      </c>
      <c r="H143" t="s">
        <v>204</v>
      </c>
    </row>
    <row r="144" spans="1:8" hidden="1" x14ac:dyDescent="0.25">
      <c r="A144" t="s">
        <v>105</v>
      </c>
      <c r="B144" t="s">
        <v>136</v>
      </c>
      <c r="D144">
        <v>2700</v>
      </c>
      <c r="E144" t="s">
        <v>179</v>
      </c>
      <c r="F144" t="s">
        <v>142</v>
      </c>
      <c r="H144" t="s">
        <v>204</v>
      </c>
    </row>
    <row r="145" spans="1:8" hidden="1" x14ac:dyDescent="0.25">
      <c r="A145" t="s">
        <v>105</v>
      </c>
      <c r="B145" t="s">
        <v>137</v>
      </c>
      <c r="D145">
        <v>2700</v>
      </c>
      <c r="E145" t="s">
        <v>179</v>
      </c>
      <c r="F145" t="s">
        <v>142</v>
      </c>
      <c r="H145" t="s">
        <v>204</v>
      </c>
    </row>
    <row r="146" spans="1:8" hidden="1" x14ac:dyDescent="0.25">
      <c r="A146" t="s">
        <v>105</v>
      </c>
      <c r="B146" t="s">
        <v>138</v>
      </c>
      <c r="D146">
        <v>2700</v>
      </c>
      <c r="E146" t="s">
        <v>179</v>
      </c>
      <c r="F146" t="s">
        <v>142</v>
      </c>
      <c r="H146" t="s">
        <v>204</v>
      </c>
    </row>
    <row r="147" spans="1:8" hidden="1" x14ac:dyDescent="0.25">
      <c r="A147" t="s">
        <v>105</v>
      </c>
      <c r="B147" t="s">
        <v>139</v>
      </c>
      <c r="D147">
        <v>2700</v>
      </c>
      <c r="E147" t="s">
        <v>179</v>
      </c>
      <c r="F147" t="s">
        <v>142</v>
      </c>
      <c r="H147" t="s">
        <v>204</v>
      </c>
    </row>
    <row r="148" spans="1:8" hidden="1" x14ac:dyDescent="0.25">
      <c r="A148" t="s">
        <v>105</v>
      </c>
      <c r="B148" t="s">
        <v>140</v>
      </c>
      <c r="D148">
        <v>2700</v>
      </c>
      <c r="E148" t="s">
        <v>179</v>
      </c>
      <c r="F148" t="s">
        <v>142</v>
      </c>
      <c r="H148" t="s">
        <v>204</v>
      </c>
    </row>
    <row r="149" spans="1:8" hidden="1" x14ac:dyDescent="0.25">
      <c r="A149" t="s">
        <v>105</v>
      </c>
      <c r="B149">
        <v>2000385</v>
      </c>
      <c r="D149">
        <v>2100</v>
      </c>
      <c r="E149" t="s">
        <v>291</v>
      </c>
      <c r="F149" t="s">
        <v>292</v>
      </c>
      <c r="H149" t="s">
        <v>204</v>
      </c>
    </row>
    <row r="150" spans="1:8" hidden="1" x14ac:dyDescent="0.25">
      <c r="A150" t="s">
        <v>105</v>
      </c>
      <c r="B150">
        <v>566810</v>
      </c>
      <c r="D150">
        <v>2200</v>
      </c>
      <c r="E150" t="s">
        <v>103</v>
      </c>
      <c r="F150" t="s">
        <v>103</v>
      </c>
      <c r="H150" t="s">
        <v>197</v>
      </c>
    </row>
    <row r="151" spans="1:8" hidden="1" x14ac:dyDescent="0.25">
      <c r="A151" t="s">
        <v>105</v>
      </c>
      <c r="B151">
        <v>142518</v>
      </c>
      <c r="D151">
        <v>2300</v>
      </c>
      <c r="E151" t="s">
        <v>104</v>
      </c>
      <c r="F151" t="s">
        <v>103</v>
      </c>
      <c r="H151" t="s">
        <v>197</v>
      </c>
    </row>
    <row r="152" spans="1:8" hidden="1" x14ac:dyDescent="0.25">
      <c r="A152" t="s">
        <v>105</v>
      </c>
      <c r="B152">
        <v>1031341</v>
      </c>
      <c r="D152" t="s">
        <v>175</v>
      </c>
      <c r="E152" t="s">
        <v>148</v>
      </c>
      <c r="F152" t="s">
        <v>148</v>
      </c>
      <c r="H152" t="s">
        <v>204</v>
      </c>
    </row>
    <row r="153" spans="1:8" hidden="1" x14ac:dyDescent="0.25">
      <c r="A153" t="s">
        <v>105</v>
      </c>
      <c r="B153">
        <v>2001049</v>
      </c>
      <c r="D153" t="s">
        <v>176</v>
      </c>
      <c r="E153" t="s">
        <v>272</v>
      </c>
      <c r="F153" t="s">
        <v>271</v>
      </c>
      <c r="H153" t="s">
        <v>204</v>
      </c>
    </row>
    <row r="154" spans="1:8" hidden="1" x14ac:dyDescent="0.25">
      <c r="A154" t="s">
        <v>105</v>
      </c>
      <c r="B154">
        <v>2001050</v>
      </c>
      <c r="D154" t="s">
        <v>177</v>
      </c>
      <c r="E154" t="s">
        <v>270</v>
      </c>
      <c r="F154" t="s">
        <v>271</v>
      </c>
      <c r="H154" t="s">
        <v>204</v>
      </c>
    </row>
    <row r="155" spans="1:8" hidden="1" x14ac:dyDescent="0.25">
      <c r="A155" t="s">
        <v>105</v>
      </c>
      <c r="B155" t="s">
        <v>150</v>
      </c>
      <c r="D155">
        <v>2779</v>
      </c>
      <c r="E155" t="s">
        <v>289</v>
      </c>
      <c r="F155" t="s">
        <v>142</v>
      </c>
      <c r="H155" t="s">
        <v>204</v>
      </c>
    </row>
    <row r="156" spans="1:8" hidden="1" x14ac:dyDescent="0.25">
      <c r="A156" t="s">
        <v>105</v>
      </c>
      <c r="B156" t="s">
        <v>151</v>
      </c>
      <c r="D156">
        <v>2779</v>
      </c>
      <c r="E156" t="s">
        <v>289</v>
      </c>
      <c r="F156" t="s">
        <v>142</v>
      </c>
      <c r="H156" t="s">
        <v>204</v>
      </c>
    </row>
    <row r="157" spans="1:8" hidden="1" x14ac:dyDescent="0.25">
      <c r="A157" t="s">
        <v>105</v>
      </c>
      <c r="B157" t="s">
        <v>152</v>
      </c>
      <c r="D157">
        <v>2779</v>
      </c>
      <c r="E157" t="s">
        <v>289</v>
      </c>
      <c r="F157" t="s">
        <v>142</v>
      </c>
      <c r="H157" t="s">
        <v>204</v>
      </c>
    </row>
    <row r="158" spans="1:8" hidden="1" x14ac:dyDescent="0.25">
      <c r="A158" t="s">
        <v>105</v>
      </c>
      <c r="B158" t="s">
        <v>153</v>
      </c>
      <c r="D158">
        <v>2779</v>
      </c>
      <c r="E158" t="s">
        <v>289</v>
      </c>
      <c r="F158" t="s">
        <v>142</v>
      </c>
      <c r="H158" t="s">
        <v>204</v>
      </c>
    </row>
    <row r="159" spans="1:8" hidden="1" x14ac:dyDescent="0.25">
      <c r="A159" t="s">
        <v>105</v>
      </c>
      <c r="B159" t="s">
        <v>154</v>
      </c>
      <c r="D159">
        <v>2779</v>
      </c>
      <c r="E159" t="s">
        <v>289</v>
      </c>
      <c r="F159" t="s">
        <v>142</v>
      </c>
      <c r="H159" t="s">
        <v>204</v>
      </c>
    </row>
    <row r="160" spans="1:8" hidden="1" x14ac:dyDescent="0.25">
      <c r="A160" t="s">
        <v>105</v>
      </c>
      <c r="B160" t="s">
        <v>155</v>
      </c>
      <c r="D160">
        <v>2779</v>
      </c>
      <c r="E160" t="s">
        <v>289</v>
      </c>
      <c r="F160" t="s">
        <v>142</v>
      </c>
      <c r="H160" t="s">
        <v>204</v>
      </c>
    </row>
    <row r="161" spans="1:8" hidden="1" x14ac:dyDescent="0.25">
      <c r="A161" t="s">
        <v>105</v>
      </c>
      <c r="B161" t="s">
        <v>156</v>
      </c>
      <c r="D161">
        <v>2779</v>
      </c>
      <c r="E161" t="s">
        <v>289</v>
      </c>
      <c r="F161" t="s">
        <v>142</v>
      </c>
      <c r="H161" t="s">
        <v>204</v>
      </c>
    </row>
    <row r="162" spans="1:8" hidden="1" x14ac:dyDescent="0.25">
      <c r="A162" t="s">
        <v>105</v>
      </c>
      <c r="B162" t="s">
        <v>157</v>
      </c>
      <c r="D162">
        <v>2779</v>
      </c>
      <c r="E162" t="s">
        <v>289</v>
      </c>
      <c r="F162" t="s">
        <v>142</v>
      </c>
      <c r="H162" t="s">
        <v>204</v>
      </c>
    </row>
    <row r="163" spans="1:8" hidden="1" x14ac:dyDescent="0.25">
      <c r="A163" t="s">
        <v>105</v>
      </c>
      <c r="B163" t="s">
        <v>159</v>
      </c>
      <c r="D163">
        <v>2001022</v>
      </c>
      <c r="E163" t="s">
        <v>280</v>
      </c>
      <c r="F163" t="s">
        <v>149</v>
      </c>
      <c r="H163" t="s">
        <v>204</v>
      </c>
    </row>
    <row r="164" spans="1:8" hidden="1" x14ac:dyDescent="0.25">
      <c r="A164" t="s">
        <v>105</v>
      </c>
      <c r="B164" t="s">
        <v>160</v>
      </c>
      <c r="D164">
        <v>2001022</v>
      </c>
      <c r="E164" t="s">
        <v>280</v>
      </c>
      <c r="F164" t="s">
        <v>149</v>
      </c>
      <c r="H164" t="s">
        <v>204</v>
      </c>
    </row>
    <row r="165" spans="1:8" hidden="1" x14ac:dyDescent="0.25">
      <c r="A165" t="s">
        <v>105</v>
      </c>
      <c r="B165" t="s">
        <v>161</v>
      </c>
      <c r="D165">
        <v>2001022</v>
      </c>
      <c r="E165" t="s">
        <v>280</v>
      </c>
      <c r="F165" t="s">
        <v>149</v>
      </c>
      <c r="H165" t="s">
        <v>204</v>
      </c>
    </row>
    <row r="166" spans="1:8" hidden="1" x14ac:dyDescent="0.25">
      <c r="A166" t="s">
        <v>105</v>
      </c>
      <c r="B166" t="s">
        <v>162</v>
      </c>
      <c r="D166">
        <v>2001022</v>
      </c>
      <c r="E166" t="s">
        <v>280</v>
      </c>
      <c r="F166" t="s">
        <v>149</v>
      </c>
      <c r="H166" t="s">
        <v>204</v>
      </c>
    </row>
    <row r="167" spans="1:8" hidden="1" x14ac:dyDescent="0.25">
      <c r="A167" t="s">
        <v>105</v>
      </c>
      <c r="B167">
        <v>1037090</v>
      </c>
      <c r="D167" t="s">
        <v>303</v>
      </c>
      <c r="E167" t="s">
        <v>309</v>
      </c>
      <c r="F167" t="s">
        <v>309</v>
      </c>
      <c r="H167" t="s">
        <v>204</v>
      </c>
    </row>
    <row r="168" spans="1:8" hidden="1" x14ac:dyDescent="0.25">
      <c r="A168" t="s">
        <v>105</v>
      </c>
      <c r="B168">
        <v>65501902345</v>
      </c>
      <c r="D168" t="s">
        <v>304</v>
      </c>
      <c r="E168" t="s">
        <v>310</v>
      </c>
      <c r="F168" t="s">
        <v>310</v>
      </c>
      <c r="H168" t="s">
        <v>204</v>
      </c>
    </row>
    <row r="169" spans="1:8" hidden="1" x14ac:dyDescent="0.25">
      <c r="A169" t="s">
        <v>105</v>
      </c>
      <c r="B169">
        <v>1037087</v>
      </c>
      <c r="D169" t="s">
        <v>305</v>
      </c>
      <c r="E169" t="s">
        <v>308</v>
      </c>
      <c r="F169" t="s">
        <v>308</v>
      </c>
      <c r="H169" t="s">
        <v>204</v>
      </c>
    </row>
    <row r="170" spans="1:8" hidden="1" x14ac:dyDescent="0.25">
      <c r="A170" t="s">
        <v>105</v>
      </c>
      <c r="B170">
        <v>1036723</v>
      </c>
      <c r="D170" t="s">
        <v>312</v>
      </c>
      <c r="E170" t="s">
        <v>314</v>
      </c>
      <c r="F170" t="s">
        <v>314</v>
      </c>
      <c r="H170" t="s">
        <v>165</v>
      </c>
    </row>
    <row r="171" spans="1:8" hidden="1" x14ac:dyDescent="0.25">
      <c r="A171" t="s">
        <v>105</v>
      </c>
      <c r="B171">
        <v>1036724</v>
      </c>
      <c r="D171" t="s">
        <v>313</v>
      </c>
      <c r="E171" t="s">
        <v>315</v>
      </c>
      <c r="F171" t="s">
        <v>315</v>
      </c>
      <c r="H171" t="s">
        <v>165</v>
      </c>
    </row>
    <row r="172" spans="1:8" hidden="1" x14ac:dyDescent="0.25">
      <c r="A172" t="s">
        <v>105</v>
      </c>
      <c r="B172">
        <v>65502397418</v>
      </c>
      <c r="D172" t="s">
        <v>344</v>
      </c>
      <c r="E172" t="s">
        <v>346</v>
      </c>
      <c r="F172" t="s">
        <v>348</v>
      </c>
      <c r="H172" t="s">
        <v>197</v>
      </c>
    </row>
    <row r="173" spans="1:8" hidden="1" x14ac:dyDescent="0.25">
      <c r="A173" t="s">
        <v>105</v>
      </c>
      <c r="B173">
        <v>65501285111</v>
      </c>
      <c r="D173" t="s">
        <v>345</v>
      </c>
      <c r="E173" t="s">
        <v>347</v>
      </c>
      <c r="F173" t="s">
        <v>348</v>
      </c>
      <c r="H173" t="s">
        <v>197</v>
      </c>
    </row>
    <row r="174" spans="1:8" hidden="1" x14ac:dyDescent="0.25">
      <c r="A174" t="s">
        <v>105</v>
      </c>
      <c r="B174">
        <v>2000469</v>
      </c>
      <c r="D174" t="s">
        <v>90</v>
      </c>
      <c r="E174" t="s">
        <v>266</v>
      </c>
      <c r="F174" t="s">
        <v>348</v>
      </c>
      <c r="H174" t="s">
        <v>197</v>
      </c>
    </row>
    <row r="175" spans="1:8" hidden="1" x14ac:dyDescent="0.25">
      <c r="A175" t="s">
        <v>105</v>
      </c>
      <c r="B175">
        <v>2000466</v>
      </c>
      <c r="D175" t="s">
        <v>91</v>
      </c>
      <c r="E175" t="s">
        <v>268</v>
      </c>
      <c r="F175" t="s">
        <v>348</v>
      </c>
      <c r="H175" t="s">
        <v>197</v>
      </c>
    </row>
    <row r="176" spans="1:8" hidden="1" x14ac:dyDescent="0.25">
      <c r="A176" t="s">
        <v>105</v>
      </c>
    </row>
    <row r="177" spans="1:1" hidden="1" x14ac:dyDescent="0.25">
      <c r="A177" t="s">
        <v>105</v>
      </c>
    </row>
    <row r="178" spans="1:1" hidden="1" x14ac:dyDescent="0.25">
      <c r="A178" t="s">
        <v>105</v>
      </c>
    </row>
  </sheetData>
  <autoFilter ref="A1:H178" xr:uid="{00000000-0001-0000-0300-000000000000}">
    <filterColumn colId="0">
      <filters>
        <filter val="MANUAL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G4"/>
  <sheetViews>
    <sheetView topLeftCell="E1" workbookViewId="0">
      <selection activeCell="H7" sqref="H7"/>
    </sheetView>
  </sheetViews>
  <sheetFormatPr baseColWidth="10" defaultRowHeight="15" x14ac:dyDescent="0.25"/>
  <cols>
    <col min="1" max="1" width="13" bestFit="1" customWidth="1"/>
    <col min="2" max="2" width="49.140625" bestFit="1" customWidth="1"/>
  </cols>
  <sheetData>
    <row r="1" spans="1:7" ht="14.25" customHeight="1" x14ac:dyDescent="0.25">
      <c r="A1" s="5" t="s">
        <v>184</v>
      </c>
      <c r="B1" s="16" t="s">
        <v>185</v>
      </c>
      <c r="D1" s="5" t="s">
        <v>273</v>
      </c>
      <c r="E1" s="5" t="s">
        <v>276</v>
      </c>
      <c r="F1" s="5" t="s">
        <v>274</v>
      </c>
      <c r="G1" s="5" t="s">
        <v>275</v>
      </c>
    </row>
    <row r="2" spans="1:7" x14ac:dyDescent="0.25">
      <c r="A2" t="s">
        <v>186</v>
      </c>
      <c r="B2" s="17" t="s">
        <v>296</v>
      </c>
      <c r="D2" t="s">
        <v>88</v>
      </c>
      <c r="E2" t="s">
        <v>277</v>
      </c>
      <c r="F2" t="s">
        <v>183</v>
      </c>
      <c r="G2" t="s">
        <v>183</v>
      </c>
    </row>
    <row r="3" spans="1:7" x14ac:dyDescent="0.25">
      <c r="A3" t="s">
        <v>187</v>
      </c>
      <c r="B3" s="17" t="s">
        <v>295</v>
      </c>
      <c r="D3" t="s">
        <v>87</v>
      </c>
      <c r="E3" t="s">
        <v>278</v>
      </c>
      <c r="G3" t="s">
        <v>183</v>
      </c>
    </row>
    <row r="4" spans="1:7" x14ac:dyDescent="0.25">
      <c r="D4" t="s">
        <v>105</v>
      </c>
      <c r="E4" t="s">
        <v>294</v>
      </c>
      <c r="F4" t="s">
        <v>183</v>
      </c>
      <c r="G4" t="s">
        <v>183</v>
      </c>
    </row>
  </sheetData>
  <hyperlinks>
    <hyperlink ref="B3" r:id="rId1" display="\\180.2.159.233\Operaciones\Operativa\CONTRATOS DEFINITIVOS.xlsx" xr:uid="{00000000-0004-0000-0100-000000000000}"/>
    <hyperlink ref="B2" r:id="rId2" display="\\180.2.159.233\Operaciones\Operativa\CONTRATOS DEFINITIVOS.xlsx" xr:uid="{00000000-0004-0000-0100-000001000000}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theme="6" tint="0.59999389629810485"/>
  </sheetPr>
  <dimension ref="A5:AC12551"/>
  <sheetViews>
    <sheetView topLeftCell="B1" zoomScale="85" zoomScaleNormal="85" workbookViewId="0">
      <selection activeCell="W7" sqref="W7"/>
    </sheetView>
  </sheetViews>
  <sheetFormatPr baseColWidth="10" defaultColWidth="11.42578125" defaultRowHeight="15" x14ac:dyDescent="0.25"/>
  <cols>
    <col min="1" max="1" width="15.140625" hidden="1" customWidth="1"/>
    <col min="3" max="3" width="28.140625" customWidth="1"/>
    <col min="17" max="17" width="13.85546875" customWidth="1"/>
    <col min="20" max="20" width="17.42578125" bestFit="1" customWidth="1"/>
    <col min="23" max="23" width="13.28515625" bestFit="1" customWidth="1"/>
    <col min="24" max="24" width="6.5703125" style="10" bestFit="1" customWidth="1"/>
    <col min="27" max="27" width="81.42578125" bestFit="1" customWidth="1"/>
    <col min="28" max="28" width="20" style="10" bestFit="1" customWidth="1"/>
    <col min="29" max="29" width="15" style="10" bestFit="1" customWidth="1"/>
  </cols>
  <sheetData>
    <row r="5" spans="2:29" ht="24.75" customHeight="1" x14ac:dyDescent="0.25">
      <c r="B5" s="9" t="s">
        <v>0</v>
      </c>
      <c r="C5" s="9" t="s">
        <v>1</v>
      </c>
      <c r="D5" s="9" t="s">
        <v>2</v>
      </c>
      <c r="E5" s="9" t="s">
        <v>3</v>
      </c>
      <c r="F5" s="9" t="s">
        <v>4</v>
      </c>
      <c r="G5" s="9" t="s">
        <v>5</v>
      </c>
      <c r="H5" s="9" t="s">
        <v>6</v>
      </c>
      <c r="I5" s="9" t="s">
        <v>7</v>
      </c>
      <c r="J5" s="9" t="s">
        <v>8</v>
      </c>
      <c r="K5" s="9" t="s">
        <v>9</v>
      </c>
      <c r="L5" s="9" t="s">
        <v>10</v>
      </c>
      <c r="M5" s="9" t="s">
        <v>11</v>
      </c>
      <c r="N5" s="9" t="s">
        <v>12</v>
      </c>
      <c r="O5" s="9" t="s">
        <v>13</v>
      </c>
      <c r="P5" s="9" t="s">
        <v>14</v>
      </c>
      <c r="Q5" s="9" t="s">
        <v>15</v>
      </c>
      <c r="R5" s="9" t="s">
        <v>16</v>
      </c>
      <c r="S5" s="9" t="s">
        <v>17</v>
      </c>
      <c r="W5" s="93" t="s">
        <v>23</v>
      </c>
      <c r="X5" s="94" t="s">
        <v>24</v>
      </c>
      <c r="AA5" s="93" t="s">
        <v>19</v>
      </c>
      <c r="AB5" s="94" t="s">
        <v>25</v>
      </c>
      <c r="AC5" s="94" t="s">
        <v>22</v>
      </c>
    </row>
    <row r="6" spans="2:29" x14ac:dyDescent="0.25">
      <c r="P6" s="78">
        <v>1155643</v>
      </c>
      <c r="Q6" s="79">
        <v>3925455.7843960002</v>
      </c>
      <c r="R6" s="77" t="s">
        <v>394</v>
      </c>
      <c r="S6" s="77">
        <v>7414000005</v>
      </c>
      <c r="W6" s="95" t="s">
        <v>20</v>
      </c>
      <c r="X6" s="96"/>
      <c r="AA6" s="95" t="s">
        <v>20</v>
      </c>
      <c r="AB6" s="96">
        <v>13045018064.182568</v>
      </c>
      <c r="AC6" s="96"/>
    </row>
    <row r="7" spans="2:29" x14ac:dyDescent="0.25">
      <c r="B7">
        <v>0</v>
      </c>
      <c r="C7">
        <v>58</v>
      </c>
      <c r="D7" t="s">
        <v>39</v>
      </c>
      <c r="E7" t="s">
        <v>39</v>
      </c>
      <c r="F7">
        <v>0</v>
      </c>
      <c r="G7" t="s">
        <v>204</v>
      </c>
      <c r="P7" s="78">
        <v>460</v>
      </c>
      <c r="Q7" s="79">
        <v>63456.535400000001</v>
      </c>
      <c r="R7" s="77" t="s">
        <v>394</v>
      </c>
      <c r="S7" s="77">
        <v>7414000005</v>
      </c>
      <c r="W7" s="95">
        <v>0</v>
      </c>
      <c r="X7" s="96"/>
      <c r="AA7" s="97" t="s">
        <v>20</v>
      </c>
      <c r="AB7" s="96">
        <v>13045018064.182568</v>
      </c>
      <c r="AC7" s="96"/>
    </row>
    <row r="8" spans="2:29" x14ac:dyDescent="0.25">
      <c r="B8">
        <v>0</v>
      </c>
      <c r="C8">
        <v>60</v>
      </c>
      <c r="D8" t="s">
        <v>40</v>
      </c>
      <c r="E8" t="s">
        <v>210</v>
      </c>
      <c r="F8">
        <v>1</v>
      </c>
      <c r="G8" t="s">
        <v>204</v>
      </c>
      <c r="P8" s="78">
        <v>100570</v>
      </c>
      <c r="Q8" s="79">
        <v>363018.67884000001</v>
      </c>
      <c r="R8" s="77" t="s">
        <v>394</v>
      </c>
      <c r="S8" s="77">
        <v>7414000005</v>
      </c>
      <c r="W8" s="95" t="s">
        <v>21</v>
      </c>
      <c r="X8" s="96"/>
      <c r="AA8" s="95">
        <v>0</v>
      </c>
      <c r="AB8" s="96">
        <v>20846728963.776356</v>
      </c>
      <c r="AC8" s="96"/>
    </row>
    <row r="9" spans="2:29" x14ac:dyDescent="0.25">
      <c r="B9">
        <v>0</v>
      </c>
      <c r="C9">
        <v>63</v>
      </c>
      <c r="D9" t="s">
        <v>211</v>
      </c>
      <c r="E9" t="s">
        <v>210</v>
      </c>
      <c r="F9">
        <v>1</v>
      </c>
      <c r="G9" t="s">
        <v>204</v>
      </c>
      <c r="P9" s="78">
        <v>33104</v>
      </c>
      <c r="Q9" s="79">
        <v>72491.072992000001</v>
      </c>
      <c r="R9" s="77" t="s">
        <v>394</v>
      </c>
      <c r="S9" s="77">
        <v>7414000005</v>
      </c>
      <c r="X9"/>
      <c r="AA9" s="97" t="s">
        <v>20</v>
      </c>
      <c r="AB9" s="96">
        <v>18327806202.403267</v>
      </c>
      <c r="AC9" s="96"/>
    </row>
    <row r="10" spans="2:29" x14ac:dyDescent="0.25">
      <c r="B10">
        <v>0</v>
      </c>
      <c r="C10" t="s">
        <v>311</v>
      </c>
      <c r="D10" t="s">
        <v>311</v>
      </c>
      <c r="E10" t="s">
        <v>311</v>
      </c>
      <c r="F10">
        <v>0</v>
      </c>
      <c r="G10" t="s">
        <v>204</v>
      </c>
      <c r="P10" s="78">
        <v>0</v>
      </c>
      <c r="Q10" s="79">
        <v>0</v>
      </c>
      <c r="R10" s="77" t="s">
        <v>394</v>
      </c>
      <c r="S10" s="77">
        <v>7414000005</v>
      </c>
      <c r="X10"/>
      <c r="AA10" s="97" t="s">
        <v>39</v>
      </c>
      <c r="AB10" s="96">
        <v>63456.535400000001</v>
      </c>
      <c r="AC10" s="96"/>
    </row>
    <row r="11" spans="2:29" x14ac:dyDescent="0.25">
      <c r="B11">
        <v>0</v>
      </c>
      <c r="C11">
        <v>116</v>
      </c>
      <c r="D11" t="s">
        <v>220</v>
      </c>
      <c r="E11" t="s">
        <v>221</v>
      </c>
      <c r="F11">
        <v>0</v>
      </c>
      <c r="G11" t="s">
        <v>204</v>
      </c>
      <c r="P11" s="78">
        <v>0</v>
      </c>
      <c r="Q11" s="79">
        <v>0</v>
      </c>
      <c r="R11" s="77" t="s">
        <v>394</v>
      </c>
      <c r="S11" s="77">
        <v>7414000005</v>
      </c>
      <c r="X11"/>
      <c r="AA11" s="97" t="s">
        <v>40</v>
      </c>
      <c r="AB11" s="96">
        <v>363018.67884000001</v>
      </c>
      <c r="AC11" s="96"/>
    </row>
    <row r="12" spans="2:29" x14ac:dyDescent="0.25">
      <c r="B12">
        <v>0</v>
      </c>
      <c r="C12">
        <v>117</v>
      </c>
      <c r="D12" t="s">
        <v>222</v>
      </c>
      <c r="E12" t="s">
        <v>221</v>
      </c>
      <c r="F12">
        <v>0</v>
      </c>
      <c r="G12" t="s">
        <v>204</v>
      </c>
      <c r="P12" s="78">
        <v>0</v>
      </c>
      <c r="Q12" s="79">
        <v>0</v>
      </c>
      <c r="R12" s="77" t="s">
        <v>394</v>
      </c>
      <c r="S12" s="77">
        <v>7414000005</v>
      </c>
      <c r="X12"/>
      <c r="AA12" s="97" t="s">
        <v>211</v>
      </c>
      <c r="AB12" s="96">
        <v>72491.072992000001</v>
      </c>
      <c r="AC12" s="96"/>
    </row>
    <row r="13" spans="2:29" x14ac:dyDescent="0.25">
      <c r="B13">
        <v>0</v>
      </c>
      <c r="C13">
        <v>127</v>
      </c>
      <c r="D13" t="s">
        <v>43</v>
      </c>
      <c r="E13" t="s">
        <v>236</v>
      </c>
      <c r="F13">
        <v>0</v>
      </c>
      <c r="G13" t="s">
        <v>204</v>
      </c>
      <c r="P13" s="78">
        <v>0</v>
      </c>
      <c r="Q13" s="79">
        <v>0</v>
      </c>
      <c r="R13" s="77" t="s">
        <v>394</v>
      </c>
      <c r="S13" s="77">
        <v>7414000005</v>
      </c>
      <c r="X13"/>
      <c r="AA13" s="97" t="s">
        <v>311</v>
      </c>
      <c r="AB13" s="96">
        <v>0</v>
      </c>
      <c r="AC13" s="96"/>
    </row>
    <row r="14" spans="2:29" x14ac:dyDescent="0.25">
      <c r="B14">
        <v>0</v>
      </c>
      <c r="C14">
        <v>2000863</v>
      </c>
      <c r="D14" t="s">
        <v>44</v>
      </c>
      <c r="E14" t="s">
        <v>221</v>
      </c>
      <c r="F14">
        <v>0</v>
      </c>
      <c r="G14" t="s">
        <v>204</v>
      </c>
      <c r="P14" s="78">
        <v>450</v>
      </c>
      <c r="Q14" s="79">
        <v>4410951.4786499999</v>
      </c>
      <c r="R14" s="77" t="s">
        <v>394</v>
      </c>
      <c r="S14" s="77">
        <v>7414000005</v>
      </c>
      <c r="X14"/>
      <c r="AA14" s="97" t="s">
        <v>220</v>
      </c>
      <c r="AB14" s="96">
        <v>0</v>
      </c>
      <c r="AC14" s="96"/>
    </row>
    <row r="15" spans="2:29" x14ac:dyDescent="0.25">
      <c r="B15">
        <v>0</v>
      </c>
      <c r="C15">
        <v>2000905</v>
      </c>
      <c r="D15" t="s">
        <v>45</v>
      </c>
      <c r="E15" t="s">
        <v>45</v>
      </c>
      <c r="F15">
        <v>0</v>
      </c>
      <c r="G15" t="s">
        <v>204</v>
      </c>
      <c r="P15" s="78">
        <v>156</v>
      </c>
      <c r="Q15" s="79">
        <v>1477265.2603800001</v>
      </c>
      <c r="R15" s="77" t="s">
        <v>394</v>
      </c>
      <c r="S15" s="77">
        <v>7414000005</v>
      </c>
      <c r="X15"/>
      <c r="AA15" s="97" t="s">
        <v>222</v>
      </c>
      <c r="AB15" s="96">
        <v>0</v>
      </c>
      <c r="AC15" s="96"/>
    </row>
    <row r="16" spans="2:29" x14ac:dyDescent="0.25">
      <c r="B16">
        <v>0</v>
      </c>
      <c r="C16" t="s">
        <v>172</v>
      </c>
      <c r="D16" t="s">
        <v>255</v>
      </c>
      <c r="E16" t="s">
        <v>172</v>
      </c>
      <c r="F16">
        <v>0</v>
      </c>
      <c r="G16" t="s">
        <v>204</v>
      </c>
      <c r="P16" s="78">
        <v>0</v>
      </c>
      <c r="Q16" s="79">
        <v>0</v>
      </c>
      <c r="R16" s="77" t="s">
        <v>394</v>
      </c>
      <c r="S16" s="77">
        <v>7414000005</v>
      </c>
      <c r="X16"/>
      <c r="AA16" s="97" t="s">
        <v>43</v>
      </c>
      <c r="AB16" s="96">
        <v>0</v>
      </c>
      <c r="AC16" s="96"/>
    </row>
    <row r="17" spans="2:29" x14ac:dyDescent="0.25">
      <c r="B17">
        <v>0</v>
      </c>
      <c r="C17" t="s">
        <v>172</v>
      </c>
      <c r="D17" t="s">
        <v>255</v>
      </c>
      <c r="E17" t="s">
        <v>172</v>
      </c>
      <c r="F17">
        <v>0</v>
      </c>
      <c r="G17" t="s">
        <v>204</v>
      </c>
      <c r="P17" s="78">
        <v>0</v>
      </c>
      <c r="Q17" s="79">
        <v>0</v>
      </c>
      <c r="R17" s="77" t="s">
        <v>394</v>
      </c>
      <c r="S17" s="77">
        <v>7414000005</v>
      </c>
      <c r="X17"/>
      <c r="AA17" s="97" t="s">
        <v>44</v>
      </c>
      <c r="AB17" s="96">
        <v>4410951.4786499999</v>
      </c>
      <c r="AC17" s="96"/>
    </row>
    <row r="18" spans="2:29" x14ac:dyDescent="0.25">
      <c r="B18">
        <v>0</v>
      </c>
      <c r="C18" t="s">
        <v>172</v>
      </c>
      <c r="D18" t="s">
        <v>255</v>
      </c>
      <c r="E18" t="s">
        <v>172</v>
      </c>
      <c r="F18">
        <v>0</v>
      </c>
      <c r="G18" t="s">
        <v>204</v>
      </c>
      <c r="P18" s="78">
        <v>0</v>
      </c>
      <c r="Q18" s="79">
        <v>0</v>
      </c>
      <c r="R18" s="77" t="s">
        <v>394</v>
      </c>
      <c r="S18" s="77">
        <v>7414000005</v>
      </c>
      <c r="X18"/>
      <c r="AA18" s="97" t="s">
        <v>45</v>
      </c>
      <c r="AB18" s="96">
        <v>1477265.2603800001</v>
      </c>
      <c r="AC18" s="96"/>
    </row>
    <row r="19" spans="2:29" x14ac:dyDescent="0.25">
      <c r="B19">
        <v>0</v>
      </c>
      <c r="C19" t="s">
        <v>172</v>
      </c>
      <c r="D19" t="s">
        <v>255</v>
      </c>
      <c r="E19" t="s">
        <v>172</v>
      </c>
      <c r="F19">
        <v>0</v>
      </c>
      <c r="G19" t="s">
        <v>204</v>
      </c>
      <c r="P19" s="78">
        <v>62970</v>
      </c>
      <c r="Q19" s="79">
        <v>6297030.4774799999</v>
      </c>
      <c r="R19" s="77" t="s">
        <v>394</v>
      </c>
      <c r="S19" s="77">
        <v>7414000005</v>
      </c>
      <c r="X19"/>
      <c r="AA19" s="97" t="s">
        <v>255</v>
      </c>
      <c r="AB19" s="96">
        <v>6297030.4774799999</v>
      </c>
      <c r="AC19" s="96"/>
    </row>
    <row r="20" spans="2:29" x14ac:dyDescent="0.25">
      <c r="B20">
        <v>0</v>
      </c>
      <c r="C20" t="s">
        <v>49</v>
      </c>
      <c r="D20" t="s">
        <v>49</v>
      </c>
      <c r="E20" t="s">
        <v>49</v>
      </c>
      <c r="F20">
        <v>0</v>
      </c>
      <c r="G20" t="s">
        <v>204</v>
      </c>
      <c r="P20" s="78">
        <v>0</v>
      </c>
      <c r="Q20" s="79">
        <v>0</v>
      </c>
      <c r="R20" s="77" t="s">
        <v>394</v>
      </c>
      <c r="S20" s="77">
        <v>7414000005</v>
      </c>
      <c r="X20"/>
      <c r="AA20" s="97" t="s">
        <v>49</v>
      </c>
      <c r="AB20" s="96">
        <v>0</v>
      </c>
      <c r="AC20" s="96"/>
    </row>
    <row r="21" spans="2:29" x14ac:dyDescent="0.25">
      <c r="B21">
        <v>0</v>
      </c>
      <c r="C21" t="s">
        <v>50</v>
      </c>
      <c r="D21" t="s">
        <v>51</v>
      </c>
      <c r="E21" t="s">
        <v>51</v>
      </c>
      <c r="F21">
        <v>0</v>
      </c>
      <c r="G21" t="s">
        <v>204</v>
      </c>
      <c r="P21" s="78">
        <v>6325880</v>
      </c>
      <c r="Q21" s="79">
        <v>58135703.845559999</v>
      </c>
      <c r="R21" s="77" t="s">
        <v>394</v>
      </c>
      <c r="S21" s="77">
        <v>7414000005</v>
      </c>
      <c r="X21"/>
      <c r="AA21" s="97" t="s">
        <v>51</v>
      </c>
      <c r="AB21" s="96">
        <v>58135703.845559999</v>
      </c>
      <c r="AC21" s="96"/>
    </row>
    <row r="22" spans="2:29" x14ac:dyDescent="0.25">
      <c r="B22">
        <v>0</v>
      </c>
      <c r="C22" t="s">
        <v>242</v>
      </c>
      <c r="D22" t="s">
        <v>243</v>
      </c>
      <c r="E22" t="s">
        <v>243</v>
      </c>
      <c r="F22">
        <v>0</v>
      </c>
      <c r="G22" t="s">
        <v>204</v>
      </c>
      <c r="P22" s="78">
        <v>914440</v>
      </c>
      <c r="Q22" s="79">
        <v>7551504.9585999995</v>
      </c>
      <c r="R22" s="77" t="s">
        <v>394</v>
      </c>
      <c r="S22" s="77">
        <v>7414000005</v>
      </c>
      <c r="X22"/>
      <c r="AA22" s="97" t="s">
        <v>243</v>
      </c>
      <c r="AB22" s="96">
        <v>7551504.9585999995</v>
      </c>
      <c r="AC22" s="96"/>
    </row>
    <row r="23" spans="2:29" x14ac:dyDescent="0.25">
      <c r="B23">
        <v>0</v>
      </c>
      <c r="C23" t="s">
        <v>306</v>
      </c>
      <c r="F23">
        <v>0</v>
      </c>
      <c r="G23" t="s">
        <v>204</v>
      </c>
      <c r="P23" s="78">
        <v>0</v>
      </c>
      <c r="Q23" s="79">
        <v>0</v>
      </c>
      <c r="R23" s="77" t="s">
        <v>394</v>
      </c>
      <c r="S23" s="77">
        <v>7414000005</v>
      </c>
      <c r="X23"/>
      <c r="AA23" s="97" t="s">
        <v>267</v>
      </c>
      <c r="AB23" s="96">
        <v>0</v>
      </c>
      <c r="AC23" s="96"/>
    </row>
    <row r="24" spans="2:29" x14ac:dyDescent="0.25">
      <c r="B24">
        <v>0</v>
      </c>
      <c r="C24" t="s">
        <v>54</v>
      </c>
      <c r="D24" t="s">
        <v>267</v>
      </c>
      <c r="E24" t="s">
        <v>55</v>
      </c>
      <c r="F24">
        <v>0</v>
      </c>
      <c r="G24" t="s">
        <v>204</v>
      </c>
      <c r="P24" s="78">
        <v>0</v>
      </c>
      <c r="Q24" s="79">
        <v>0</v>
      </c>
      <c r="R24" s="77" t="s">
        <v>394</v>
      </c>
      <c r="S24" s="77">
        <v>7414000005</v>
      </c>
      <c r="X24"/>
      <c r="AA24" s="97" t="s">
        <v>262</v>
      </c>
      <c r="AB24" s="96">
        <v>0</v>
      </c>
      <c r="AC24" s="96"/>
    </row>
    <row r="25" spans="2:29" x14ac:dyDescent="0.25">
      <c r="B25">
        <v>0</v>
      </c>
      <c r="C25" t="s">
        <v>56</v>
      </c>
      <c r="D25" t="s">
        <v>262</v>
      </c>
      <c r="E25" t="s">
        <v>263</v>
      </c>
      <c r="F25">
        <v>0</v>
      </c>
      <c r="G25" t="s">
        <v>204</v>
      </c>
      <c r="P25" s="78">
        <v>0</v>
      </c>
      <c r="Q25" s="79">
        <v>0</v>
      </c>
      <c r="R25" s="77" t="s">
        <v>394</v>
      </c>
      <c r="S25" s="77">
        <v>7414000005</v>
      </c>
      <c r="X25"/>
      <c r="AA25" s="97" t="s">
        <v>260</v>
      </c>
      <c r="AB25" s="96">
        <v>0</v>
      </c>
      <c r="AC25" s="96"/>
    </row>
    <row r="26" spans="2:29" x14ac:dyDescent="0.25">
      <c r="B26">
        <v>0</v>
      </c>
      <c r="C26" t="s">
        <v>57</v>
      </c>
      <c r="D26" t="s">
        <v>260</v>
      </c>
      <c r="E26" t="s">
        <v>261</v>
      </c>
      <c r="F26">
        <v>0</v>
      </c>
      <c r="G26" t="s">
        <v>204</v>
      </c>
      <c r="P26" s="78">
        <v>0</v>
      </c>
      <c r="Q26" s="79">
        <v>0</v>
      </c>
      <c r="R26" s="77" t="s">
        <v>394</v>
      </c>
      <c r="S26" s="77">
        <v>7414000005</v>
      </c>
      <c r="X26"/>
      <c r="AA26" s="97" t="s">
        <v>18</v>
      </c>
      <c r="AB26" s="96">
        <v>0</v>
      </c>
      <c r="AC26" s="96"/>
    </row>
    <row r="27" spans="2:29" x14ac:dyDescent="0.25">
      <c r="B27">
        <v>0</v>
      </c>
      <c r="C27">
        <v>37</v>
      </c>
      <c r="D27" t="s">
        <v>18</v>
      </c>
      <c r="E27" t="s">
        <v>209</v>
      </c>
      <c r="F27">
        <v>0</v>
      </c>
      <c r="G27" t="s">
        <v>204</v>
      </c>
      <c r="P27" s="78">
        <v>0</v>
      </c>
      <c r="Q27" s="79">
        <v>0</v>
      </c>
      <c r="R27" s="77" t="s">
        <v>394</v>
      </c>
      <c r="S27" s="77">
        <v>7414000005</v>
      </c>
      <c r="X27"/>
      <c r="AA27" s="97" t="s">
        <v>63</v>
      </c>
      <c r="AB27" s="96">
        <v>0</v>
      </c>
      <c r="AC27" s="96"/>
    </row>
    <row r="28" spans="2:29" x14ac:dyDescent="0.25">
      <c r="B28">
        <v>0</v>
      </c>
      <c r="C28">
        <v>75</v>
      </c>
      <c r="D28" t="s">
        <v>63</v>
      </c>
      <c r="E28" t="s">
        <v>212</v>
      </c>
      <c r="F28">
        <v>1</v>
      </c>
      <c r="G28" t="s">
        <v>204</v>
      </c>
      <c r="P28" s="78">
        <v>0</v>
      </c>
      <c r="Q28" s="79">
        <v>0</v>
      </c>
      <c r="R28" s="77" t="s">
        <v>394</v>
      </c>
      <c r="S28" s="77">
        <v>7414000005</v>
      </c>
      <c r="X28"/>
      <c r="AA28" s="97" t="s">
        <v>64</v>
      </c>
      <c r="AB28" s="96">
        <v>0</v>
      </c>
      <c r="AC28" s="96"/>
    </row>
    <row r="29" spans="2:29" x14ac:dyDescent="0.25">
      <c r="B29">
        <v>0</v>
      </c>
      <c r="C29">
        <v>76</v>
      </c>
      <c r="D29" t="s">
        <v>64</v>
      </c>
      <c r="E29" t="s">
        <v>212</v>
      </c>
      <c r="F29">
        <v>0</v>
      </c>
      <c r="G29" t="s">
        <v>204</v>
      </c>
      <c r="P29" s="78">
        <v>0</v>
      </c>
      <c r="Q29" s="79">
        <v>0</v>
      </c>
      <c r="R29" s="77" t="s">
        <v>394</v>
      </c>
      <c r="S29" s="77">
        <v>7414000005</v>
      </c>
      <c r="X29"/>
      <c r="AA29" s="97" t="s">
        <v>66</v>
      </c>
      <c r="AB29" s="96">
        <v>0</v>
      </c>
      <c r="AC29" s="96"/>
    </row>
    <row r="30" spans="2:29" x14ac:dyDescent="0.25">
      <c r="B30">
        <v>0</v>
      </c>
      <c r="C30">
        <v>93</v>
      </c>
      <c r="D30" t="s">
        <v>66</v>
      </c>
      <c r="E30" t="s">
        <v>215</v>
      </c>
      <c r="F30">
        <v>0</v>
      </c>
      <c r="G30" t="s">
        <v>204</v>
      </c>
      <c r="P30" s="78">
        <v>0</v>
      </c>
      <c r="Q30" s="79">
        <v>0</v>
      </c>
      <c r="R30" s="77" t="s">
        <v>394</v>
      </c>
      <c r="S30" s="77">
        <v>7414000005</v>
      </c>
      <c r="X30"/>
      <c r="AA30" s="97" t="s">
        <v>67</v>
      </c>
      <c r="AB30" s="96">
        <v>0</v>
      </c>
      <c r="AC30" s="96"/>
    </row>
    <row r="31" spans="2:29" x14ac:dyDescent="0.25">
      <c r="B31">
        <v>0</v>
      </c>
      <c r="C31">
        <v>94</v>
      </c>
      <c r="D31" t="s">
        <v>67</v>
      </c>
      <c r="E31" t="s">
        <v>216</v>
      </c>
      <c r="F31">
        <v>0</v>
      </c>
      <c r="G31" t="s">
        <v>204</v>
      </c>
      <c r="P31" s="78">
        <v>0</v>
      </c>
      <c r="Q31" s="79">
        <v>0</v>
      </c>
      <c r="R31" s="77" t="s">
        <v>394</v>
      </c>
      <c r="S31" s="77">
        <v>7414000005</v>
      </c>
      <c r="X31"/>
      <c r="AA31" s="97" t="s">
        <v>68</v>
      </c>
      <c r="AB31" s="96">
        <v>4966136.5547000002</v>
      </c>
      <c r="AC31" s="96"/>
    </row>
    <row r="32" spans="2:29" x14ac:dyDescent="0.25">
      <c r="B32">
        <v>0</v>
      </c>
      <c r="C32">
        <v>105</v>
      </c>
      <c r="D32" t="s">
        <v>68</v>
      </c>
      <c r="E32" t="s">
        <v>217</v>
      </c>
      <c r="F32">
        <v>0</v>
      </c>
      <c r="G32" t="s">
        <v>204</v>
      </c>
      <c r="P32" s="78">
        <v>50300</v>
      </c>
      <c r="Q32" s="79">
        <v>4966136.5547000002</v>
      </c>
      <c r="R32" s="77" t="s">
        <v>394</v>
      </c>
      <c r="S32" s="77">
        <v>7414000005</v>
      </c>
      <c r="X32"/>
      <c r="AA32" s="97" t="s">
        <v>218</v>
      </c>
      <c r="AB32" s="96">
        <v>12346509.109999999</v>
      </c>
      <c r="AC32" s="96"/>
    </row>
    <row r="33" spans="2:29" x14ac:dyDescent="0.25">
      <c r="B33">
        <v>0</v>
      </c>
      <c r="C33">
        <v>114</v>
      </c>
      <c r="D33" t="s">
        <v>218</v>
      </c>
      <c r="E33" t="s">
        <v>219</v>
      </c>
      <c r="F33">
        <v>0</v>
      </c>
      <c r="G33" t="s">
        <v>204</v>
      </c>
      <c r="P33" s="78">
        <v>130000</v>
      </c>
      <c r="Q33" s="79">
        <v>12346509.109999999</v>
      </c>
      <c r="R33" s="77" t="s">
        <v>394</v>
      </c>
      <c r="S33" s="77">
        <v>7414000005</v>
      </c>
      <c r="X33"/>
      <c r="AA33" s="97" t="s">
        <v>73</v>
      </c>
      <c r="AB33" s="96">
        <v>9191182.0999999996</v>
      </c>
      <c r="AC33" s="96"/>
    </row>
    <row r="34" spans="2:29" x14ac:dyDescent="0.25">
      <c r="B34">
        <v>0</v>
      </c>
      <c r="C34">
        <v>1081</v>
      </c>
      <c r="D34" t="s">
        <v>73</v>
      </c>
      <c r="E34" t="s">
        <v>216</v>
      </c>
      <c r="F34">
        <v>0</v>
      </c>
      <c r="G34" t="s">
        <v>204</v>
      </c>
      <c r="P34" s="78">
        <v>100000</v>
      </c>
      <c r="Q34" s="79">
        <v>9191182.0999999996</v>
      </c>
      <c r="R34" s="77" t="s">
        <v>394</v>
      </c>
      <c r="S34" s="77">
        <v>7414000005</v>
      </c>
      <c r="X34"/>
      <c r="AA34" s="97" t="s">
        <v>74</v>
      </c>
      <c r="AB34" s="96">
        <v>2097053.5876800001</v>
      </c>
      <c r="AC34" s="96"/>
    </row>
    <row r="35" spans="2:29" x14ac:dyDescent="0.25">
      <c r="B35">
        <v>0</v>
      </c>
      <c r="C35">
        <v>1082</v>
      </c>
      <c r="D35" t="s">
        <v>74</v>
      </c>
      <c r="E35" t="s">
        <v>216</v>
      </c>
      <c r="F35">
        <v>0</v>
      </c>
      <c r="G35" t="s">
        <v>204</v>
      </c>
      <c r="P35" s="78">
        <v>22560</v>
      </c>
      <c r="Q35" s="79">
        <v>2097053.5876800001</v>
      </c>
      <c r="R35" s="77" t="s">
        <v>394</v>
      </c>
      <c r="S35" s="77">
        <v>7414000005</v>
      </c>
      <c r="X35"/>
      <c r="AA35" s="97" t="s">
        <v>75</v>
      </c>
      <c r="AB35" s="96">
        <v>2660943.69</v>
      </c>
      <c r="AC35" s="96"/>
    </row>
    <row r="36" spans="2:29" x14ac:dyDescent="0.25">
      <c r="B36">
        <v>0</v>
      </c>
      <c r="C36">
        <v>1094</v>
      </c>
      <c r="D36" t="s">
        <v>75</v>
      </c>
      <c r="E36" t="s">
        <v>209</v>
      </c>
      <c r="F36">
        <v>0</v>
      </c>
      <c r="G36" t="s">
        <v>204</v>
      </c>
      <c r="P36" s="78">
        <v>30000</v>
      </c>
      <c r="Q36" s="79">
        <v>2660943.69</v>
      </c>
      <c r="R36" s="77" t="s">
        <v>394</v>
      </c>
      <c r="S36" s="77">
        <v>7414000005</v>
      </c>
      <c r="X36"/>
      <c r="AA36" s="97" t="s">
        <v>79</v>
      </c>
      <c r="AB36" s="96">
        <v>11875164.07392</v>
      </c>
      <c r="AC36" s="96"/>
    </row>
    <row r="37" spans="2:29" x14ac:dyDescent="0.25">
      <c r="B37">
        <v>0</v>
      </c>
      <c r="C37">
        <v>1018014</v>
      </c>
      <c r="D37" t="s">
        <v>79</v>
      </c>
      <c r="E37" t="s">
        <v>79</v>
      </c>
      <c r="F37">
        <v>0</v>
      </c>
      <c r="G37" t="s">
        <v>204</v>
      </c>
      <c r="P37" s="78">
        <v>127260</v>
      </c>
      <c r="Q37" s="79">
        <v>11875164.07392</v>
      </c>
      <c r="R37" s="77" t="s">
        <v>394</v>
      </c>
      <c r="S37" s="77">
        <v>7414000005</v>
      </c>
      <c r="X37"/>
      <c r="AA37" s="97" t="s">
        <v>80</v>
      </c>
      <c r="AB37" s="96">
        <v>7275133.0439200001</v>
      </c>
      <c r="AC37" s="96"/>
    </row>
    <row r="38" spans="2:29" x14ac:dyDescent="0.25">
      <c r="B38">
        <v>0</v>
      </c>
      <c r="C38">
        <v>1018122</v>
      </c>
      <c r="D38" t="s">
        <v>80</v>
      </c>
      <c r="E38" t="s">
        <v>216</v>
      </c>
      <c r="F38">
        <v>0</v>
      </c>
      <c r="G38" t="s">
        <v>204</v>
      </c>
      <c r="P38" s="78">
        <v>76690</v>
      </c>
      <c r="Q38" s="79">
        <v>7275133.0439200001</v>
      </c>
      <c r="R38" s="77" t="s">
        <v>394</v>
      </c>
      <c r="S38" s="77">
        <v>7414000005</v>
      </c>
      <c r="X38"/>
      <c r="AA38" s="97" t="s">
        <v>81</v>
      </c>
      <c r="AB38" s="96">
        <v>28222923.005929999</v>
      </c>
      <c r="AC38" s="96"/>
    </row>
    <row r="39" spans="2:29" x14ac:dyDescent="0.25">
      <c r="B39">
        <v>0</v>
      </c>
      <c r="C39">
        <v>1018302</v>
      </c>
      <c r="D39" t="s">
        <v>81</v>
      </c>
      <c r="E39" t="s">
        <v>216</v>
      </c>
      <c r="F39">
        <v>0</v>
      </c>
      <c r="G39" t="s">
        <v>204</v>
      </c>
      <c r="P39" s="78">
        <v>297490</v>
      </c>
      <c r="Q39" s="79">
        <v>28222923.005929999</v>
      </c>
      <c r="R39" s="77" t="s">
        <v>394</v>
      </c>
      <c r="S39" s="77">
        <v>7414000005</v>
      </c>
      <c r="X39"/>
      <c r="AA39" s="97" t="s">
        <v>213</v>
      </c>
      <c r="AB39" s="96">
        <v>4564499.6517899996</v>
      </c>
      <c r="AC39" s="96"/>
    </row>
    <row r="40" spans="2:29" x14ac:dyDescent="0.25">
      <c r="B40">
        <v>0</v>
      </c>
      <c r="C40">
        <v>92</v>
      </c>
      <c r="D40" t="s">
        <v>213</v>
      </c>
      <c r="E40" t="s">
        <v>214</v>
      </c>
      <c r="F40">
        <v>0</v>
      </c>
      <c r="G40" t="s">
        <v>204</v>
      </c>
      <c r="P40" s="78">
        <v>51006</v>
      </c>
      <c r="Q40" s="79">
        <v>4564499.6517899996</v>
      </c>
      <c r="R40" s="77" t="s">
        <v>394</v>
      </c>
      <c r="S40" s="77">
        <v>7414000005</v>
      </c>
      <c r="X40"/>
      <c r="AA40" s="97" t="s">
        <v>315</v>
      </c>
      <c r="AB40" s="96">
        <v>17208394.633919999</v>
      </c>
      <c r="AC40" s="96"/>
    </row>
    <row r="41" spans="2:29" x14ac:dyDescent="0.25">
      <c r="B41">
        <v>0</v>
      </c>
      <c r="C41" t="s">
        <v>313</v>
      </c>
      <c r="D41" t="s">
        <v>315</v>
      </c>
      <c r="E41" t="s">
        <v>315</v>
      </c>
      <c r="F41">
        <v>0</v>
      </c>
      <c r="G41" t="s">
        <v>204</v>
      </c>
      <c r="P41" s="78">
        <v>199640</v>
      </c>
      <c r="Q41" s="79">
        <v>17208394.633919999</v>
      </c>
      <c r="R41" s="77" t="s">
        <v>394</v>
      </c>
      <c r="S41" s="77">
        <v>7414000005</v>
      </c>
      <c r="X41"/>
      <c r="AA41" s="97" t="s">
        <v>316</v>
      </c>
      <c r="AB41" s="96">
        <v>16921966.108445998</v>
      </c>
      <c r="AC41" s="96"/>
    </row>
    <row r="42" spans="2:29" x14ac:dyDescent="0.25">
      <c r="B42">
        <v>0</v>
      </c>
      <c r="C42" t="s">
        <v>318</v>
      </c>
      <c r="D42" t="s">
        <v>316</v>
      </c>
      <c r="E42" t="s">
        <v>316</v>
      </c>
      <c r="F42">
        <v>0</v>
      </c>
      <c r="G42" t="s">
        <v>204</v>
      </c>
      <c r="P42" s="78">
        <v>195699</v>
      </c>
      <c r="Q42" s="79">
        <v>16921966.108445998</v>
      </c>
      <c r="R42" s="77" t="s">
        <v>394</v>
      </c>
      <c r="S42" s="77">
        <v>7414000005</v>
      </c>
      <c r="X42"/>
      <c r="AA42" s="97" t="s">
        <v>327</v>
      </c>
      <c r="AB42" s="96">
        <v>11251517.55672</v>
      </c>
      <c r="AC42" s="96"/>
    </row>
    <row r="43" spans="2:29" x14ac:dyDescent="0.25">
      <c r="B43">
        <v>0</v>
      </c>
      <c r="C43" t="s">
        <v>327</v>
      </c>
      <c r="D43" t="s">
        <v>327</v>
      </c>
      <c r="E43" t="s">
        <v>327</v>
      </c>
      <c r="F43">
        <v>0</v>
      </c>
      <c r="G43" t="s">
        <v>204</v>
      </c>
      <c r="P43" s="78">
        <v>137652</v>
      </c>
      <c r="Q43" s="79">
        <v>11251517.55672</v>
      </c>
      <c r="R43" s="77" t="s">
        <v>394</v>
      </c>
      <c r="S43" s="77">
        <v>7414000005</v>
      </c>
      <c r="X43"/>
      <c r="AA43" s="97" t="s">
        <v>328</v>
      </c>
      <c r="AB43" s="96">
        <v>4029745.658274</v>
      </c>
      <c r="AC43" s="96"/>
    </row>
    <row r="44" spans="2:29" x14ac:dyDescent="0.25">
      <c r="B44">
        <v>0</v>
      </c>
      <c r="C44" t="s">
        <v>328</v>
      </c>
      <c r="D44" t="s">
        <v>328</v>
      </c>
      <c r="E44" t="s">
        <v>328</v>
      </c>
      <c r="F44">
        <v>0</v>
      </c>
      <c r="G44" t="s">
        <v>204</v>
      </c>
      <c r="P44" s="78">
        <v>48434</v>
      </c>
      <c r="Q44" s="79">
        <v>4029745.658274</v>
      </c>
      <c r="R44" s="77" t="s">
        <v>394</v>
      </c>
      <c r="S44" s="77">
        <v>7414000005</v>
      </c>
      <c r="X44"/>
      <c r="AA44" s="97" t="s">
        <v>329</v>
      </c>
      <c r="AB44" s="96">
        <v>10977795.973804999</v>
      </c>
      <c r="AC44" s="96"/>
    </row>
    <row r="45" spans="2:29" x14ac:dyDescent="0.25">
      <c r="B45">
        <v>0</v>
      </c>
      <c r="C45" t="s">
        <v>329</v>
      </c>
      <c r="D45" t="s">
        <v>329</v>
      </c>
      <c r="E45" t="s">
        <v>329</v>
      </c>
      <c r="F45">
        <v>0</v>
      </c>
      <c r="G45" t="s">
        <v>204</v>
      </c>
      <c r="P45" s="78">
        <v>133615</v>
      </c>
      <c r="Q45" s="79">
        <v>10977795.973804999</v>
      </c>
      <c r="R45" s="77" t="s">
        <v>394</v>
      </c>
      <c r="S45" s="77">
        <v>7414000005</v>
      </c>
      <c r="X45"/>
      <c r="AA45" s="97" t="s">
        <v>331</v>
      </c>
      <c r="AB45" s="96">
        <v>0</v>
      </c>
      <c r="AC45" s="96"/>
    </row>
    <row r="46" spans="2:29" x14ac:dyDescent="0.25">
      <c r="B46">
        <v>0</v>
      </c>
      <c r="C46" t="s">
        <v>330</v>
      </c>
      <c r="D46" t="s">
        <v>331</v>
      </c>
      <c r="E46" t="s">
        <v>331</v>
      </c>
      <c r="F46">
        <v>0</v>
      </c>
      <c r="G46" t="s">
        <v>204</v>
      </c>
      <c r="P46" s="78">
        <v>0</v>
      </c>
      <c r="Q46" s="79">
        <v>0</v>
      </c>
      <c r="R46" s="77" t="s">
        <v>394</v>
      </c>
      <c r="S46" s="77">
        <v>7414000005</v>
      </c>
      <c r="X46"/>
      <c r="AA46" s="97" t="s">
        <v>320</v>
      </c>
      <c r="AB46" s="96">
        <v>0</v>
      </c>
      <c r="AC46" s="96"/>
    </row>
    <row r="47" spans="2:29" x14ac:dyDescent="0.25">
      <c r="B47">
        <v>0</v>
      </c>
      <c r="C47" t="s">
        <v>332</v>
      </c>
      <c r="D47" t="s">
        <v>331</v>
      </c>
      <c r="E47" t="s">
        <v>331</v>
      </c>
      <c r="F47">
        <v>0</v>
      </c>
      <c r="G47" t="s">
        <v>204</v>
      </c>
      <c r="P47" s="78">
        <v>0</v>
      </c>
      <c r="Q47" s="79">
        <v>0</v>
      </c>
      <c r="R47" s="77" t="s">
        <v>394</v>
      </c>
      <c r="S47" s="77">
        <v>7414000005</v>
      </c>
      <c r="X47"/>
      <c r="AA47" s="97" t="s">
        <v>322</v>
      </c>
      <c r="AB47" s="96">
        <v>0</v>
      </c>
      <c r="AC47" s="96"/>
    </row>
    <row r="48" spans="2:29" x14ac:dyDescent="0.25">
      <c r="B48">
        <v>0</v>
      </c>
      <c r="C48" t="s">
        <v>333</v>
      </c>
      <c r="D48" t="s">
        <v>331</v>
      </c>
      <c r="E48" t="s">
        <v>331</v>
      </c>
      <c r="F48">
        <v>0</v>
      </c>
      <c r="G48" t="s">
        <v>204</v>
      </c>
      <c r="P48" s="78">
        <v>0</v>
      </c>
      <c r="Q48" s="79">
        <v>0</v>
      </c>
      <c r="R48" s="77" t="s">
        <v>394</v>
      </c>
      <c r="S48" s="77">
        <v>7414000005</v>
      </c>
      <c r="X48"/>
      <c r="AA48" s="97" t="s">
        <v>321</v>
      </c>
      <c r="AB48" s="96">
        <v>0</v>
      </c>
      <c r="AC48" s="96"/>
    </row>
    <row r="49" spans="2:29" x14ac:dyDescent="0.25">
      <c r="B49">
        <v>0</v>
      </c>
      <c r="C49" t="s">
        <v>320</v>
      </c>
      <c r="D49" t="s">
        <v>320</v>
      </c>
      <c r="E49" t="s">
        <v>320</v>
      </c>
      <c r="F49">
        <v>0</v>
      </c>
      <c r="G49" t="s">
        <v>204</v>
      </c>
      <c r="P49" s="78">
        <v>0</v>
      </c>
      <c r="Q49" s="79">
        <v>0</v>
      </c>
      <c r="R49" s="77" t="s">
        <v>394</v>
      </c>
      <c r="S49" s="77">
        <v>7414000005</v>
      </c>
      <c r="X49"/>
      <c r="AA49" s="97" t="s">
        <v>349</v>
      </c>
      <c r="AB49" s="96">
        <v>5999951.0999999996</v>
      </c>
      <c r="AC49" s="96"/>
    </row>
    <row r="50" spans="2:29" x14ac:dyDescent="0.25">
      <c r="B50">
        <v>0</v>
      </c>
      <c r="C50" t="s">
        <v>322</v>
      </c>
      <c r="D50" t="s">
        <v>322</v>
      </c>
      <c r="E50" t="s">
        <v>322</v>
      </c>
      <c r="F50">
        <v>0</v>
      </c>
      <c r="G50" t="s">
        <v>204</v>
      </c>
      <c r="P50" s="78">
        <v>0</v>
      </c>
      <c r="Q50" s="79">
        <v>0</v>
      </c>
      <c r="R50" s="77" t="s">
        <v>394</v>
      </c>
      <c r="S50" s="77">
        <v>7414000005</v>
      </c>
      <c r="X50"/>
      <c r="AA50" s="97" t="s">
        <v>350</v>
      </c>
      <c r="AB50" s="96">
        <v>0</v>
      </c>
      <c r="AC50" s="96"/>
    </row>
    <row r="51" spans="2:29" x14ac:dyDescent="0.25">
      <c r="B51">
        <v>0</v>
      </c>
      <c r="C51" t="s">
        <v>321</v>
      </c>
      <c r="D51" t="s">
        <v>321</v>
      </c>
      <c r="E51" t="s">
        <v>321</v>
      </c>
      <c r="F51">
        <v>0</v>
      </c>
      <c r="G51" t="s">
        <v>204</v>
      </c>
      <c r="P51" s="78">
        <v>0</v>
      </c>
      <c r="Q51" s="79">
        <v>0</v>
      </c>
      <c r="R51" s="77" t="s">
        <v>394</v>
      </c>
      <c r="S51" s="77">
        <v>7414000005</v>
      </c>
      <c r="X51"/>
      <c r="AA51" s="97" t="s">
        <v>351</v>
      </c>
      <c r="AB51" s="96">
        <v>0</v>
      </c>
      <c r="AC51" s="96"/>
    </row>
    <row r="52" spans="2:29" x14ac:dyDescent="0.25">
      <c r="B52">
        <v>0</v>
      </c>
      <c r="C52" t="s">
        <v>353</v>
      </c>
      <c r="D52" t="s">
        <v>349</v>
      </c>
      <c r="E52" t="s">
        <v>349</v>
      </c>
      <c r="F52">
        <v>0</v>
      </c>
      <c r="G52" t="s">
        <v>204</v>
      </c>
      <c r="P52" s="78">
        <v>60000</v>
      </c>
      <c r="Q52" s="79">
        <v>5999951.0999999996</v>
      </c>
      <c r="R52" s="77" t="s">
        <v>394</v>
      </c>
      <c r="S52" s="77">
        <v>7414000005</v>
      </c>
      <c r="X52"/>
      <c r="AA52" s="97" t="s">
        <v>352</v>
      </c>
      <c r="AB52" s="96">
        <v>0</v>
      </c>
      <c r="AC52" s="96"/>
    </row>
    <row r="53" spans="2:29" x14ac:dyDescent="0.25">
      <c r="B53">
        <v>0</v>
      </c>
      <c r="C53" t="s">
        <v>354</v>
      </c>
      <c r="D53" t="s">
        <v>350</v>
      </c>
      <c r="E53" t="s">
        <v>350</v>
      </c>
      <c r="F53">
        <v>0</v>
      </c>
      <c r="G53" t="s">
        <v>204</v>
      </c>
      <c r="P53" s="78">
        <v>0</v>
      </c>
      <c r="Q53" s="79">
        <v>0</v>
      </c>
      <c r="R53" s="77" t="s">
        <v>394</v>
      </c>
      <c r="S53" s="77">
        <v>7414000005</v>
      </c>
      <c r="X53"/>
      <c r="AA53" s="97" t="s">
        <v>314</v>
      </c>
      <c r="AB53" s="96">
        <v>5229466.3648800002</v>
      </c>
      <c r="AC53" s="96"/>
    </row>
    <row r="54" spans="2:29" x14ac:dyDescent="0.25">
      <c r="B54">
        <v>0</v>
      </c>
      <c r="C54" t="s">
        <v>355</v>
      </c>
      <c r="D54" t="s">
        <v>351</v>
      </c>
      <c r="E54" t="s">
        <v>351</v>
      </c>
      <c r="F54">
        <v>0</v>
      </c>
      <c r="G54" t="s">
        <v>204</v>
      </c>
      <c r="P54" s="78">
        <v>0</v>
      </c>
      <c r="Q54" s="79">
        <v>0</v>
      </c>
      <c r="R54" s="77" t="s">
        <v>394</v>
      </c>
      <c r="S54" s="77">
        <v>7414000005</v>
      </c>
      <c r="X54"/>
      <c r="AA54" s="97" t="s">
        <v>302</v>
      </c>
      <c r="AB54" s="96">
        <v>163951705.39837998</v>
      </c>
      <c r="AC54" s="96"/>
    </row>
    <row r="55" spans="2:29" x14ac:dyDescent="0.25">
      <c r="B55">
        <v>0</v>
      </c>
      <c r="C55" t="s">
        <v>356</v>
      </c>
      <c r="D55" t="s">
        <v>352</v>
      </c>
      <c r="E55" t="s">
        <v>352</v>
      </c>
      <c r="F55">
        <v>0</v>
      </c>
      <c r="G55" t="s">
        <v>204</v>
      </c>
      <c r="P55" s="78">
        <v>0</v>
      </c>
      <c r="Q55" s="79">
        <v>0</v>
      </c>
      <c r="R55" s="77" t="s">
        <v>394</v>
      </c>
      <c r="S55" s="77">
        <v>7414000005</v>
      </c>
      <c r="X55"/>
      <c r="AA55" s="97" t="s">
        <v>266</v>
      </c>
      <c r="AB55" s="96">
        <v>126408264.38516</v>
      </c>
      <c r="AC55" s="96"/>
    </row>
    <row r="56" spans="2:29" x14ac:dyDescent="0.25">
      <c r="B56">
        <v>0</v>
      </c>
      <c r="C56" t="s">
        <v>312</v>
      </c>
      <c r="D56" t="s">
        <v>314</v>
      </c>
      <c r="E56" t="s">
        <v>314</v>
      </c>
      <c r="F56">
        <v>0</v>
      </c>
      <c r="G56" t="s">
        <v>204</v>
      </c>
      <c r="P56" s="78">
        <v>1539540</v>
      </c>
      <c r="Q56" s="79">
        <v>5229466.3648800002</v>
      </c>
      <c r="R56" s="77" t="s">
        <v>394</v>
      </c>
      <c r="S56" s="77">
        <v>7414000005</v>
      </c>
      <c r="X56"/>
      <c r="AA56" s="97" t="s">
        <v>269</v>
      </c>
      <c r="AB56" s="96">
        <v>10526385.828136001</v>
      </c>
      <c r="AC56" s="96"/>
    </row>
    <row r="57" spans="2:29" x14ac:dyDescent="0.25">
      <c r="B57">
        <v>0</v>
      </c>
      <c r="F57">
        <v>0</v>
      </c>
      <c r="P57" s="78">
        <v>0</v>
      </c>
      <c r="Q57" s="79">
        <v>0</v>
      </c>
      <c r="R57" s="77" t="s">
        <v>394</v>
      </c>
      <c r="S57" s="77">
        <v>7414000005</v>
      </c>
      <c r="X57"/>
      <c r="AA57" s="97" t="s">
        <v>249</v>
      </c>
      <c r="AB57" s="96">
        <v>7177.3792359999998</v>
      </c>
      <c r="AC57" s="96"/>
    </row>
    <row r="58" spans="2:29" x14ac:dyDescent="0.25">
      <c r="B58">
        <v>0</v>
      </c>
      <c r="F58">
        <v>0</v>
      </c>
      <c r="P58" s="78">
        <v>16836</v>
      </c>
      <c r="Q58" s="79">
        <v>13059546.925931999</v>
      </c>
      <c r="R58" s="77" t="s">
        <v>394</v>
      </c>
      <c r="S58" s="77">
        <v>7414000005</v>
      </c>
      <c r="X58"/>
      <c r="AA58" s="97" t="s">
        <v>95</v>
      </c>
      <c r="AB58" s="96">
        <v>9083970</v>
      </c>
      <c r="AC58" s="96"/>
    </row>
    <row r="59" spans="2:29" x14ac:dyDescent="0.25">
      <c r="B59">
        <v>0</v>
      </c>
      <c r="F59">
        <v>0</v>
      </c>
      <c r="P59" s="78">
        <v>11953</v>
      </c>
      <c r="Q59" s="79">
        <v>8931023.797696</v>
      </c>
      <c r="R59" s="77" t="s">
        <v>394</v>
      </c>
      <c r="S59" s="77">
        <v>7414000005</v>
      </c>
      <c r="X59"/>
      <c r="AA59" s="97" t="s">
        <v>99</v>
      </c>
      <c r="AB59" s="96">
        <v>13205115.26</v>
      </c>
      <c r="AC59" s="96"/>
    </row>
    <row r="60" spans="2:29" x14ac:dyDescent="0.25">
      <c r="B60">
        <v>0</v>
      </c>
      <c r="F60">
        <v>0</v>
      </c>
      <c r="P60" s="78">
        <v>7339</v>
      </c>
      <c r="Q60" s="79">
        <v>5621115.3773370003</v>
      </c>
      <c r="R60" s="77" t="s">
        <v>394</v>
      </c>
      <c r="S60" s="77">
        <v>7414000005</v>
      </c>
      <c r="X60"/>
      <c r="AA60" s="97" t="s">
        <v>101</v>
      </c>
      <c r="AB60" s="96">
        <v>22704027.444772001</v>
      </c>
      <c r="AC60" s="96"/>
    </row>
    <row r="61" spans="2:29" x14ac:dyDescent="0.25">
      <c r="B61">
        <v>0</v>
      </c>
      <c r="F61">
        <v>0</v>
      </c>
      <c r="P61" s="78">
        <v>9785</v>
      </c>
      <c r="Q61" s="79">
        <v>6701640.4110300001</v>
      </c>
      <c r="R61" s="77" t="s">
        <v>394</v>
      </c>
      <c r="S61" s="77">
        <v>7414000005</v>
      </c>
      <c r="X61"/>
      <c r="AA61" s="97" t="s">
        <v>257</v>
      </c>
      <c r="AB61" s="96">
        <v>77937454.728479996</v>
      </c>
      <c r="AC61" s="96"/>
    </row>
    <row r="62" spans="2:29" x14ac:dyDescent="0.25">
      <c r="B62">
        <v>0</v>
      </c>
      <c r="F62">
        <v>0</v>
      </c>
      <c r="P62" s="78">
        <v>9988</v>
      </c>
      <c r="Q62" s="79">
        <v>7719994.52642</v>
      </c>
      <c r="R62" s="77" t="s">
        <v>394</v>
      </c>
      <c r="S62" s="77">
        <v>7414000005</v>
      </c>
      <c r="X62"/>
      <c r="AA62" s="97" t="s">
        <v>148</v>
      </c>
      <c r="AB62" s="96">
        <v>245371533.42360801</v>
      </c>
      <c r="AC62" s="96"/>
    </row>
    <row r="63" spans="2:29" x14ac:dyDescent="0.25">
      <c r="B63">
        <v>0</v>
      </c>
      <c r="F63">
        <v>0</v>
      </c>
      <c r="P63" s="78">
        <v>10025</v>
      </c>
      <c r="Q63" s="79">
        <v>7233986.2659999998</v>
      </c>
      <c r="R63" s="77" t="s">
        <v>394</v>
      </c>
      <c r="S63" s="77">
        <v>7414000005</v>
      </c>
      <c r="X63"/>
      <c r="AA63" s="97" t="s">
        <v>272</v>
      </c>
      <c r="AB63" s="96">
        <v>69580417.575608</v>
      </c>
      <c r="AC63" s="96"/>
    </row>
    <row r="64" spans="2:29" x14ac:dyDescent="0.25">
      <c r="B64">
        <v>0</v>
      </c>
      <c r="F64">
        <v>0</v>
      </c>
      <c r="P64" s="78">
        <v>2547</v>
      </c>
      <c r="Q64" s="79">
        <v>1619798.064093</v>
      </c>
      <c r="R64" s="77" t="s">
        <v>394</v>
      </c>
      <c r="S64" s="77">
        <v>7414000005</v>
      </c>
      <c r="X64"/>
      <c r="AA64" s="97" t="s">
        <v>270</v>
      </c>
      <c r="AB64" s="96">
        <v>4564929.2024539998</v>
      </c>
      <c r="AC64" s="96"/>
    </row>
    <row r="65" spans="2:29" x14ac:dyDescent="0.25">
      <c r="B65">
        <v>0</v>
      </c>
      <c r="F65">
        <v>0</v>
      </c>
      <c r="P65" s="78">
        <v>10420</v>
      </c>
      <c r="Q65" s="79">
        <v>7391632.7012200002</v>
      </c>
      <c r="R65" s="77" t="s">
        <v>394</v>
      </c>
      <c r="S65" s="77">
        <v>7414000005</v>
      </c>
      <c r="X65"/>
      <c r="AA65" s="97" t="s">
        <v>309</v>
      </c>
      <c r="AB65" s="96">
        <v>26196890.727880001</v>
      </c>
      <c r="AC65" s="96"/>
    </row>
    <row r="66" spans="2:29" x14ac:dyDescent="0.25">
      <c r="B66">
        <v>0</v>
      </c>
      <c r="F66">
        <v>0</v>
      </c>
      <c r="P66" s="78">
        <v>17073</v>
      </c>
      <c r="Q66" s="79">
        <v>11855682.195651</v>
      </c>
      <c r="R66" s="77" t="s">
        <v>394</v>
      </c>
      <c r="S66" s="77">
        <v>7414000005</v>
      </c>
      <c r="X66"/>
      <c r="AA66" s="97" t="s">
        <v>310</v>
      </c>
      <c r="AB66" s="96">
        <v>0</v>
      </c>
      <c r="AC66" s="96"/>
    </row>
    <row r="67" spans="2:29" x14ac:dyDescent="0.25">
      <c r="B67">
        <v>0</v>
      </c>
      <c r="F67">
        <v>0</v>
      </c>
      <c r="P67" s="78">
        <v>0</v>
      </c>
      <c r="Q67" s="79">
        <v>0</v>
      </c>
      <c r="R67" s="77" t="s">
        <v>394</v>
      </c>
      <c r="S67" s="77">
        <v>7414000005</v>
      </c>
      <c r="X67"/>
      <c r="AA67" s="97" t="s">
        <v>308</v>
      </c>
      <c r="AB67" s="96">
        <v>0</v>
      </c>
      <c r="AC67" s="96"/>
    </row>
    <row r="68" spans="2:29" x14ac:dyDescent="0.25">
      <c r="B68">
        <v>0</v>
      </c>
      <c r="F68">
        <v>0</v>
      </c>
      <c r="P68" s="78">
        <v>0</v>
      </c>
      <c r="Q68" s="79">
        <v>0</v>
      </c>
      <c r="R68" s="77" t="s">
        <v>394</v>
      </c>
      <c r="S68" s="77">
        <v>7414000005</v>
      </c>
      <c r="X68"/>
      <c r="AA68" s="97" t="s">
        <v>335</v>
      </c>
      <c r="AB68" s="96">
        <v>0</v>
      </c>
      <c r="AC68" s="96"/>
    </row>
    <row r="69" spans="2:29" x14ac:dyDescent="0.25">
      <c r="B69">
        <v>0</v>
      </c>
      <c r="F69">
        <v>0</v>
      </c>
      <c r="P69" s="78">
        <v>0</v>
      </c>
      <c r="Q69" s="79">
        <v>0</v>
      </c>
      <c r="R69" s="77" t="s">
        <v>394</v>
      </c>
      <c r="S69" s="77">
        <v>7414000005</v>
      </c>
      <c r="X69"/>
      <c r="AA69" s="97" t="s">
        <v>337</v>
      </c>
      <c r="AB69" s="96">
        <v>0</v>
      </c>
      <c r="AC69" s="96"/>
    </row>
    <row r="70" spans="2:29" x14ac:dyDescent="0.25">
      <c r="B70">
        <v>0</v>
      </c>
      <c r="F70">
        <v>0</v>
      </c>
      <c r="P70" s="78">
        <v>0</v>
      </c>
      <c r="Q70" s="79">
        <v>0</v>
      </c>
      <c r="R70" s="77" t="s">
        <v>394</v>
      </c>
      <c r="S70" s="77">
        <v>7414000005</v>
      </c>
      <c r="X70"/>
      <c r="AA70" s="97" t="s">
        <v>339</v>
      </c>
      <c r="AB70" s="96">
        <v>244183498.42730999</v>
      </c>
      <c r="AC70" s="96"/>
    </row>
    <row r="71" spans="2:29" x14ac:dyDescent="0.25">
      <c r="B71">
        <v>0</v>
      </c>
      <c r="F71">
        <v>0</v>
      </c>
      <c r="P71" s="78">
        <v>40609029</v>
      </c>
      <c r="Q71" s="79">
        <v>137939612.65438801</v>
      </c>
      <c r="R71" s="77" t="s">
        <v>394</v>
      </c>
      <c r="S71" s="77">
        <v>7414000005</v>
      </c>
      <c r="X71"/>
      <c r="AA71" s="97" t="s">
        <v>341</v>
      </c>
      <c r="AB71" s="96">
        <v>26586423.031410001</v>
      </c>
      <c r="AC71" s="96"/>
    </row>
    <row r="72" spans="2:29" x14ac:dyDescent="0.25">
      <c r="B72">
        <v>0</v>
      </c>
      <c r="F72">
        <v>0</v>
      </c>
      <c r="P72" s="78">
        <v>4364510</v>
      </c>
      <c r="Q72" s="79">
        <v>14825245.361719999</v>
      </c>
      <c r="R72" s="77" t="s">
        <v>394</v>
      </c>
      <c r="S72" s="77">
        <v>7414000005</v>
      </c>
      <c r="X72"/>
      <c r="AA72" s="97" t="s">
        <v>343</v>
      </c>
      <c r="AB72" s="96">
        <v>9083970</v>
      </c>
      <c r="AC72" s="96"/>
    </row>
    <row r="73" spans="2:29" x14ac:dyDescent="0.25">
      <c r="B73">
        <v>0</v>
      </c>
      <c r="F73">
        <v>0</v>
      </c>
      <c r="P73" s="78">
        <v>70008</v>
      </c>
      <c r="Q73" s="79">
        <v>9657532.8919200003</v>
      </c>
      <c r="R73" s="77" t="s">
        <v>394</v>
      </c>
      <c r="S73" s="77">
        <v>7414000005</v>
      </c>
      <c r="X73"/>
      <c r="AA73" s="97" t="s">
        <v>346</v>
      </c>
      <c r="AB73" s="96">
        <v>14587948.937279999</v>
      </c>
      <c r="AC73" s="96"/>
    </row>
    <row r="74" spans="2:29" x14ac:dyDescent="0.25">
      <c r="B74">
        <v>0</v>
      </c>
      <c r="F74">
        <v>0</v>
      </c>
      <c r="P74" s="78">
        <v>26635745</v>
      </c>
      <c r="Q74" s="79">
        <v>96144704.780939996</v>
      </c>
      <c r="R74" s="77" t="s">
        <v>394</v>
      </c>
      <c r="S74" s="77">
        <v>7414000005</v>
      </c>
      <c r="X74"/>
      <c r="AA74" s="97" t="s">
        <v>347</v>
      </c>
      <c r="AB74" s="96">
        <v>136271799.21443</v>
      </c>
      <c r="AC74" s="96"/>
    </row>
    <row r="75" spans="2:29" x14ac:dyDescent="0.25">
      <c r="B75">
        <v>0</v>
      </c>
      <c r="F75">
        <v>0</v>
      </c>
      <c r="P75" s="78">
        <v>51055134</v>
      </c>
      <c r="Q75" s="79">
        <v>111800430.322932</v>
      </c>
      <c r="R75" s="77" t="s">
        <v>394</v>
      </c>
      <c r="S75" s="77">
        <v>7414000005</v>
      </c>
      <c r="X75"/>
      <c r="AA75" s="97" t="s">
        <v>268</v>
      </c>
      <c r="AB75" s="96">
        <v>1414410.9797739999</v>
      </c>
      <c r="AC75" s="96"/>
    </row>
    <row r="76" spans="2:29" x14ac:dyDescent="0.25">
      <c r="B76">
        <v>0</v>
      </c>
      <c r="F76">
        <v>0</v>
      </c>
      <c r="P76" s="78">
        <v>31505157</v>
      </c>
      <c r="Q76" s="79">
        <v>87171051.810473993</v>
      </c>
      <c r="R76" s="77" t="s">
        <v>394</v>
      </c>
      <c r="S76" s="77">
        <v>7414000005</v>
      </c>
      <c r="X76"/>
      <c r="AA76" s="97" t="s">
        <v>357</v>
      </c>
      <c r="AB76" s="96">
        <v>6629732.8663999997</v>
      </c>
      <c r="AC76" s="96"/>
    </row>
    <row r="77" spans="2:29" x14ac:dyDescent="0.25">
      <c r="B77">
        <v>0</v>
      </c>
      <c r="F77">
        <v>0</v>
      </c>
      <c r="P77" s="78">
        <v>445</v>
      </c>
      <c r="Q77" s="79">
        <v>1511.5635400000001</v>
      </c>
      <c r="R77" s="77" t="s">
        <v>394</v>
      </c>
      <c r="S77" s="77">
        <v>7414000005</v>
      </c>
      <c r="X77"/>
      <c r="AA77" s="97" t="s">
        <v>390</v>
      </c>
      <c r="AB77" s="96">
        <v>22659709.482810002</v>
      </c>
      <c r="AC77" s="96"/>
    </row>
    <row r="78" spans="2:29" x14ac:dyDescent="0.25">
      <c r="B78">
        <v>0</v>
      </c>
      <c r="F78">
        <v>0</v>
      </c>
      <c r="P78" s="78">
        <v>93003</v>
      </c>
      <c r="Q78" s="79">
        <v>335704.74483600003</v>
      </c>
      <c r="R78" s="77" t="s">
        <v>394</v>
      </c>
      <c r="S78" s="77">
        <v>7414000005</v>
      </c>
      <c r="X78"/>
      <c r="AA78" s="97" t="s">
        <v>358</v>
      </c>
      <c r="AB78" s="96">
        <v>16136823.22256</v>
      </c>
      <c r="AC78" s="96"/>
    </row>
    <row r="79" spans="2:29" x14ac:dyDescent="0.25">
      <c r="B79">
        <v>0</v>
      </c>
      <c r="F79">
        <v>0</v>
      </c>
      <c r="P79" s="78">
        <v>319629</v>
      </c>
      <c r="Q79" s="79">
        <v>699922.94494199997</v>
      </c>
      <c r="R79" s="77" t="s">
        <v>394</v>
      </c>
      <c r="S79" s="77">
        <v>7414000005</v>
      </c>
      <c r="X79"/>
      <c r="AA79" s="97" t="s">
        <v>361</v>
      </c>
      <c r="AB79" s="96">
        <v>843577966.04540002</v>
      </c>
      <c r="AC79" s="96"/>
    </row>
    <row r="80" spans="2:29" x14ac:dyDescent="0.25">
      <c r="B80">
        <v>0</v>
      </c>
      <c r="F80">
        <v>0</v>
      </c>
      <c r="P80" s="78">
        <v>3855790</v>
      </c>
      <c r="Q80" s="79">
        <v>13097239.509880001</v>
      </c>
      <c r="R80" s="77" t="s">
        <v>394</v>
      </c>
      <c r="S80" s="77">
        <v>7414000005</v>
      </c>
      <c r="X80"/>
      <c r="AA80" s="97" t="s">
        <v>373</v>
      </c>
      <c r="AB80" s="96">
        <v>125548818.49309801</v>
      </c>
      <c r="AC80" s="96"/>
    </row>
    <row r="81" spans="2:29" x14ac:dyDescent="0.25">
      <c r="B81">
        <v>0</v>
      </c>
      <c r="F81">
        <v>0</v>
      </c>
      <c r="P81" s="78">
        <v>17893261</v>
      </c>
      <c r="Q81" s="79">
        <v>60779327.953492001</v>
      </c>
      <c r="R81" s="77" t="s">
        <v>394</v>
      </c>
      <c r="S81" s="77">
        <v>7414000005</v>
      </c>
      <c r="X81"/>
      <c r="AA81" s="97" t="s">
        <v>374</v>
      </c>
      <c r="AB81" s="96">
        <v>0</v>
      </c>
      <c r="AC81" s="96"/>
    </row>
    <row r="82" spans="2:29" x14ac:dyDescent="0.25">
      <c r="B82">
        <v>0</v>
      </c>
      <c r="F82">
        <v>0</v>
      </c>
      <c r="P82" s="78">
        <v>2526514</v>
      </c>
      <c r="Q82" s="79">
        <v>8581992.0128080007</v>
      </c>
      <c r="R82" s="77" t="s">
        <v>394</v>
      </c>
      <c r="S82" s="77">
        <v>7414000005</v>
      </c>
      <c r="X82"/>
      <c r="AA82" s="97" t="s">
        <v>375</v>
      </c>
      <c r="AB82" s="96">
        <v>180134.84752000001</v>
      </c>
      <c r="AC82" s="96"/>
    </row>
    <row r="83" spans="2:29" x14ac:dyDescent="0.25">
      <c r="B83">
        <v>0</v>
      </c>
      <c r="F83">
        <v>0</v>
      </c>
      <c r="P83" s="78">
        <v>9226443</v>
      </c>
      <c r="Q83" s="79">
        <v>31340123.241996001</v>
      </c>
      <c r="R83" s="77" t="s">
        <v>394</v>
      </c>
      <c r="S83" s="77">
        <v>7414000005</v>
      </c>
      <c r="X83"/>
      <c r="AA83" s="97" t="s">
        <v>376</v>
      </c>
      <c r="AB83" s="96">
        <v>4371964.12213</v>
      </c>
      <c r="AC83" s="96"/>
    </row>
    <row r="84" spans="2:29" x14ac:dyDescent="0.25">
      <c r="P84" s="78">
        <v>810288</v>
      </c>
      <c r="Q84" s="79">
        <v>2752363.5903360001</v>
      </c>
      <c r="R84" s="77" t="s">
        <v>394</v>
      </c>
      <c r="S84" s="77">
        <v>7414000005</v>
      </c>
      <c r="X84"/>
      <c r="AA84" s="97" t="s">
        <v>377</v>
      </c>
      <c r="AB84" s="96">
        <v>305218.08240000001</v>
      </c>
      <c r="AC84" s="96"/>
    </row>
    <row r="85" spans="2:29" x14ac:dyDescent="0.25">
      <c r="P85" s="78">
        <v>24337589</v>
      </c>
      <c r="Q85" s="79">
        <v>82669240.862708002</v>
      </c>
      <c r="R85" s="77" t="s">
        <v>394</v>
      </c>
      <c r="S85" s="77">
        <v>7414000005</v>
      </c>
      <c r="X85"/>
      <c r="AA85" s="97" t="s">
        <v>378</v>
      </c>
      <c r="AB85" s="96">
        <v>9536260.7578560002</v>
      </c>
      <c r="AC85" s="96"/>
    </row>
    <row r="86" spans="2:29" x14ac:dyDescent="0.25">
      <c r="B86">
        <v>0</v>
      </c>
      <c r="C86" t="s">
        <v>297</v>
      </c>
      <c r="D86" t="s">
        <v>302</v>
      </c>
      <c r="E86" t="s">
        <v>299</v>
      </c>
      <c r="F86">
        <v>0</v>
      </c>
      <c r="G86" t="s">
        <v>204</v>
      </c>
      <c r="P86" s="78">
        <v>8821206</v>
      </c>
      <c r="Q86" s="79">
        <v>29963625.547031999</v>
      </c>
      <c r="R86" s="77" t="s">
        <v>394</v>
      </c>
      <c r="S86" s="77">
        <v>7414000005</v>
      </c>
      <c r="X86"/>
      <c r="AA86" s="97" t="s">
        <v>379</v>
      </c>
      <c r="AB86" s="96">
        <v>14390432.61045</v>
      </c>
      <c r="AC86" s="96"/>
    </row>
    <row r="87" spans="2:29" x14ac:dyDescent="0.25">
      <c r="B87">
        <v>0</v>
      </c>
      <c r="C87" t="s">
        <v>297</v>
      </c>
      <c r="D87" t="s">
        <v>302</v>
      </c>
      <c r="E87" t="s">
        <v>299</v>
      </c>
      <c r="F87">
        <v>0</v>
      </c>
      <c r="G87" t="s">
        <v>204</v>
      </c>
      <c r="P87" s="78">
        <v>3179966</v>
      </c>
      <c r="Q87" s="79">
        <v>10801619.469752001</v>
      </c>
      <c r="R87" s="77" t="s">
        <v>394</v>
      </c>
      <c r="S87" s="77">
        <v>7414000005</v>
      </c>
      <c r="X87"/>
      <c r="AA87" s="97" t="s">
        <v>380</v>
      </c>
      <c r="AB87" s="96">
        <v>7488786.5086650001</v>
      </c>
      <c r="AC87" s="96"/>
    </row>
    <row r="88" spans="2:29" x14ac:dyDescent="0.25">
      <c r="B88">
        <v>0</v>
      </c>
      <c r="C88" t="s">
        <v>297</v>
      </c>
      <c r="D88" t="s">
        <v>302</v>
      </c>
      <c r="E88" t="s">
        <v>299</v>
      </c>
      <c r="F88">
        <v>0</v>
      </c>
      <c r="G88" t="s">
        <v>204</v>
      </c>
      <c r="P88" s="78">
        <v>7796087</v>
      </c>
      <c r="Q88" s="79">
        <v>26481530.031164002</v>
      </c>
      <c r="R88" s="77" t="s">
        <v>394</v>
      </c>
      <c r="S88" s="77">
        <v>7414000005</v>
      </c>
      <c r="X88"/>
      <c r="AA88" s="97" t="s">
        <v>381</v>
      </c>
      <c r="AB88" s="96">
        <v>4338847.4804400001</v>
      </c>
      <c r="AC88" s="96"/>
    </row>
    <row r="89" spans="2:29" x14ac:dyDescent="0.25">
      <c r="B89">
        <v>0</v>
      </c>
      <c r="C89" t="s">
        <v>297</v>
      </c>
      <c r="D89" t="s">
        <v>302</v>
      </c>
      <c r="E89" t="s">
        <v>299</v>
      </c>
      <c r="F89">
        <v>0</v>
      </c>
      <c r="G89" t="s">
        <v>204</v>
      </c>
      <c r="P89" s="78">
        <v>28469656</v>
      </c>
      <c r="Q89" s="79">
        <v>96704930.350431994</v>
      </c>
      <c r="R89" s="77" t="s">
        <v>394</v>
      </c>
      <c r="S89" s="77">
        <v>7414000005</v>
      </c>
      <c r="X89"/>
      <c r="AA89" s="97" t="s">
        <v>382</v>
      </c>
      <c r="AB89" s="96">
        <v>1181825.1751999999</v>
      </c>
      <c r="AC89" s="96"/>
    </row>
    <row r="90" spans="2:29" x14ac:dyDescent="0.25">
      <c r="B90">
        <v>0</v>
      </c>
      <c r="F90">
        <v>0</v>
      </c>
      <c r="P90" s="78">
        <v>3169188</v>
      </c>
      <c r="Q90" s="79">
        <v>10765009.061136</v>
      </c>
      <c r="R90" s="77" t="s">
        <v>394</v>
      </c>
      <c r="S90" s="77">
        <v>7414000005</v>
      </c>
      <c r="X90"/>
      <c r="AA90" s="97" t="s">
        <v>383</v>
      </c>
      <c r="AB90" s="96">
        <v>5479308.2162499996</v>
      </c>
      <c r="AC90" s="96"/>
    </row>
    <row r="91" spans="2:29" x14ac:dyDescent="0.25">
      <c r="B91">
        <v>0</v>
      </c>
      <c r="F91">
        <v>0</v>
      </c>
      <c r="P91" s="78">
        <v>6320761</v>
      </c>
      <c r="Q91" s="79">
        <v>21470183.983491998</v>
      </c>
      <c r="R91" s="77" t="s">
        <v>394</v>
      </c>
      <c r="S91" s="77">
        <v>7414000005</v>
      </c>
      <c r="X91"/>
      <c r="AA91" s="97" t="s">
        <v>384</v>
      </c>
      <c r="AB91" s="96">
        <v>16943154.54115</v>
      </c>
      <c r="AC91" s="96"/>
    </row>
    <row r="92" spans="2:29" x14ac:dyDescent="0.25">
      <c r="B92">
        <v>0</v>
      </c>
      <c r="C92" t="s">
        <v>90</v>
      </c>
      <c r="D92" t="s">
        <v>266</v>
      </c>
      <c r="E92" t="s">
        <v>265</v>
      </c>
      <c r="F92">
        <v>1</v>
      </c>
      <c r="G92" t="s">
        <v>204</v>
      </c>
      <c r="P92" s="78">
        <v>4114455</v>
      </c>
      <c r="Q92" s="79">
        <v>13975865.53926</v>
      </c>
      <c r="R92" s="77" t="s">
        <v>394</v>
      </c>
      <c r="S92" s="77">
        <v>7414000005</v>
      </c>
      <c r="X92"/>
      <c r="AA92" s="97" t="s">
        <v>385</v>
      </c>
      <c r="AB92" s="96">
        <v>269435.12242099998</v>
      </c>
      <c r="AC92" s="96"/>
    </row>
    <row r="93" spans="2:29" x14ac:dyDescent="0.25">
      <c r="B93">
        <v>0</v>
      </c>
      <c r="C93" t="s">
        <v>92</v>
      </c>
      <c r="D93" t="s">
        <v>269</v>
      </c>
      <c r="E93" t="s">
        <v>265</v>
      </c>
      <c r="F93">
        <v>0</v>
      </c>
      <c r="G93" t="s">
        <v>204</v>
      </c>
      <c r="P93" s="78">
        <v>3098938</v>
      </c>
      <c r="Q93" s="79">
        <v>10526385.828136001</v>
      </c>
      <c r="R93" s="77" t="s">
        <v>394</v>
      </c>
      <c r="S93" s="77">
        <v>7414000005</v>
      </c>
      <c r="X93"/>
      <c r="AA93" s="97" t="s">
        <v>387</v>
      </c>
      <c r="AB93" s="96">
        <v>2977.4249399999999</v>
      </c>
      <c r="AC93" s="96"/>
    </row>
    <row r="94" spans="2:29" x14ac:dyDescent="0.25">
      <c r="B94">
        <v>0</v>
      </c>
      <c r="C94" t="s">
        <v>93</v>
      </c>
      <c r="D94" t="s">
        <v>249</v>
      </c>
      <c r="E94" t="s">
        <v>250</v>
      </c>
      <c r="F94">
        <v>0</v>
      </c>
      <c r="G94" t="s">
        <v>204</v>
      </c>
      <c r="P94" s="78">
        <v>2113</v>
      </c>
      <c r="Q94" s="79">
        <v>7177.3792359999998</v>
      </c>
      <c r="R94" s="77" t="s">
        <v>394</v>
      </c>
      <c r="S94" s="77">
        <v>7414000005</v>
      </c>
      <c r="X94"/>
      <c r="AA94" s="97" t="s">
        <v>389</v>
      </c>
      <c r="AB94" s="96">
        <v>4041175.1820029998</v>
      </c>
      <c r="AC94" s="96"/>
    </row>
    <row r="95" spans="2:29" x14ac:dyDescent="0.25">
      <c r="B95">
        <v>0</v>
      </c>
      <c r="C95" t="s">
        <v>94</v>
      </c>
      <c r="D95" t="s">
        <v>95</v>
      </c>
      <c r="E95" t="s">
        <v>254</v>
      </c>
      <c r="F95">
        <v>0</v>
      </c>
      <c r="G95" t="s">
        <v>204</v>
      </c>
      <c r="P95" s="78">
        <v>1000000</v>
      </c>
      <c r="Q95" s="79">
        <v>9083970</v>
      </c>
      <c r="R95" s="77" t="s">
        <v>394</v>
      </c>
      <c r="S95" s="77">
        <v>7414000005</v>
      </c>
      <c r="X95"/>
      <c r="AA95" s="97" t="s">
        <v>393</v>
      </c>
      <c r="AB95" s="96">
        <v>984464.72560000001</v>
      </c>
      <c r="AC95" s="96"/>
    </row>
    <row r="96" spans="2:29" x14ac:dyDescent="0.25">
      <c r="B96">
        <v>0</v>
      </c>
      <c r="C96" t="s">
        <v>99</v>
      </c>
      <c r="D96" t="s">
        <v>99</v>
      </c>
      <c r="E96" t="s">
        <v>247</v>
      </c>
      <c r="F96">
        <v>0</v>
      </c>
      <c r="G96" t="s">
        <v>204</v>
      </c>
      <c r="P96" s="78">
        <v>0</v>
      </c>
      <c r="Q96" s="79">
        <v>13205115.26</v>
      </c>
      <c r="R96" s="77" t="s">
        <v>394</v>
      </c>
      <c r="S96" s="77">
        <v>7414000005</v>
      </c>
      <c r="X96"/>
      <c r="AA96" s="95" t="s">
        <v>21</v>
      </c>
      <c r="AB96" s="96">
        <v>33891747027.958923</v>
      </c>
      <c r="AC96" s="96"/>
    </row>
    <row r="97" spans="2:29" x14ac:dyDescent="0.25">
      <c r="B97">
        <v>0</v>
      </c>
      <c r="C97" t="s">
        <v>100</v>
      </c>
      <c r="D97" t="s">
        <v>101</v>
      </c>
      <c r="E97" t="s">
        <v>101</v>
      </c>
      <c r="F97">
        <v>0</v>
      </c>
      <c r="G97" t="s">
        <v>204</v>
      </c>
      <c r="P97" s="78">
        <v>6684001</v>
      </c>
      <c r="Q97" s="79">
        <v>22704027.444772001</v>
      </c>
      <c r="R97" s="77" t="s">
        <v>394</v>
      </c>
      <c r="S97" s="77">
        <v>7414000005</v>
      </c>
      <c r="X97"/>
      <c r="AB97"/>
      <c r="AC97"/>
    </row>
    <row r="98" spans="2:29" x14ac:dyDescent="0.25">
      <c r="B98">
        <v>0</v>
      </c>
      <c r="C98" t="s">
        <v>256</v>
      </c>
      <c r="D98" t="s">
        <v>257</v>
      </c>
      <c r="E98" t="s">
        <v>258</v>
      </c>
      <c r="F98">
        <v>0</v>
      </c>
      <c r="G98" t="s">
        <v>204</v>
      </c>
      <c r="P98" s="78">
        <v>564973</v>
      </c>
      <c r="Q98" s="79">
        <v>77937454.728479996</v>
      </c>
      <c r="R98" s="77" t="s">
        <v>394</v>
      </c>
      <c r="S98" s="77">
        <v>7414000005</v>
      </c>
      <c r="X98"/>
      <c r="AB98"/>
      <c r="AC98"/>
    </row>
    <row r="99" spans="2:29" x14ac:dyDescent="0.25">
      <c r="B99">
        <v>0</v>
      </c>
      <c r="C99" t="s">
        <v>175</v>
      </c>
      <c r="D99" t="s">
        <v>148</v>
      </c>
      <c r="E99" t="s">
        <v>148</v>
      </c>
      <c r="F99">
        <v>0</v>
      </c>
      <c r="G99" t="s">
        <v>204</v>
      </c>
      <c r="P99" s="78">
        <v>67977260</v>
      </c>
      <c r="Q99" s="79">
        <v>245371533.42360801</v>
      </c>
      <c r="R99" s="77" t="s">
        <v>394</v>
      </c>
      <c r="S99" s="77">
        <v>7414000005</v>
      </c>
      <c r="X99"/>
      <c r="AB99"/>
      <c r="AC99"/>
    </row>
    <row r="100" spans="2:29" x14ac:dyDescent="0.25">
      <c r="B100">
        <v>0</v>
      </c>
      <c r="C100" t="s">
        <v>176</v>
      </c>
      <c r="D100" t="s">
        <v>272</v>
      </c>
      <c r="E100" t="s">
        <v>271</v>
      </c>
      <c r="F100">
        <v>6</v>
      </c>
      <c r="G100" t="s">
        <v>204</v>
      </c>
      <c r="P100" s="78">
        <v>31774811</v>
      </c>
      <c r="Q100" s="79">
        <v>69580417.575608</v>
      </c>
      <c r="R100" s="77" t="s">
        <v>394</v>
      </c>
      <c r="S100" s="77">
        <v>7414000005</v>
      </c>
      <c r="X100"/>
      <c r="AB100"/>
      <c r="AC100"/>
    </row>
    <row r="101" spans="2:29" x14ac:dyDescent="0.25">
      <c r="B101">
        <v>0</v>
      </c>
      <c r="C101" t="s">
        <v>177</v>
      </c>
      <c r="D101" t="s">
        <v>270</v>
      </c>
      <c r="E101" t="s">
        <v>271</v>
      </c>
      <c r="F101">
        <v>1</v>
      </c>
      <c r="G101" t="s">
        <v>204</v>
      </c>
      <c r="P101" s="78">
        <v>1649846</v>
      </c>
      <c r="Q101" s="79">
        <v>4564929.2024539998</v>
      </c>
      <c r="R101" s="77" t="s">
        <v>394</v>
      </c>
      <c r="S101" s="77">
        <v>7414000005</v>
      </c>
      <c r="X101"/>
      <c r="AB101"/>
      <c r="AC101"/>
    </row>
    <row r="102" spans="2:29" x14ac:dyDescent="0.25">
      <c r="B102">
        <v>0</v>
      </c>
      <c r="C102" t="s">
        <v>303</v>
      </c>
      <c r="D102" t="s">
        <v>309</v>
      </c>
      <c r="E102" t="s">
        <v>309</v>
      </c>
      <c r="F102">
        <v>1</v>
      </c>
      <c r="G102" t="s">
        <v>204</v>
      </c>
      <c r="P102" s="78">
        <v>7712290</v>
      </c>
      <c r="Q102" s="79">
        <v>26196890.727880001</v>
      </c>
      <c r="R102" s="77" t="s">
        <v>394</v>
      </c>
      <c r="S102" s="77">
        <v>7414000005</v>
      </c>
      <c r="X102"/>
      <c r="AB102"/>
      <c r="AC102"/>
    </row>
    <row r="103" spans="2:29" x14ac:dyDescent="0.25">
      <c r="B103">
        <v>0</v>
      </c>
      <c r="C103" t="s">
        <v>304</v>
      </c>
      <c r="D103" t="s">
        <v>310</v>
      </c>
      <c r="E103" t="s">
        <v>310</v>
      </c>
      <c r="F103">
        <v>0</v>
      </c>
      <c r="G103" t="s">
        <v>204</v>
      </c>
      <c r="P103" s="78">
        <v>0</v>
      </c>
      <c r="Q103" s="79">
        <v>0</v>
      </c>
      <c r="R103" s="77" t="s">
        <v>394</v>
      </c>
      <c r="S103" s="77">
        <v>7414000005</v>
      </c>
      <c r="X103"/>
      <c r="AB103"/>
      <c r="AC103"/>
    </row>
    <row r="104" spans="2:29" x14ac:dyDescent="0.25">
      <c r="B104">
        <v>0</v>
      </c>
      <c r="C104" t="s">
        <v>305</v>
      </c>
      <c r="D104" t="s">
        <v>308</v>
      </c>
      <c r="E104" t="s">
        <v>308</v>
      </c>
      <c r="F104">
        <v>0</v>
      </c>
      <c r="G104" t="s">
        <v>204</v>
      </c>
      <c r="P104" s="78">
        <v>0</v>
      </c>
      <c r="Q104" s="79">
        <v>0</v>
      </c>
      <c r="R104" s="77" t="s">
        <v>394</v>
      </c>
      <c r="S104" s="77">
        <v>7414000005</v>
      </c>
      <c r="X104"/>
      <c r="AB104"/>
      <c r="AC104"/>
    </row>
    <row r="105" spans="2:29" x14ac:dyDescent="0.25">
      <c r="B105">
        <v>0</v>
      </c>
      <c r="C105" t="s">
        <v>334</v>
      </c>
      <c r="D105" t="s">
        <v>335</v>
      </c>
      <c r="E105" t="s">
        <v>335</v>
      </c>
      <c r="F105">
        <v>1</v>
      </c>
      <c r="G105" t="s">
        <v>204</v>
      </c>
      <c r="P105" s="78">
        <v>0</v>
      </c>
      <c r="Q105" s="79">
        <v>0</v>
      </c>
      <c r="R105" s="77" t="s">
        <v>394</v>
      </c>
      <c r="S105" s="77">
        <v>7414000005</v>
      </c>
      <c r="X105"/>
      <c r="AB105"/>
      <c r="AC105"/>
    </row>
    <row r="106" spans="2:29" x14ac:dyDescent="0.25">
      <c r="B106">
        <v>0</v>
      </c>
      <c r="C106" t="s">
        <v>336</v>
      </c>
      <c r="D106" t="s">
        <v>337</v>
      </c>
      <c r="E106" t="s">
        <v>337</v>
      </c>
      <c r="F106">
        <v>1</v>
      </c>
      <c r="G106" t="s">
        <v>204</v>
      </c>
      <c r="P106" s="78">
        <v>0</v>
      </c>
      <c r="Q106" s="79">
        <v>0</v>
      </c>
      <c r="R106" s="77" t="s">
        <v>394</v>
      </c>
      <c r="S106" s="77">
        <v>7414000005</v>
      </c>
      <c r="X106"/>
      <c r="AB106"/>
      <c r="AC106"/>
    </row>
    <row r="107" spans="2:29" x14ac:dyDescent="0.25">
      <c r="B107">
        <v>0</v>
      </c>
      <c r="C107" t="s">
        <v>338</v>
      </c>
      <c r="D107" t="s">
        <v>339</v>
      </c>
      <c r="E107" t="s">
        <v>339</v>
      </c>
      <c r="F107">
        <v>1</v>
      </c>
      <c r="G107" t="s">
        <v>204</v>
      </c>
      <c r="P107" s="78">
        <v>2442610</v>
      </c>
      <c r="Q107" s="79">
        <v>244183498.42730999</v>
      </c>
      <c r="R107" s="77" t="s">
        <v>394</v>
      </c>
      <c r="S107" s="77">
        <v>7414000005</v>
      </c>
      <c r="X107"/>
      <c r="AB107"/>
      <c r="AC107"/>
    </row>
    <row r="108" spans="2:29" x14ac:dyDescent="0.25">
      <c r="B108">
        <v>0</v>
      </c>
      <c r="C108" t="s">
        <v>340</v>
      </c>
      <c r="D108" t="s">
        <v>341</v>
      </c>
      <c r="E108" t="s">
        <v>341</v>
      </c>
      <c r="F108">
        <v>1</v>
      </c>
      <c r="G108" t="s">
        <v>204</v>
      </c>
      <c r="P108" s="78">
        <v>2892930</v>
      </c>
      <c r="Q108" s="79">
        <v>26586423.031410001</v>
      </c>
      <c r="R108" s="77" t="s">
        <v>394</v>
      </c>
      <c r="S108" s="77">
        <v>7414000005</v>
      </c>
      <c r="X108"/>
      <c r="AB108"/>
      <c r="AC108"/>
    </row>
    <row r="109" spans="2:29" x14ac:dyDescent="0.25">
      <c r="B109">
        <v>0</v>
      </c>
      <c r="C109" t="s">
        <v>342</v>
      </c>
      <c r="D109" t="s">
        <v>343</v>
      </c>
      <c r="E109" t="s">
        <v>343</v>
      </c>
      <c r="F109">
        <v>1</v>
      </c>
      <c r="G109" t="s">
        <v>204</v>
      </c>
      <c r="P109" s="78">
        <v>1000000</v>
      </c>
      <c r="Q109" s="79">
        <v>9083970</v>
      </c>
      <c r="R109" s="77" t="s">
        <v>394</v>
      </c>
      <c r="S109" s="77">
        <v>7414000005</v>
      </c>
      <c r="X109"/>
      <c r="AB109"/>
      <c r="AC109"/>
    </row>
    <row r="110" spans="2:29" x14ac:dyDescent="0.25">
      <c r="B110">
        <v>0</v>
      </c>
      <c r="C110" t="s">
        <v>344</v>
      </c>
      <c r="D110" t="s">
        <v>346</v>
      </c>
      <c r="E110" t="s">
        <v>346</v>
      </c>
      <c r="F110">
        <v>0</v>
      </c>
      <c r="G110" t="s">
        <v>204</v>
      </c>
      <c r="P110" s="78">
        <v>1618860</v>
      </c>
      <c r="Q110" s="79">
        <v>14587948.937279999</v>
      </c>
      <c r="R110" s="77" t="s">
        <v>394</v>
      </c>
      <c r="S110" s="77">
        <v>7414000005</v>
      </c>
      <c r="X110"/>
      <c r="AB110"/>
      <c r="AC110"/>
    </row>
    <row r="111" spans="2:29" x14ac:dyDescent="0.25">
      <c r="B111">
        <v>0</v>
      </c>
      <c r="C111" t="s">
        <v>345</v>
      </c>
      <c r="D111" t="s">
        <v>347</v>
      </c>
      <c r="E111" t="s">
        <v>347</v>
      </c>
      <c r="F111">
        <v>0</v>
      </c>
      <c r="G111" t="s">
        <v>204</v>
      </c>
      <c r="P111" s="78">
        <v>16258930</v>
      </c>
      <c r="Q111" s="79">
        <v>136271799.21443</v>
      </c>
      <c r="R111" s="77" t="s">
        <v>394</v>
      </c>
      <c r="S111" s="77">
        <v>7414000005</v>
      </c>
      <c r="X111"/>
      <c r="AB111"/>
      <c r="AC111"/>
    </row>
    <row r="112" spans="2:29" x14ac:dyDescent="0.25">
      <c r="B112">
        <v>0</v>
      </c>
      <c r="C112" t="s">
        <v>90</v>
      </c>
      <c r="D112" t="s">
        <v>266</v>
      </c>
      <c r="E112" t="s">
        <v>266</v>
      </c>
      <c r="F112">
        <v>1</v>
      </c>
      <c r="G112" t="s">
        <v>204</v>
      </c>
      <c r="P112" s="78">
        <v>13614860</v>
      </c>
      <c r="Q112" s="79">
        <v>112432398.8459</v>
      </c>
      <c r="R112" s="77" t="s">
        <v>394</v>
      </c>
      <c r="S112" s="77">
        <v>7414000005</v>
      </c>
      <c r="X112"/>
      <c r="AB112"/>
      <c r="AC112"/>
    </row>
    <row r="113" spans="2:29" x14ac:dyDescent="0.25">
      <c r="B113">
        <v>0</v>
      </c>
      <c r="C113" t="s">
        <v>91</v>
      </c>
      <c r="D113" t="s">
        <v>268</v>
      </c>
      <c r="E113" t="s">
        <v>268</v>
      </c>
      <c r="F113">
        <v>0</v>
      </c>
      <c r="G113" t="s">
        <v>204</v>
      </c>
      <c r="P113" s="78">
        <v>14326</v>
      </c>
      <c r="Q113" s="79">
        <v>1414410.9797739999</v>
      </c>
      <c r="R113" s="77" t="s">
        <v>394</v>
      </c>
      <c r="S113" s="77">
        <v>7414000005</v>
      </c>
      <c r="X113"/>
      <c r="AB113"/>
      <c r="AC113"/>
    </row>
    <row r="114" spans="2:29" x14ac:dyDescent="0.25">
      <c r="B114">
        <v>0</v>
      </c>
      <c r="C114">
        <v>1033795</v>
      </c>
      <c r="D114" t="s">
        <v>357</v>
      </c>
      <c r="E114" t="s">
        <v>357</v>
      </c>
      <c r="F114">
        <v>0</v>
      </c>
      <c r="G114" t="s">
        <v>204</v>
      </c>
      <c r="P114" s="78">
        <v>66800</v>
      </c>
      <c r="Q114" s="79">
        <v>6629732.8663999997</v>
      </c>
      <c r="R114" s="77" t="s">
        <v>394</v>
      </c>
      <c r="S114" s="77">
        <v>7414000005</v>
      </c>
      <c r="X114"/>
      <c r="AB114"/>
      <c r="AC114"/>
    </row>
    <row r="115" spans="2:29" x14ac:dyDescent="0.25">
      <c r="B115">
        <v>0</v>
      </c>
      <c r="C115" t="s">
        <v>391</v>
      </c>
      <c r="D115" t="s">
        <v>390</v>
      </c>
      <c r="E115" t="s">
        <v>390</v>
      </c>
      <c r="F115">
        <v>0</v>
      </c>
      <c r="G115" t="s">
        <v>204</v>
      </c>
      <c r="P115" s="78">
        <v>255470</v>
      </c>
      <c r="Q115" s="79">
        <v>22659709.482810002</v>
      </c>
      <c r="R115" s="77" t="s">
        <v>394</v>
      </c>
      <c r="S115" s="77">
        <v>7414000005</v>
      </c>
      <c r="X115"/>
      <c r="AB115"/>
      <c r="AC115"/>
    </row>
    <row r="116" spans="2:29" x14ac:dyDescent="0.25">
      <c r="B116">
        <v>0</v>
      </c>
      <c r="C116" t="s">
        <v>359</v>
      </c>
      <c r="D116" t="s">
        <v>358</v>
      </c>
      <c r="E116" t="s">
        <v>358</v>
      </c>
      <c r="F116">
        <v>0</v>
      </c>
      <c r="G116" t="s">
        <v>204</v>
      </c>
      <c r="P116" s="78">
        <v>172930</v>
      </c>
      <c r="Q116" s="79">
        <v>16136823.22256</v>
      </c>
      <c r="R116" s="77" t="s">
        <v>394</v>
      </c>
      <c r="S116" s="77">
        <v>7414000005</v>
      </c>
      <c r="X116"/>
      <c r="AB116"/>
      <c r="AC116"/>
    </row>
    <row r="117" spans="2:29" x14ac:dyDescent="0.25">
      <c r="B117">
        <v>0</v>
      </c>
      <c r="C117" t="s">
        <v>360</v>
      </c>
      <c r="D117" t="s">
        <v>361</v>
      </c>
      <c r="E117" t="s">
        <v>361</v>
      </c>
      <c r="F117">
        <v>1</v>
      </c>
      <c r="G117" t="s">
        <v>204</v>
      </c>
      <c r="P117" s="78">
        <v>248346950</v>
      </c>
      <c r="Q117" s="79">
        <v>843577966.04540002</v>
      </c>
      <c r="R117" s="77" t="s">
        <v>394</v>
      </c>
      <c r="S117" s="77">
        <v>7414000005</v>
      </c>
      <c r="X117"/>
      <c r="AB117"/>
      <c r="AC117"/>
    </row>
    <row r="118" spans="2:29" x14ac:dyDescent="0.25">
      <c r="B118">
        <v>0</v>
      </c>
      <c r="C118" t="s">
        <v>362</v>
      </c>
      <c r="D118" t="s">
        <v>373</v>
      </c>
      <c r="E118" t="s">
        <v>373</v>
      </c>
      <c r="F118">
        <v>1</v>
      </c>
      <c r="G118" t="s">
        <v>204</v>
      </c>
      <c r="P118" s="78">
        <v>161854</v>
      </c>
      <c r="Q118" s="79">
        <v>125548818.49309801</v>
      </c>
      <c r="R118" s="77" t="s">
        <v>394</v>
      </c>
      <c r="S118" s="77">
        <v>7414000005</v>
      </c>
      <c r="X118"/>
      <c r="AB118"/>
      <c r="AC118"/>
    </row>
    <row r="119" spans="2:29" x14ac:dyDescent="0.25">
      <c r="B119">
        <v>0</v>
      </c>
      <c r="C119" t="s">
        <v>363</v>
      </c>
      <c r="D119" t="s">
        <v>374</v>
      </c>
      <c r="E119" t="s">
        <v>374</v>
      </c>
      <c r="F119">
        <v>1</v>
      </c>
      <c r="G119" t="s">
        <v>204</v>
      </c>
      <c r="P119" s="78">
        <v>0</v>
      </c>
      <c r="Q119" s="79">
        <v>0</v>
      </c>
      <c r="R119" s="77" t="s">
        <v>394</v>
      </c>
      <c r="S119" s="77">
        <v>7414000005</v>
      </c>
      <c r="X119"/>
      <c r="AB119"/>
      <c r="AC119"/>
    </row>
    <row r="120" spans="2:29" x14ac:dyDescent="0.25">
      <c r="B120">
        <v>0</v>
      </c>
      <c r="C120" t="s">
        <v>364</v>
      </c>
      <c r="D120" t="s">
        <v>375</v>
      </c>
      <c r="E120" t="s">
        <v>375</v>
      </c>
      <c r="F120">
        <v>1</v>
      </c>
      <c r="G120" t="s">
        <v>204</v>
      </c>
      <c r="P120" s="78">
        <v>19990</v>
      </c>
      <c r="Q120" s="79">
        <v>180134.84752000001</v>
      </c>
      <c r="R120" s="77" t="s">
        <v>394</v>
      </c>
      <c r="S120" s="77">
        <v>7414000005</v>
      </c>
      <c r="X120"/>
      <c r="AB120"/>
      <c r="AC120"/>
    </row>
    <row r="121" spans="2:29" x14ac:dyDescent="0.25">
      <c r="B121">
        <v>0</v>
      </c>
      <c r="C121">
        <v>1528</v>
      </c>
      <c r="D121" t="s">
        <v>376</v>
      </c>
      <c r="E121" t="s">
        <v>376</v>
      </c>
      <c r="F121">
        <v>0</v>
      </c>
      <c r="G121" t="s">
        <v>204</v>
      </c>
      <c r="P121" s="78">
        <v>521630</v>
      </c>
      <c r="Q121" s="79">
        <v>4371964.12213</v>
      </c>
      <c r="R121" s="77" t="s">
        <v>394</v>
      </c>
      <c r="S121" s="77">
        <v>7414000005</v>
      </c>
      <c r="X121"/>
      <c r="AB121"/>
      <c r="AC121"/>
    </row>
    <row r="122" spans="2:29" x14ac:dyDescent="0.25">
      <c r="B122">
        <v>0</v>
      </c>
      <c r="C122" t="s">
        <v>365</v>
      </c>
      <c r="D122" t="s">
        <v>377</v>
      </c>
      <c r="E122" t="s">
        <v>377</v>
      </c>
      <c r="F122">
        <v>1</v>
      </c>
      <c r="G122" t="s">
        <v>204</v>
      </c>
      <c r="P122" s="78">
        <v>36960</v>
      </c>
      <c r="Q122" s="79">
        <v>305218.08240000001</v>
      </c>
      <c r="R122" s="77" t="s">
        <v>394</v>
      </c>
      <c r="S122" s="77">
        <v>7414000005</v>
      </c>
      <c r="X122"/>
      <c r="AB122"/>
      <c r="AC122"/>
    </row>
    <row r="123" spans="2:29" x14ac:dyDescent="0.25">
      <c r="B123">
        <v>0</v>
      </c>
      <c r="C123" t="s">
        <v>366</v>
      </c>
      <c r="D123" t="s">
        <v>378</v>
      </c>
      <c r="E123" t="s">
        <v>378</v>
      </c>
      <c r="F123">
        <v>0</v>
      </c>
      <c r="G123" t="s">
        <v>204</v>
      </c>
      <c r="P123" s="78">
        <v>2807448</v>
      </c>
      <c r="Q123" s="79">
        <v>9536260.7578560002</v>
      </c>
      <c r="R123" s="77" t="s">
        <v>394</v>
      </c>
      <c r="S123" s="77">
        <v>7414000005</v>
      </c>
      <c r="X123"/>
      <c r="AB123"/>
      <c r="AC123"/>
    </row>
    <row r="124" spans="2:29" x14ac:dyDescent="0.25">
      <c r="B124">
        <v>0</v>
      </c>
      <c r="C124" t="s">
        <v>367</v>
      </c>
      <c r="D124" t="s">
        <v>379</v>
      </c>
      <c r="E124" t="s">
        <v>379</v>
      </c>
      <c r="F124">
        <v>1</v>
      </c>
      <c r="G124" t="s">
        <v>204</v>
      </c>
      <c r="P124" s="78">
        <v>143950</v>
      </c>
      <c r="Q124" s="79">
        <v>14390432.61045</v>
      </c>
      <c r="R124" s="77" t="s">
        <v>394</v>
      </c>
      <c r="S124" s="77">
        <v>7414000005</v>
      </c>
      <c r="X124"/>
      <c r="AB124"/>
      <c r="AC124"/>
    </row>
    <row r="125" spans="2:29" x14ac:dyDescent="0.25">
      <c r="B125">
        <v>0</v>
      </c>
      <c r="C125" t="s">
        <v>368</v>
      </c>
      <c r="D125" t="s">
        <v>380</v>
      </c>
      <c r="E125" t="s">
        <v>380</v>
      </c>
      <c r="F125">
        <v>1</v>
      </c>
      <c r="G125" t="s">
        <v>204</v>
      </c>
      <c r="P125" s="78">
        <v>801955</v>
      </c>
      <c r="Q125" s="79">
        <v>7488786.5086650001</v>
      </c>
      <c r="R125" s="77" t="s">
        <v>394</v>
      </c>
      <c r="S125" s="77">
        <v>7414000005</v>
      </c>
      <c r="X125"/>
      <c r="AB125"/>
      <c r="AC125"/>
    </row>
    <row r="126" spans="2:29" x14ac:dyDescent="0.25">
      <c r="B126">
        <v>0</v>
      </c>
      <c r="C126">
        <v>6981</v>
      </c>
      <c r="D126" t="s">
        <v>381</v>
      </c>
      <c r="E126" t="s">
        <v>381</v>
      </c>
      <c r="F126">
        <v>1</v>
      </c>
      <c r="G126" t="s">
        <v>204</v>
      </c>
      <c r="P126" s="78">
        <v>472120</v>
      </c>
      <c r="Q126" s="79">
        <v>4338847.4804400001</v>
      </c>
      <c r="R126" s="77" t="s">
        <v>394</v>
      </c>
      <c r="S126" s="77">
        <v>7414000005</v>
      </c>
      <c r="X126"/>
      <c r="AB126"/>
      <c r="AC126"/>
    </row>
    <row r="127" spans="2:29" x14ac:dyDescent="0.25">
      <c r="B127">
        <v>0</v>
      </c>
      <c r="C127" t="s">
        <v>369</v>
      </c>
      <c r="D127" t="s">
        <v>382</v>
      </c>
      <c r="E127" t="s">
        <v>382</v>
      </c>
      <c r="F127">
        <v>0</v>
      </c>
      <c r="G127" t="s">
        <v>204</v>
      </c>
      <c r="P127" s="78">
        <v>131150</v>
      </c>
      <c r="Q127" s="79">
        <v>1181825.1751999999</v>
      </c>
      <c r="R127" s="77" t="s">
        <v>394</v>
      </c>
      <c r="S127" s="77">
        <v>7414000005</v>
      </c>
      <c r="X127"/>
      <c r="AB127"/>
      <c r="AC127"/>
    </row>
    <row r="128" spans="2:29" x14ac:dyDescent="0.25">
      <c r="B128">
        <v>0</v>
      </c>
      <c r="C128" t="s">
        <v>370</v>
      </c>
      <c r="D128" t="s">
        <v>383</v>
      </c>
      <c r="E128" t="s">
        <v>383</v>
      </c>
      <c r="F128">
        <v>0</v>
      </c>
      <c r="G128" t="s">
        <v>204</v>
      </c>
      <c r="P128" s="78">
        <v>653750</v>
      </c>
      <c r="Q128" s="79">
        <v>5479308.2162499996</v>
      </c>
      <c r="R128" s="77" t="s">
        <v>394</v>
      </c>
      <c r="S128" s="77">
        <v>7414000005</v>
      </c>
      <c r="X128"/>
      <c r="AB128"/>
      <c r="AC128"/>
    </row>
    <row r="129" spans="2:29" x14ac:dyDescent="0.25">
      <c r="B129">
        <v>0</v>
      </c>
      <c r="C129" t="s">
        <v>371</v>
      </c>
      <c r="D129" t="s">
        <v>384</v>
      </c>
      <c r="E129" t="s">
        <v>384</v>
      </c>
      <c r="F129">
        <v>1</v>
      </c>
      <c r="G129" t="s">
        <v>204</v>
      </c>
      <c r="P129" s="78">
        <v>2051710</v>
      </c>
      <c r="Q129" s="79">
        <v>16943154.54115</v>
      </c>
      <c r="R129" s="77" t="s">
        <v>394</v>
      </c>
      <c r="S129" s="77">
        <v>7414000005</v>
      </c>
      <c r="X129"/>
      <c r="AB129"/>
      <c r="AC129"/>
    </row>
    <row r="130" spans="2:29" x14ac:dyDescent="0.25">
      <c r="B130">
        <v>0</v>
      </c>
      <c r="C130" t="s">
        <v>372</v>
      </c>
      <c r="D130" t="s">
        <v>385</v>
      </c>
      <c r="E130" t="s">
        <v>385</v>
      </c>
      <c r="F130">
        <v>0</v>
      </c>
      <c r="G130" t="s">
        <v>204</v>
      </c>
      <c r="P130" s="78">
        <v>2729</v>
      </c>
      <c r="Q130" s="79">
        <v>269435.12242099998</v>
      </c>
      <c r="R130" s="77" t="s">
        <v>394</v>
      </c>
      <c r="S130" s="77">
        <v>7414000005</v>
      </c>
      <c r="X130"/>
      <c r="AB130"/>
      <c r="AC130"/>
    </row>
    <row r="131" spans="2:29" x14ac:dyDescent="0.25">
      <c r="B131">
        <v>0</v>
      </c>
      <c r="C131" t="s">
        <v>386</v>
      </c>
      <c r="D131" t="s">
        <v>387</v>
      </c>
      <c r="E131" t="s">
        <v>387</v>
      </c>
      <c r="F131">
        <v>0</v>
      </c>
      <c r="G131" t="s">
        <v>204</v>
      </c>
      <c r="P131" s="78">
        <v>30</v>
      </c>
      <c r="Q131" s="79">
        <v>2977.4249399999999</v>
      </c>
      <c r="R131" s="77" t="s">
        <v>394</v>
      </c>
      <c r="S131" s="77">
        <v>7414000005</v>
      </c>
      <c r="X131"/>
      <c r="AB131"/>
      <c r="AC131"/>
    </row>
    <row r="132" spans="2:29" x14ac:dyDescent="0.25">
      <c r="B132">
        <v>0</v>
      </c>
      <c r="C132" t="s">
        <v>388</v>
      </c>
      <c r="D132" t="s">
        <v>389</v>
      </c>
      <c r="E132" t="s">
        <v>389</v>
      </c>
      <c r="F132">
        <v>0</v>
      </c>
      <c r="G132" t="s">
        <v>204</v>
      </c>
      <c r="P132" s="78">
        <v>45561</v>
      </c>
      <c r="Q132" s="79">
        <v>4041175.1820029998</v>
      </c>
      <c r="R132" s="77" t="s">
        <v>394</v>
      </c>
      <c r="S132" s="77">
        <v>7414000005</v>
      </c>
      <c r="X132"/>
      <c r="AB132"/>
      <c r="AC132"/>
    </row>
    <row r="133" spans="2:29" x14ac:dyDescent="0.25">
      <c r="B133">
        <v>0</v>
      </c>
      <c r="C133" t="s">
        <v>392</v>
      </c>
      <c r="D133" t="s">
        <v>393</v>
      </c>
      <c r="E133" t="s">
        <v>393</v>
      </c>
      <c r="F133">
        <v>0</v>
      </c>
      <c r="G133" t="s">
        <v>204</v>
      </c>
      <c r="P133" s="78">
        <v>10550</v>
      </c>
      <c r="Q133" s="79">
        <v>984464.72560000001</v>
      </c>
      <c r="R133" s="77" t="s">
        <v>394</v>
      </c>
      <c r="S133" s="77">
        <v>7414000005</v>
      </c>
      <c r="X133"/>
      <c r="AB133"/>
      <c r="AC133"/>
    </row>
    <row r="134" spans="2:29" x14ac:dyDescent="0.25">
      <c r="B134">
        <v>0</v>
      </c>
      <c r="F134">
        <v>0</v>
      </c>
      <c r="P134" s="78">
        <v>8085105</v>
      </c>
      <c r="Q134" s="79">
        <v>27463258.281059999</v>
      </c>
      <c r="R134" s="77" t="s">
        <v>394</v>
      </c>
      <c r="S134" s="77">
        <v>7414000005</v>
      </c>
      <c r="X134"/>
      <c r="AB134"/>
      <c r="AC134"/>
    </row>
    <row r="135" spans="2:29" x14ac:dyDescent="0.25">
      <c r="B135">
        <v>0</v>
      </c>
      <c r="F135">
        <v>0</v>
      </c>
      <c r="P135" s="78">
        <v>0</v>
      </c>
      <c r="Q135" s="79">
        <v>0</v>
      </c>
      <c r="R135" s="77" t="s">
        <v>394</v>
      </c>
      <c r="S135" s="77">
        <v>7414000005</v>
      </c>
      <c r="X135"/>
      <c r="AB135"/>
      <c r="AC135"/>
    </row>
    <row r="136" spans="2:29" x14ac:dyDescent="0.25">
      <c r="B136">
        <v>0</v>
      </c>
      <c r="F136">
        <v>0</v>
      </c>
      <c r="P136" s="78">
        <v>9642</v>
      </c>
      <c r="Q136" s="79">
        <v>7479220.2102539996</v>
      </c>
      <c r="R136" s="77" t="s">
        <v>394</v>
      </c>
      <c r="S136" s="77">
        <v>7414000005</v>
      </c>
      <c r="X136"/>
      <c r="AB136"/>
      <c r="AC136"/>
    </row>
    <row r="137" spans="2:29" x14ac:dyDescent="0.25">
      <c r="B137">
        <v>0</v>
      </c>
      <c r="F137">
        <v>0</v>
      </c>
      <c r="P137" s="78">
        <v>0</v>
      </c>
      <c r="Q137" s="79">
        <v>27265.21</v>
      </c>
      <c r="R137" s="77" t="s">
        <v>394</v>
      </c>
      <c r="S137" s="77">
        <v>7414000005</v>
      </c>
      <c r="X137"/>
      <c r="AB137"/>
      <c r="AC137"/>
    </row>
    <row r="138" spans="2:29" x14ac:dyDescent="0.25">
      <c r="B138">
        <v>0</v>
      </c>
      <c r="F138">
        <v>0</v>
      </c>
      <c r="P138" s="78">
        <v>14805927</v>
      </c>
      <c r="Q138" s="79">
        <v>52831071.346625999</v>
      </c>
      <c r="R138" s="77" t="s">
        <v>394</v>
      </c>
      <c r="S138" s="77">
        <v>7414000005</v>
      </c>
      <c r="X138"/>
      <c r="AB138"/>
      <c r="AC138"/>
    </row>
    <row r="139" spans="2:29" x14ac:dyDescent="0.25">
      <c r="B139">
        <v>0</v>
      </c>
      <c r="F139">
        <v>0</v>
      </c>
      <c r="P139" s="78">
        <v>13866</v>
      </c>
      <c r="Q139" s="79">
        <v>50097.594546</v>
      </c>
      <c r="R139" s="77" t="s">
        <v>394</v>
      </c>
      <c r="S139" s="77">
        <v>7414000005</v>
      </c>
      <c r="X139"/>
      <c r="AB139"/>
      <c r="AC139"/>
    </row>
    <row r="140" spans="2:29" x14ac:dyDescent="0.25">
      <c r="B140">
        <v>0</v>
      </c>
      <c r="F140">
        <v>0</v>
      </c>
      <c r="P140" s="78">
        <v>68123</v>
      </c>
      <c r="Q140" s="79">
        <v>9336046.9224219993</v>
      </c>
      <c r="R140" s="77" t="s">
        <v>394</v>
      </c>
      <c r="S140" s="77">
        <v>7414000005</v>
      </c>
      <c r="X140"/>
      <c r="AB140"/>
      <c r="AC140"/>
    </row>
    <row r="141" spans="2:29" x14ac:dyDescent="0.25">
      <c r="B141">
        <v>0</v>
      </c>
      <c r="F141">
        <v>0</v>
      </c>
      <c r="P141" s="78">
        <v>1931031</v>
      </c>
      <c r="Q141" s="79">
        <v>7022186.5073760003</v>
      </c>
      <c r="R141" s="77" t="s">
        <v>394</v>
      </c>
      <c r="S141" s="77">
        <v>7414000005</v>
      </c>
      <c r="X141"/>
      <c r="AB141"/>
      <c r="AC141"/>
    </row>
    <row r="142" spans="2:29" x14ac:dyDescent="0.25">
      <c r="B142">
        <v>0</v>
      </c>
      <c r="F142">
        <v>0</v>
      </c>
      <c r="P142" s="78">
        <v>3951965</v>
      </c>
      <c r="Q142" s="79">
        <v>8423629.2053599991</v>
      </c>
      <c r="R142" s="77" t="s">
        <v>394</v>
      </c>
      <c r="S142" s="77">
        <v>7414000005</v>
      </c>
      <c r="X142"/>
      <c r="AB142"/>
      <c r="AC142"/>
    </row>
    <row r="143" spans="2:29" x14ac:dyDescent="0.25">
      <c r="B143">
        <v>0</v>
      </c>
      <c r="F143">
        <v>0</v>
      </c>
      <c r="P143" s="78">
        <v>90365</v>
      </c>
      <c r="Q143" s="79">
        <v>254370.697625</v>
      </c>
      <c r="R143" s="77" t="s">
        <v>394</v>
      </c>
      <c r="S143" s="77">
        <v>7414000005</v>
      </c>
      <c r="X143"/>
      <c r="AB143"/>
      <c r="AC143"/>
    </row>
    <row r="144" spans="2:29" x14ac:dyDescent="0.25">
      <c r="B144">
        <v>0</v>
      </c>
      <c r="F144">
        <v>0</v>
      </c>
      <c r="P144" s="78">
        <v>21987</v>
      </c>
      <c r="Q144" s="79">
        <v>79438.613247000001</v>
      </c>
      <c r="R144" s="77" t="s">
        <v>394</v>
      </c>
      <c r="S144" s="77">
        <v>7414000005</v>
      </c>
      <c r="X144"/>
      <c r="AB144"/>
      <c r="AC144"/>
    </row>
    <row r="145" spans="2:29" x14ac:dyDescent="0.25">
      <c r="B145">
        <v>0</v>
      </c>
      <c r="F145">
        <v>0</v>
      </c>
      <c r="P145" s="78">
        <v>158128</v>
      </c>
      <c r="Q145" s="79">
        <v>21670954.416992001</v>
      </c>
      <c r="R145" s="77" t="s">
        <v>394</v>
      </c>
      <c r="S145" s="77">
        <v>7414000005</v>
      </c>
      <c r="X145"/>
      <c r="AB145"/>
      <c r="AC145"/>
    </row>
    <row r="146" spans="2:29" x14ac:dyDescent="0.25">
      <c r="B146">
        <v>0</v>
      </c>
      <c r="F146">
        <v>0</v>
      </c>
      <c r="P146" s="78">
        <v>4705909</v>
      </c>
      <c r="Q146" s="79">
        <v>17113019.254864</v>
      </c>
      <c r="R146" s="77" t="s">
        <v>394</v>
      </c>
      <c r="S146" s="77">
        <v>7414000005</v>
      </c>
      <c r="X146"/>
      <c r="AB146"/>
      <c r="AC146"/>
    </row>
    <row r="147" spans="2:29" x14ac:dyDescent="0.25">
      <c r="B147">
        <v>0</v>
      </c>
      <c r="F147">
        <v>0</v>
      </c>
      <c r="P147" s="78">
        <v>8549913</v>
      </c>
      <c r="Q147" s="79">
        <v>18224173.759151999</v>
      </c>
      <c r="R147" s="77" t="s">
        <v>394</v>
      </c>
      <c r="S147" s="77">
        <v>7414000005</v>
      </c>
      <c r="X147"/>
      <c r="AB147"/>
      <c r="AC147"/>
    </row>
    <row r="148" spans="2:29" x14ac:dyDescent="0.25">
      <c r="B148">
        <v>0</v>
      </c>
      <c r="F148">
        <v>0</v>
      </c>
      <c r="P148" s="78">
        <v>197157</v>
      </c>
      <c r="Q148" s="79">
        <v>554982.16822500003</v>
      </c>
      <c r="R148" s="77" t="s">
        <v>394</v>
      </c>
      <c r="S148" s="77">
        <v>7414000005</v>
      </c>
      <c r="X148"/>
      <c r="AB148"/>
      <c r="AC148"/>
    </row>
    <row r="149" spans="2:29" x14ac:dyDescent="0.25">
      <c r="B149">
        <v>0</v>
      </c>
      <c r="F149">
        <v>0</v>
      </c>
      <c r="P149" s="78">
        <v>9555686</v>
      </c>
      <c r="Q149" s="79">
        <v>32458486.645592</v>
      </c>
      <c r="R149" s="77" t="s">
        <v>394</v>
      </c>
      <c r="S149" s="77">
        <v>7414000005</v>
      </c>
      <c r="X149"/>
      <c r="AB149"/>
      <c r="AC149"/>
    </row>
    <row r="150" spans="2:29" x14ac:dyDescent="0.25">
      <c r="B150">
        <v>0</v>
      </c>
      <c r="F150">
        <v>0</v>
      </c>
      <c r="P150" s="78">
        <v>15625451</v>
      </c>
      <c r="Q150" s="79">
        <v>60677282.588533998</v>
      </c>
      <c r="R150" s="77" t="s">
        <v>394</v>
      </c>
      <c r="S150" s="77">
        <v>7414000005</v>
      </c>
      <c r="X150"/>
      <c r="AB150"/>
      <c r="AC150"/>
    </row>
    <row r="151" spans="2:29" x14ac:dyDescent="0.25">
      <c r="B151">
        <v>0</v>
      </c>
      <c r="F151">
        <v>0</v>
      </c>
      <c r="P151" s="78">
        <v>0</v>
      </c>
      <c r="Q151" s="79">
        <v>55443949.5</v>
      </c>
      <c r="R151" s="77" t="s">
        <v>394</v>
      </c>
      <c r="S151" s="77">
        <v>7414000005</v>
      </c>
      <c r="X151"/>
      <c r="AB151"/>
      <c r="AC151"/>
    </row>
    <row r="152" spans="2:29" x14ac:dyDescent="0.25">
      <c r="B152">
        <v>0</v>
      </c>
      <c r="F152">
        <v>0</v>
      </c>
      <c r="P152" s="78">
        <v>7629</v>
      </c>
      <c r="Q152" s="79">
        <v>757159.16224199999</v>
      </c>
      <c r="R152" s="77" t="s">
        <v>394</v>
      </c>
      <c r="S152" s="77">
        <v>7414000005</v>
      </c>
      <c r="X152"/>
      <c r="AB152"/>
      <c r="AC152"/>
    </row>
    <row r="153" spans="2:29" x14ac:dyDescent="0.25">
      <c r="B153">
        <v>0</v>
      </c>
      <c r="F153">
        <v>0</v>
      </c>
      <c r="P153" s="78">
        <v>160</v>
      </c>
      <c r="Q153" s="79">
        <v>14705.89136</v>
      </c>
      <c r="R153" s="77" t="s">
        <v>394</v>
      </c>
      <c r="S153" s="77">
        <v>7414000005</v>
      </c>
      <c r="X153"/>
      <c r="AB153"/>
      <c r="AC153"/>
    </row>
    <row r="154" spans="2:29" x14ac:dyDescent="0.25">
      <c r="B154">
        <v>0</v>
      </c>
      <c r="F154">
        <v>0</v>
      </c>
      <c r="P154" s="78">
        <v>4160</v>
      </c>
      <c r="Q154" s="79">
        <v>388187.03872000001</v>
      </c>
      <c r="R154" s="77" t="s">
        <v>394</v>
      </c>
      <c r="S154" s="77">
        <v>7414000005</v>
      </c>
      <c r="X154"/>
      <c r="AB154"/>
      <c r="AC154"/>
    </row>
    <row r="155" spans="2:29" x14ac:dyDescent="0.25">
      <c r="B155">
        <v>0</v>
      </c>
      <c r="F155">
        <v>0</v>
      </c>
      <c r="P155" s="78">
        <v>10190</v>
      </c>
      <c r="Q155" s="79">
        <v>966726.89983000001</v>
      </c>
      <c r="R155" s="77" t="s">
        <v>394</v>
      </c>
      <c r="S155" s="77">
        <v>7414000005</v>
      </c>
      <c r="X155"/>
      <c r="AB155"/>
      <c r="AC155"/>
    </row>
    <row r="156" spans="2:29" x14ac:dyDescent="0.25">
      <c r="B156">
        <v>0</v>
      </c>
      <c r="F156">
        <v>0</v>
      </c>
      <c r="P156" s="78">
        <v>4540</v>
      </c>
      <c r="Q156" s="79">
        <v>406282.17109999998</v>
      </c>
      <c r="R156" s="77" t="s">
        <v>394</v>
      </c>
      <c r="S156" s="77">
        <v>7414000005</v>
      </c>
      <c r="X156"/>
      <c r="AB156"/>
      <c r="AC156"/>
    </row>
    <row r="157" spans="2:29" x14ac:dyDescent="0.25">
      <c r="B157">
        <v>0</v>
      </c>
      <c r="F157">
        <v>0</v>
      </c>
      <c r="P157" s="78">
        <v>15768</v>
      </c>
      <c r="Q157" s="79">
        <v>1599678.831888</v>
      </c>
      <c r="R157" s="77" t="s">
        <v>394</v>
      </c>
      <c r="S157" s="77">
        <v>7414000005</v>
      </c>
      <c r="X157"/>
      <c r="AB157"/>
      <c r="AC157"/>
    </row>
    <row r="158" spans="2:29" x14ac:dyDescent="0.25">
      <c r="B158">
        <v>0</v>
      </c>
      <c r="F158">
        <v>0</v>
      </c>
      <c r="P158" s="78">
        <v>1866</v>
      </c>
      <c r="Q158" s="79">
        <v>167274.158952</v>
      </c>
      <c r="R158" s="77" t="s">
        <v>394</v>
      </c>
      <c r="S158" s="77">
        <v>7414000005</v>
      </c>
      <c r="X158"/>
      <c r="AB158"/>
      <c r="AC158"/>
    </row>
    <row r="159" spans="2:29" x14ac:dyDescent="0.25">
      <c r="B159">
        <v>0</v>
      </c>
      <c r="F159">
        <v>0</v>
      </c>
      <c r="P159" s="78">
        <v>985</v>
      </c>
      <c r="Q159" s="79">
        <v>80512.777100000007</v>
      </c>
      <c r="R159" s="77" t="s">
        <v>394</v>
      </c>
      <c r="S159" s="77">
        <v>7414000005</v>
      </c>
      <c r="X159"/>
      <c r="AB159"/>
      <c r="AC159"/>
    </row>
    <row r="160" spans="2:29" x14ac:dyDescent="0.25">
      <c r="B160">
        <v>0</v>
      </c>
      <c r="F160">
        <v>0</v>
      </c>
      <c r="P160" s="78">
        <v>9218</v>
      </c>
      <c r="Q160" s="79">
        <v>766944.61489800003</v>
      </c>
      <c r="R160" s="77" t="s">
        <v>394</v>
      </c>
      <c r="S160" s="77">
        <v>7414000005</v>
      </c>
      <c r="X160"/>
      <c r="AB160"/>
      <c r="AC160"/>
    </row>
    <row r="161" spans="2:29" x14ac:dyDescent="0.25">
      <c r="B161">
        <v>0</v>
      </c>
      <c r="F161">
        <v>0</v>
      </c>
      <c r="P161" s="78">
        <v>0</v>
      </c>
      <c r="Q161" s="79">
        <v>0</v>
      </c>
      <c r="R161" s="77" t="s">
        <v>394</v>
      </c>
      <c r="S161" s="77">
        <v>7414000005</v>
      </c>
      <c r="X161"/>
      <c r="AB161"/>
      <c r="AC161"/>
    </row>
    <row r="162" spans="2:29" x14ac:dyDescent="0.25">
      <c r="B162">
        <v>0</v>
      </c>
      <c r="F162">
        <v>0</v>
      </c>
      <c r="P162" s="78">
        <v>137609</v>
      </c>
      <c r="Q162" s="79">
        <v>106742171.117283</v>
      </c>
      <c r="R162" s="77" t="s">
        <v>394</v>
      </c>
      <c r="S162" s="77">
        <v>7414000005</v>
      </c>
      <c r="X162"/>
      <c r="AB162"/>
      <c r="AC162"/>
    </row>
    <row r="163" spans="2:29" x14ac:dyDescent="0.25">
      <c r="B163">
        <v>0</v>
      </c>
      <c r="F163">
        <v>0</v>
      </c>
      <c r="P163" s="78">
        <v>30479</v>
      </c>
      <c r="Q163" s="79">
        <v>22773251.428927999</v>
      </c>
      <c r="R163" s="77" t="s">
        <v>394</v>
      </c>
      <c r="S163" s="77">
        <v>7414000005</v>
      </c>
      <c r="X163"/>
      <c r="AB163"/>
      <c r="AC163"/>
    </row>
    <row r="164" spans="2:29" x14ac:dyDescent="0.25">
      <c r="B164">
        <v>0</v>
      </c>
      <c r="F164">
        <v>0</v>
      </c>
      <c r="P164" s="78">
        <v>65</v>
      </c>
      <c r="Q164" s="79">
        <v>49785.052394999999</v>
      </c>
      <c r="R164" s="77" t="s">
        <v>394</v>
      </c>
      <c r="S164" s="77">
        <v>7414000005</v>
      </c>
      <c r="X164"/>
      <c r="AB164"/>
      <c r="AC164"/>
    </row>
    <row r="165" spans="2:29" x14ac:dyDescent="0.25">
      <c r="B165">
        <v>0</v>
      </c>
      <c r="F165">
        <v>0</v>
      </c>
      <c r="P165" s="78">
        <v>57</v>
      </c>
      <c r="Q165" s="79">
        <v>39038.682006000003</v>
      </c>
      <c r="R165" s="77" t="s">
        <v>394</v>
      </c>
      <c r="S165" s="77">
        <v>7414000005</v>
      </c>
      <c r="X165"/>
      <c r="AB165"/>
      <c r="AC165"/>
    </row>
    <row r="166" spans="2:29" x14ac:dyDescent="0.25">
      <c r="B166">
        <v>0</v>
      </c>
      <c r="F166">
        <v>0</v>
      </c>
      <c r="P166" s="78">
        <v>26</v>
      </c>
      <c r="Q166" s="79">
        <v>20096.10109</v>
      </c>
      <c r="R166" s="77" t="s">
        <v>394</v>
      </c>
      <c r="S166" s="77">
        <v>7414000005</v>
      </c>
      <c r="X166"/>
      <c r="AB166"/>
      <c r="AC166"/>
    </row>
    <row r="167" spans="2:29" x14ac:dyDescent="0.25">
      <c r="B167">
        <v>0</v>
      </c>
      <c r="F167">
        <v>0</v>
      </c>
      <c r="P167" s="78">
        <v>3</v>
      </c>
      <c r="Q167" s="79">
        <v>2164.7839199999999</v>
      </c>
      <c r="R167" s="77" t="s">
        <v>394</v>
      </c>
      <c r="S167" s="77">
        <v>7414000005</v>
      </c>
      <c r="X167"/>
      <c r="AB167"/>
      <c r="AC167"/>
    </row>
    <row r="168" spans="2:29" x14ac:dyDescent="0.25">
      <c r="B168">
        <v>0</v>
      </c>
      <c r="F168">
        <v>0</v>
      </c>
      <c r="P168" s="78">
        <v>44</v>
      </c>
      <c r="Q168" s="79">
        <v>27982.377236</v>
      </c>
      <c r="R168" s="77" t="s">
        <v>394</v>
      </c>
      <c r="S168" s="77">
        <v>7414000005</v>
      </c>
      <c r="X168"/>
      <c r="AB168"/>
      <c r="AC168"/>
    </row>
    <row r="169" spans="2:29" x14ac:dyDescent="0.25">
      <c r="B169">
        <v>0</v>
      </c>
      <c r="F169">
        <v>0</v>
      </c>
      <c r="P169" s="78">
        <v>42</v>
      </c>
      <c r="Q169" s="79">
        <v>29793.529122</v>
      </c>
      <c r="R169" s="77" t="s">
        <v>394</v>
      </c>
      <c r="S169" s="77">
        <v>7414000005</v>
      </c>
      <c r="X169"/>
      <c r="AB169"/>
      <c r="AC169"/>
    </row>
    <row r="170" spans="2:29" x14ac:dyDescent="0.25">
      <c r="B170">
        <v>0</v>
      </c>
      <c r="F170">
        <v>0</v>
      </c>
      <c r="P170" s="78">
        <v>14</v>
      </c>
      <c r="Q170" s="79">
        <v>9721.7566179999994</v>
      </c>
      <c r="R170" s="77" t="s">
        <v>394</v>
      </c>
      <c r="S170" s="77">
        <v>7414000005</v>
      </c>
      <c r="X170"/>
      <c r="AB170"/>
      <c r="AC170"/>
    </row>
    <row r="171" spans="2:29" x14ac:dyDescent="0.25">
      <c r="B171">
        <v>0</v>
      </c>
      <c r="F171">
        <v>0</v>
      </c>
      <c r="P171" s="78">
        <v>4018547</v>
      </c>
      <c r="Q171" s="79">
        <v>13650087.930283999</v>
      </c>
      <c r="R171" s="77" t="s">
        <v>394</v>
      </c>
      <c r="S171" s="77">
        <v>7414000005</v>
      </c>
      <c r="X171"/>
      <c r="AB171"/>
      <c r="AC171"/>
    </row>
    <row r="172" spans="2:29" x14ac:dyDescent="0.25">
      <c r="B172">
        <v>0</v>
      </c>
      <c r="F172">
        <v>0</v>
      </c>
      <c r="P172" s="78">
        <v>338000000</v>
      </c>
      <c r="Q172" s="79">
        <v>712145044</v>
      </c>
      <c r="R172" s="77" t="s">
        <v>394</v>
      </c>
      <c r="S172" s="77">
        <v>7414000005</v>
      </c>
      <c r="X172"/>
      <c r="AB172"/>
      <c r="AC172"/>
    </row>
    <row r="173" spans="2:29" x14ac:dyDescent="0.25">
      <c r="B173">
        <v>0</v>
      </c>
      <c r="F173">
        <v>0</v>
      </c>
      <c r="P173" s="78">
        <v>0</v>
      </c>
      <c r="Q173" s="79">
        <v>0</v>
      </c>
      <c r="R173" s="77" t="s">
        <v>394</v>
      </c>
      <c r="S173" s="77">
        <v>7414000005</v>
      </c>
      <c r="X173"/>
      <c r="AB173"/>
      <c r="AC173"/>
    </row>
    <row r="174" spans="2:29" x14ac:dyDescent="0.25">
      <c r="B174">
        <v>0</v>
      </c>
      <c r="F174">
        <v>0</v>
      </c>
      <c r="P174" s="78">
        <v>610</v>
      </c>
      <c r="Q174" s="79">
        <v>59569.196810000001</v>
      </c>
      <c r="R174" s="77" t="s">
        <v>394</v>
      </c>
      <c r="S174" s="77">
        <v>7414000005</v>
      </c>
      <c r="X174"/>
      <c r="AB174"/>
      <c r="AC174"/>
    </row>
    <row r="175" spans="2:29" x14ac:dyDescent="0.25">
      <c r="B175">
        <v>0</v>
      </c>
      <c r="F175">
        <v>0</v>
      </c>
      <c r="P175" s="78">
        <v>129882</v>
      </c>
      <c r="Q175" s="79">
        <v>1233046.196616</v>
      </c>
      <c r="R175" s="77" t="s">
        <v>394</v>
      </c>
      <c r="S175" s="77">
        <v>7414000005</v>
      </c>
      <c r="X175"/>
      <c r="AB175"/>
      <c r="AC175"/>
    </row>
    <row r="176" spans="2:29" x14ac:dyDescent="0.25">
      <c r="B176">
        <v>0</v>
      </c>
      <c r="F176">
        <v>0</v>
      </c>
      <c r="P176" s="78">
        <v>176890</v>
      </c>
      <c r="Q176" s="79">
        <v>1651827.65307</v>
      </c>
      <c r="R176" s="77" t="s">
        <v>394</v>
      </c>
      <c r="S176" s="77">
        <v>7414000005</v>
      </c>
      <c r="X176"/>
      <c r="AB176"/>
      <c r="AC176"/>
    </row>
    <row r="177" spans="2:29" x14ac:dyDescent="0.25">
      <c r="B177">
        <v>0</v>
      </c>
      <c r="F177">
        <v>0</v>
      </c>
      <c r="P177" s="78">
        <v>7559</v>
      </c>
      <c r="Q177" s="79">
        <v>746302.70809099998</v>
      </c>
      <c r="R177" s="77" t="s">
        <v>394</v>
      </c>
      <c r="S177" s="77">
        <v>7414000005</v>
      </c>
      <c r="X177"/>
      <c r="AB177"/>
      <c r="AC177"/>
    </row>
    <row r="178" spans="2:29" x14ac:dyDescent="0.25">
      <c r="B178">
        <v>0</v>
      </c>
      <c r="F178">
        <v>0</v>
      </c>
      <c r="P178" s="78">
        <v>9263</v>
      </c>
      <c r="Q178" s="79">
        <v>919329.57397400006</v>
      </c>
      <c r="R178" s="77" t="s">
        <v>394</v>
      </c>
      <c r="S178" s="77">
        <v>7414000005</v>
      </c>
      <c r="X178"/>
      <c r="AB178"/>
      <c r="AC178"/>
    </row>
    <row r="179" spans="2:29" x14ac:dyDescent="0.25">
      <c r="B179">
        <v>0</v>
      </c>
      <c r="F179">
        <v>0</v>
      </c>
      <c r="P179" s="78">
        <v>3060</v>
      </c>
      <c r="Q179" s="79">
        <v>290617.82981999998</v>
      </c>
      <c r="R179" s="77" t="s">
        <v>394</v>
      </c>
      <c r="S179" s="77">
        <v>7414000005</v>
      </c>
      <c r="X179"/>
      <c r="AB179"/>
      <c r="AC179"/>
    </row>
    <row r="180" spans="2:29" x14ac:dyDescent="0.25">
      <c r="B180">
        <v>0</v>
      </c>
      <c r="F180">
        <v>0</v>
      </c>
      <c r="P180" s="78">
        <v>10331</v>
      </c>
      <c r="Q180" s="79">
        <v>949541.02275100001</v>
      </c>
      <c r="R180" s="77" t="s">
        <v>394</v>
      </c>
      <c r="S180" s="77">
        <v>7414000005</v>
      </c>
      <c r="X180"/>
      <c r="AB180"/>
      <c r="AC180"/>
    </row>
    <row r="181" spans="2:29" x14ac:dyDescent="0.25">
      <c r="B181">
        <v>0</v>
      </c>
      <c r="F181">
        <v>0</v>
      </c>
      <c r="P181" s="78">
        <v>5390</v>
      </c>
      <c r="Q181" s="79">
        <v>501024.77117000002</v>
      </c>
      <c r="R181" s="77" t="s">
        <v>394</v>
      </c>
      <c r="S181" s="77">
        <v>7414000005</v>
      </c>
      <c r="X181"/>
      <c r="AB181"/>
      <c r="AC181"/>
    </row>
    <row r="182" spans="2:29" x14ac:dyDescent="0.25">
      <c r="B182">
        <v>0</v>
      </c>
      <c r="F182">
        <v>0</v>
      </c>
      <c r="P182" s="78">
        <v>5354</v>
      </c>
      <c r="Q182" s="79">
        <v>474889.75054199999</v>
      </c>
      <c r="R182" s="77" t="s">
        <v>394</v>
      </c>
      <c r="S182" s="77">
        <v>7414000005</v>
      </c>
      <c r="X182"/>
      <c r="AB182"/>
      <c r="AC182"/>
    </row>
    <row r="183" spans="2:29" x14ac:dyDescent="0.25">
      <c r="B183">
        <v>0</v>
      </c>
      <c r="F183">
        <v>0</v>
      </c>
      <c r="P183" s="78">
        <v>10230</v>
      </c>
      <c r="Q183" s="79">
        <v>954604.18415999995</v>
      </c>
      <c r="R183" s="77" t="s">
        <v>394</v>
      </c>
      <c r="S183" s="77">
        <v>7414000005</v>
      </c>
      <c r="X183"/>
      <c r="AB183"/>
      <c r="AC183"/>
    </row>
    <row r="184" spans="2:29" x14ac:dyDescent="0.25">
      <c r="B184">
        <v>0</v>
      </c>
      <c r="F184">
        <v>0</v>
      </c>
      <c r="P184" s="78">
        <v>9410</v>
      </c>
      <c r="Q184" s="79">
        <v>892671.82088000001</v>
      </c>
      <c r="R184" s="77" t="s">
        <v>394</v>
      </c>
      <c r="S184" s="77">
        <v>7414000005</v>
      </c>
      <c r="X184"/>
      <c r="AB184"/>
      <c r="AC184"/>
    </row>
    <row r="185" spans="2:29" x14ac:dyDescent="0.25">
      <c r="B185">
        <v>0</v>
      </c>
      <c r="F185">
        <v>0</v>
      </c>
      <c r="P185" s="78">
        <v>46161</v>
      </c>
      <c r="Q185" s="79">
        <v>4379301.3172770003</v>
      </c>
      <c r="R185" s="77" t="s">
        <v>394</v>
      </c>
      <c r="S185" s="77">
        <v>7414000005</v>
      </c>
      <c r="X185"/>
      <c r="AB185"/>
      <c r="AC185"/>
    </row>
    <row r="186" spans="2:29" x14ac:dyDescent="0.25">
      <c r="B186">
        <v>0</v>
      </c>
      <c r="F186">
        <v>0</v>
      </c>
      <c r="P186" s="78">
        <v>12537</v>
      </c>
      <c r="Q186" s="79">
        <v>1121929.422705</v>
      </c>
      <c r="R186" s="77" t="s">
        <v>394</v>
      </c>
      <c r="S186" s="77">
        <v>7414000005</v>
      </c>
      <c r="X186"/>
      <c r="AB186"/>
      <c r="AC186"/>
    </row>
    <row r="187" spans="2:29" x14ac:dyDescent="0.25">
      <c r="B187">
        <v>0</v>
      </c>
      <c r="F187">
        <v>0</v>
      </c>
      <c r="P187" s="78">
        <v>24530</v>
      </c>
      <c r="Q187" s="79">
        <v>2114415.54984</v>
      </c>
      <c r="R187" s="77" t="s">
        <v>394</v>
      </c>
      <c r="S187" s="77">
        <v>7414000005</v>
      </c>
      <c r="X187"/>
      <c r="AB187"/>
      <c r="AC187"/>
    </row>
    <row r="188" spans="2:29" x14ac:dyDescent="0.25">
      <c r="B188">
        <v>0</v>
      </c>
      <c r="F188">
        <v>0</v>
      </c>
      <c r="P188" s="78">
        <v>14897</v>
      </c>
      <c r="Q188" s="79">
        <v>1288133.9665379999</v>
      </c>
      <c r="R188" s="77" t="s">
        <v>394</v>
      </c>
      <c r="S188" s="77">
        <v>7414000005</v>
      </c>
      <c r="X188"/>
      <c r="AB188"/>
      <c r="AC188"/>
    </row>
    <row r="189" spans="2:29" x14ac:dyDescent="0.25">
      <c r="B189">
        <v>0</v>
      </c>
      <c r="F189">
        <v>0</v>
      </c>
      <c r="P189" s="78">
        <v>863</v>
      </c>
      <c r="Q189" s="79">
        <v>87552.183657999994</v>
      </c>
      <c r="R189" s="77" t="s">
        <v>394</v>
      </c>
      <c r="S189" s="77">
        <v>7414000005</v>
      </c>
      <c r="X189"/>
      <c r="AB189"/>
      <c r="AC189"/>
    </row>
    <row r="190" spans="2:29" x14ac:dyDescent="0.25">
      <c r="B190">
        <v>0</v>
      </c>
      <c r="F190">
        <v>0</v>
      </c>
      <c r="P190" s="78">
        <v>735</v>
      </c>
      <c r="Q190" s="79">
        <v>65887.731419999996</v>
      </c>
      <c r="R190" s="77" t="s">
        <v>394</v>
      </c>
      <c r="S190" s="77">
        <v>7414000005</v>
      </c>
      <c r="X190"/>
      <c r="AB190"/>
      <c r="AC190"/>
    </row>
    <row r="191" spans="2:29" x14ac:dyDescent="0.25">
      <c r="B191">
        <v>0</v>
      </c>
      <c r="F191">
        <v>0</v>
      </c>
      <c r="P191" s="78">
        <v>16762</v>
      </c>
      <c r="Q191" s="79">
        <v>1370106.7713200001</v>
      </c>
      <c r="R191" s="77" t="s">
        <v>394</v>
      </c>
      <c r="S191" s="77">
        <v>7414000005</v>
      </c>
      <c r="X191"/>
      <c r="AB191"/>
      <c r="AC191"/>
    </row>
    <row r="192" spans="2:29" x14ac:dyDescent="0.25">
      <c r="B192">
        <v>0</v>
      </c>
      <c r="F192">
        <v>0</v>
      </c>
      <c r="P192" s="78">
        <v>3135</v>
      </c>
      <c r="Q192" s="79">
        <v>260834.38573499999</v>
      </c>
      <c r="R192" s="77" t="s">
        <v>394</v>
      </c>
      <c r="S192" s="77">
        <v>7414000005</v>
      </c>
      <c r="X192"/>
      <c r="AB192"/>
      <c r="AC192"/>
    </row>
    <row r="193" spans="2:29" x14ac:dyDescent="0.25">
      <c r="B193">
        <v>0</v>
      </c>
      <c r="F193">
        <v>0</v>
      </c>
      <c r="P193" s="78">
        <v>28277</v>
      </c>
      <c r="Q193" s="79">
        <v>2323235.6902390001</v>
      </c>
      <c r="R193" s="77" t="s">
        <v>394</v>
      </c>
      <c r="S193" s="77">
        <v>7414000005</v>
      </c>
      <c r="X193"/>
      <c r="AB193"/>
      <c r="AC193"/>
    </row>
    <row r="194" spans="2:29" x14ac:dyDescent="0.25">
      <c r="B194">
        <v>0</v>
      </c>
      <c r="F194">
        <v>0</v>
      </c>
      <c r="P194" s="78">
        <v>0</v>
      </c>
      <c r="Q194" s="79">
        <v>0</v>
      </c>
      <c r="R194" s="77" t="s">
        <v>394</v>
      </c>
      <c r="S194" s="77">
        <v>7414000005</v>
      </c>
      <c r="X194"/>
      <c r="AB194"/>
      <c r="AC194"/>
    </row>
    <row r="195" spans="2:29" x14ac:dyDescent="0.25">
      <c r="B195">
        <v>0</v>
      </c>
      <c r="F195">
        <v>0</v>
      </c>
      <c r="P195" s="78">
        <v>21690</v>
      </c>
      <c r="Q195" s="79">
        <v>2125789.91946</v>
      </c>
      <c r="R195" s="77" t="s">
        <v>394</v>
      </c>
      <c r="S195" s="77">
        <v>7414000005</v>
      </c>
      <c r="X195"/>
      <c r="AB195"/>
      <c r="AC195"/>
    </row>
    <row r="196" spans="2:29" x14ac:dyDescent="0.25">
      <c r="B196">
        <v>0</v>
      </c>
      <c r="F196">
        <v>0</v>
      </c>
      <c r="P196" s="78">
        <v>4188210</v>
      </c>
      <c r="Q196" s="79">
        <v>13146958.7184</v>
      </c>
      <c r="R196" s="77" t="s">
        <v>394</v>
      </c>
      <c r="S196" s="77">
        <v>7414000005</v>
      </c>
      <c r="X196"/>
      <c r="AB196"/>
      <c r="AC196"/>
    </row>
    <row r="197" spans="2:29" x14ac:dyDescent="0.25">
      <c r="B197">
        <v>0</v>
      </c>
      <c r="F197">
        <v>0</v>
      </c>
      <c r="P197" s="78">
        <v>847437</v>
      </c>
      <c r="Q197" s="79">
        <v>2878550.273364</v>
      </c>
      <c r="R197" s="77" t="s">
        <v>394</v>
      </c>
      <c r="S197" s="77">
        <v>7414000005</v>
      </c>
      <c r="X197"/>
      <c r="AB197"/>
      <c r="AC197"/>
    </row>
    <row r="198" spans="2:29" x14ac:dyDescent="0.25">
      <c r="B198">
        <v>0</v>
      </c>
      <c r="F198">
        <v>0</v>
      </c>
      <c r="P198" s="78">
        <v>2308</v>
      </c>
      <c r="Q198" s="79">
        <v>1790296.6443960001</v>
      </c>
      <c r="R198" s="77" t="s">
        <v>394</v>
      </c>
      <c r="S198" s="77">
        <v>7414000005</v>
      </c>
      <c r="X198"/>
      <c r="AB198"/>
      <c r="AC198"/>
    </row>
    <row r="199" spans="2:29" x14ac:dyDescent="0.25">
      <c r="B199">
        <v>0</v>
      </c>
      <c r="F199">
        <v>0</v>
      </c>
      <c r="P199" s="78">
        <v>3687</v>
      </c>
      <c r="Q199" s="79">
        <v>2754846.8787839999</v>
      </c>
      <c r="R199" s="77" t="s">
        <v>394</v>
      </c>
      <c r="S199" s="77">
        <v>7414000005</v>
      </c>
      <c r="X199"/>
      <c r="AB199"/>
      <c r="AC199"/>
    </row>
    <row r="200" spans="2:29" x14ac:dyDescent="0.25">
      <c r="B200">
        <v>0</v>
      </c>
      <c r="F200">
        <v>0</v>
      </c>
      <c r="P200" s="78">
        <v>1155</v>
      </c>
      <c r="Q200" s="79">
        <v>884642.08486499998</v>
      </c>
      <c r="R200" s="77" t="s">
        <v>394</v>
      </c>
      <c r="S200" s="77">
        <v>7414000005</v>
      </c>
      <c r="X200"/>
      <c r="AB200"/>
      <c r="AC200"/>
    </row>
    <row r="201" spans="2:29" x14ac:dyDescent="0.25">
      <c r="B201">
        <v>0</v>
      </c>
      <c r="F201">
        <v>0</v>
      </c>
      <c r="P201" s="78">
        <v>2111</v>
      </c>
      <c r="Q201" s="79">
        <v>1445801.012538</v>
      </c>
      <c r="R201" s="77" t="s">
        <v>394</v>
      </c>
      <c r="S201" s="77">
        <v>7414000005</v>
      </c>
      <c r="X201"/>
      <c r="AB201"/>
      <c r="AC201"/>
    </row>
    <row r="202" spans="2:29" x14ac:dyDescent="0.25">
      <c r="B202">
        <v>0</v>
      </c>
      <c r="F202">
        <v>0</v>
      </c>
      <c r="P202" s="78">
        <v>1208</v>
      </c>
      <c r="Q202" s="79">
        <v>933695.77372000006</v>
      </c>
      <c r="R202" s="77" t="s">
        <v>394</v>
      </c>
      <c r="S202" s="77">
        <v>7414000005</v>
      </c>
      <c r="X202"/>
      <c r="AB202"/>
      <c r="AC202"/>
    </row>
    <row r="203" spans="2:29" x14ac:dyDescent="0.25">
      <c r="B203">
        <v>0</v>
      </c>
      <c r="F203">
        <v>0</v>
      </c>
      <c r="P203" s="78">
        <v>1315</v>
      </c>
      <c r="Q203" s="79">
        <v>948896.95160000003</v>
      </c>
      <c r="R203" s="77" t="s">
        <v>394</v>
      </c>
      <c r="S203" s="77">
        <v>7414000005</v>
      </c>
      <c r="X203"/>
      <c r="AB203"/>
      <c r="AC203"/>
    </row>
    <row r="204" spans="2:29" x14ac:dyDescent="0.25">
      <c r="B204">
        <v>0</v>
      </c>
      <c r="F204">
        <v>0</v>
      </c>
      <c r="P204" s="78">
        <v>703</v>
      </c>
      <c r="Q204" s="79">
        <v>447082.07265699998</v>
      </c>
      <c r="R204" s="77" t="s">
        <v>394</v>
      </c>
      <c r="S204" s="77">
        <v>7414000005</v>
      </c>
      <c r="X204"/>
      <c r="AB204"/>
      <c r="AC204"/>
    </row>
    <row r="205" spans="2:29" x14ac:dyDescent="0.25">
      <c r="B205">
        <v>0</v>
      </c>
      <c r="F205">
        <v>0</v>
      </c>
      <c r="P205" s="78">
        <v>1585</v>
      </c>
      <c r="Q205" s="79">
        <v>1124351.0394850001</v>
      </c>
      <c r="R205" s="77" t="s">
        <v>394</v>
      </c>
      <c r="S205" s="77">
        <v>7414000005</v>
      </c>
      <c r="X205"/>
      <c r="AB205"/>
      <c r="AC205"/>
    </row>
    <row r="206" spans="2:29" x14ac:dyDescent="0.25">
      <c r="B206">
        <v>0</v>
      </c>
      <c r="F206">
        <v>0</v>
      </c>
      <c r="P206" s="78">
        <v>2848</v>
      </c>
      <c r="Q206" s="79">
        <v>1977683.060576</v>
      </c>
      <c r="R206" s="77" t="s">
        <v>394</v>
      </c>
      <c r="S206" s="77">
        <v>7414000005</v>
      </c>
      <c r="X206"/>
      <c r="AB206"/>
      <c r="AC206"/>
    </row>
    <row r="207" spans="2:29" x14ac:dyDescent="0.25">
      <c r="B207">
        <v>0</v>
      </c>
      <c r="F207">
        <v>0</v>
      </c>
      <c r="P207" s="78">
        <v>517</v>
      </c>
      <c r="Q207" s="79">
        <v>50487.335657000003</v>
      </c>
      <c r="R207" s="77" t="s">
        <v>394</v>
      </c>
      <c r="S207" s="77">
        <v>7414000005</v>
      </c>
      <c r="X207"/>
      <c r="AB207"/>
      <c r="AC207"/>
    </row>
    <row r="208" spans="2:29" x14ac:dyDescent="0.25">
      <c r="B208">
        <v>0</v>
      </c>
      <c r="F208">
        <v>0</v>
      </c>
      <c r="P208" s="78">
        <v>111169</v>
      </c>
      <c r="Q208" s="79">
        <v>1055392.6843719999</v>
      </c>
      <c r="R208" s="77" t="s">
        <v>394</v>
      </c>
      <c r="S208" s="77">
        <v>7414000005</v>
      </c>
      <c r="X208"/>
      <c r="AB208"/>
      <c r="AC208"/>
    </row>
    <row r="209" spans="2:29" x14ac:dyDescent="0.25">
      <c r="B209">
        <v>0</v>
      </c>
      <c r="F209">
        <v>0</v>
      </c>
      <c r="P209" s="78">
        <v>151380</v>
      </c>
      <c r="Q209" s="79">
        <v>1413611.11494</v>
      </c>
      <c r="R209" s="77" t="s">
        <v>394</v>
      </c>
      <c r="S209" s="77">
        <v>7414000005</v>
      </c>
      <c r="X209"/>
      <c r="AB209"/>
      <c r="AC209"/>
    </row>
    <row r="210" spans="2:29" x14ac:dyDescent="0.25">
      <c r="B210">
        <v>0</v>
      </c>
      <c r="F210">
        <v>0</v>
      </c>
      <c r="P210" s="78">
        <v>6408</v>
      </c>
      <c r="Q210" s="79">
        <v>632664.07639199996</v>
      </c>
      <c r="R210" s="77" t="s">
        <v>394</v>
      </c>
      <c r="S210" s="77">
        <v>7414000005</v>
      </c>
      <c r="X210"/>
      <c r="AB210"/>
      <c r="AC210"/>
    </row>
    <row r="211" spans="2:29" x14ac:dyDescent="0.25">
      <c r="B211">
        <v>0</v>
      </c>
      <c r="F211">
        <v>0</v>
      </c>
      <c r="P211" s="78">
        <v>7929</v>
      </c>
      <c r="Q211" s="79">
        <v>786933.41164199996</v>
      </c>
      <c r="R211" s="77" t="s">
        <v>394</v>
      </c>
      <c r="S211" s="77">
        <v>7414000005</v>
      </c>
      <c r="X211"/>
      <c r="AB211"/>
      <c r="AC211"/>
    </row>
    <row r="212" spans="2:29" x14ac:dyDescent="0.25">
      <c r="B212">
        <v>0</v>
      </c>
      <c r="F212">
        <v>0</v>
      </c>
      <c r="P212" s="78">
        <v>2610</v>
      </c>
      <c r="Q212" s="79">
        <v>247879.91367000001</v>
      </c>
      <c r="R212" s="77" t="s">
        <v>394</v>
      </c>
      <c r="S212" s="77">
        <v>7414000005</v>
      </c>
      <c r="X212"/>
      <c r="AB212"/>
      <c r="AC212"/>
    </row>
    <row r="213" spans="2:29" x14ac:dyDescent="0.25">
      <c r="B213">
        <v>0</v>
      </c>
      <c r="F213">
        <v>0</v>
      </c>
      <c r="P213" s="78">
        <v>8849</v>
      </c>
      <c r="Q213" s="79">
        <v>813327.70402900001</v>
      </c>
      <c r="R213" s="77" t="s">
        <v>394</v>
      </c>
      <c r="S213" s="77">
        <v>7414000005</v>
      </c>
      <c r="X213"/>
      <c r="AB213"/>
      <c r="AC213"/>
    </row>
    <row r="214" spans="2:29" x14ac:dyDescent="0.25">
      <c r="B214">
        <v>0</v>
      </c>
      <c r="F214">
        <v>0</v>
      </c>
      <c r="P214" s="78">
        <v>4630</v>
      </c>
      <c r="Q214" s="79">
        <v>430379.34889000002</v>
      </c>
      <c r="R214" s="77" t="s">
        <v>394</v>
      </c>
      <c r="S214" s="77">
        <v>7414000005</v>
      </c>
      <c r="X214"/>
      <c r="AB214"/>
      <c r="AC214"/>
    </row>
    <row r="215" spans="2:29" x14ac:dyDescent="0.25">
      <c r="B215">
        <v>0</v>
      </c>
      <c r="F215">
        <v>0</v>
      </c>
      <c r="P215" s="78">
        <v>4584</v>
      </c>
      <c r="Q215" s="79">
        <v>406592.195832</v>
      </c>
      <c r="R215" s="77" t="s">
        <v>394</v>
      </c>
      <c r="S215" s="77">
        <v>7414000005</v>
      </c>
      <c r="X215"/>
      <c r="AB215"/>
      <c r="AC215"/>
    </row>
    <row r="216" spans="2:29" x14ac:dyDescent="0.25">
      <c r="B216">
        <v>0</v>
      </c>
      <c r="F216">
        <v>0</v>
      </c>
      <c r="P216" s="78">
        <v>8740</v>
      </c>
      <c r="Q216" s="79">
        <v>815566.03807999997</v>
      </c>
      <c r="R216" s="77" t="s">
        <v>394</v>
      </c>
      <c r="S216" s="77">
        <v>7414000005</v>
      </c>
      <c r="X216"/>
      <c r="AB216"/>
      <c r="AC216"/>
    </row>
    <row r="217" spans="2:29" x14ac:dyDescent="0.25">
      <c r="B217">
        <v>0</v>
      </c>
      <c r="F217">
        <v>0</v>
      </c>
      <c r="P217" s="78">
        <v>8050</v>
      </c>
      <c r="Q217" s="79">
        <v>763656.55240000004</v>
      </c>
      <c r="R217" s="77" t="s">
        <v>394</v>
      </c>
      <c r="S217" s="77">
        <v>7414000005</v>
      </c>
      <c r="X217"/>
      <c r="AB217"/>
      <c r="AC217"/>
    </row>
    <row r="218" spans="2:29" x14ac:dyDescent="0.25">
      <c r="B218">
        <v>0</v>
      </c>
      <c r="F218">
        <v>0</v>
      </c>
      <c r="P218" s="78">
        <v>22164</v>
      </c>
      <c r="Q218" s="79">
        <v>2102702.1597480001</v>
      </c>
      <c r="R218" s="77" t="s">
        <v>394</v>
      </c>
      <c r="S218" s="77">
        <v>7414000005</v>
      </c>
      <c r="X218"/>
      <c r="AB218"/>
      <c r="AC218"/>
    </row>
    <row r="219" spans="2:29" x14ac:dyDescent="0.25">
      <c r="B219">
        <v>0</v>
      </c>
      <c r="F219">
        <v>0</v>
      </c>
      <c r="P219" s="78">
        <v>8482</v>
      </c>
      <c r="Q219" s="79">
        <v>759049.64213000005</v>
      </c>
      <c r="R219" s="77" t="s">
        <v>394</v>
      </c>
      <c r="S219" s="77">
        <v>7414000005</v>
      </c>
      <c r="X219"/>
      <c r="AB219"/>
      <c r="AC219"/>
    </row>
    <row r="220" spans="2:29" x14ac:dyDescent="0.25">
      <c r="B220">
        <v>0</v>
      </c>
      <c r="F220">
        <v>0</v>
      </c>
      <c r="P220" s="78">
        <v>18360</v>
      </c>
      <c r="Q220" s="79">
        <v>1582579.2700799999</v>
      </c>
      <c r="R220" s="77" t="s">
        <v>394</v>
      </c>
      <c r="S220" s="77">
        <v>7414000005</v>
      </c>
      <c r="X220"/>
      <c r="AB220"/>
      <c r="AC220"/>
    </row>
    <row r="221" spans="2:29" x14ac:dyDescent="0.25">
      <c r="B221">
        <v>0</v>
      </c>
      <c r="F221">
        <v>0</v>
      </c>
      <c r="P221" s="78">
        <v>20994</v>
      </c>
      <c r="Q221" s="79">
        <v>1815337.617876</v>
      </c>
      <c r="R221" s="77" t="s">
        <v>394</v>
      </c>
      <c r="S221" s="77">
        <v>7414000005</v>
      </c>
      <c r="X221"/>
      <c r="AB221"/>
      <c r="AC221"/>
    </row>
    <row r="222" spans="2:29" x14ac:dyDescent="0.25">
      <c r="B222">
        <v>0</v>
      </c>
      <c r="F222">
        <v>0</v>
      </c>
      <c r="P222" s="78">
        <v>739</v>
      </c>
      <c r="Q222" s="79">
        <v>74972.263873999997</v>
      </c>
      <c r="R222" s="77" t="s">
        <v>394</v>
      </c>
      <c r="S222" s="77">
        <v>7414000005</v>
      </c>
      <c r="X222"/>
      <c r="AB222"/>
      <c r="AC222"/>
    </row>
    <row r="223" spans="2:29" x14ac:dyDescent="0.25">
      <c r="B223">
        <v>0</v>
      </c>
      <c r="F223">
        <v>0</v>
      </c>
      <c r="P223" s="78">
        <v>634</v>
      </c>
      <c r="Q223" s="79">
        <v>56833.771048000002</v>
      </c>
      <c r="R223" s="77" t="s">
        <v>394</v>
      </c>
      <c r="S223" s="77">
        <v>7414000005</v>
      </c>
      <c r="X223"/>
      <c r="AB223"/>
      <c r="AC223"/>
    </row>
    <row r="224" spans="2:29" x14ac:dyDescent="0.25">
      <c r="B224">
        <v>0</v>
      </c>
      <c r="F224">
        <v>0</v>
      </c>
      <c r="P224" s="78">
        <v>15271</v>
      </c>
      <c r="Q224" s="79">
        <v>1248234.13106</v>
      </c>
      <c r="R224" s="77" t="s">
        <v>394</v>
      </c>
      <c r="S224" s="77">
        <v>7414000005</v>
      </c>
      <c r="X224"/>
      <c r="AB224"/>
      <c r="AC224"/>
    </row>
    <row r="225" spans="2:29" x14ac:dyDescent="0.25">
      <c r="B225">
        <v>0</v>
      </c>
      <c r="F225">
        <v>0</v>
      </c>
      <c r="P225" s="78">
        <v>3549</v>
      </c>
      <c r="Q225" s="79">
        <v>295279.50078900001</v>
      </c>
      <c r="R225" s="77" t="s">
        <v>394</v>
      </c>
      <c r="S225" s="77">
        <v>7414000005</v>
      </c>
      <c r="X225"/>
      <c r="AB225"/>
      <c r="AC225"/>
    </row>
    <row r="226" spans="2:29" x14ac:dyDescent="0.25">
      <c r="B226">
        <v>0</v>
      </c>
      <c r="F226">
        <v>0</v>
      </c>
      <c r="P226" s="78">
        <v>25610</v>
      </c>
      <c r="Q226" s="79">
        <v>2104115.2182700001</v>
      </c>
      <c r="R226" s="77" t="s">
        <v>394</v>
      </c>
      <c r="S226" s="77">
        <v>7414000005</v>
      </c>
      <c r="X226"/>
      <c r="AB226"/>
      <c r="AC226"/>
    </row>
    <row r="227" spans="2:29" x14ac:dyDescent="0.25">
      <c r="B227">
        <v>0</v>
      </c>
      <c r="F227">
        <v>0</v>
      </c>
      <c r="P227" s="78">
        <v>18558</v>
      </c>
      <c r="Q227" s="79">
        <v>1818829.383372</v>
      </c>
      <c r="R227" s="77" t="s">
        <v>394</v>
      </c>
      <c r="S227" s="77">
        <v>7414000005</v>
      </c>
      <c r="X227"/>
      <c r="AB227"/>
      <c r="AC227"/>
    </row>
    <row r="228" spans="2:29" x14ac:dyDescent="0.25">
      <c r="B228">
        <v>0</v>
      </c>
      <c r="F228">
        <v>0</v>
      </c>
      <c r="P228" s="78">
        <v>3582960</v>
      </c>
      <c r="Q228" s="79">
        <v>11247054.758400001</v>
      </c>
      <c r="R228" s="77" t="s">
        <v>394</v>
      </c>
      <c r="S228" s="77">
        <v>7414000005</v>
      </c>
      <c r="X228"/>
      <c r="AB228"/>
      <c r="AC228"/>
    </row>
    <row r="229" spans="2:29" x14ac:dyDescent="0.25">
      <c r="B229">
        <v>0</v>
      </c>
      <c r="F229">
        <v>0</v>
      </c>
      <c r="P229" s="78">
        <v>1026763</v>
      </c>
      <c r="Q229" s="79">
        <v>3487679.8090360002</v>
      </c>
      <c r="R229" s="77" t="s">
        <v>394</v>
      </c>
      <c r="S229" s="77">
        <v>7414000005</v>
      </c>
      <c r="X229"/>
      <c r="AB229"/>
      <c r="AC229"/>
    </row>
    <row r="230" spans="2:29" x14ac:dyDescent="0.25">
      <c r="B230">
        <v>0</v>
      </c>
      <c r="F230">
        <v>0</v>
      </c>
      <c r="P230" s="78">
        <v>1979</v>
      </c>
      <c r="Q230" s="79">
        <v>1535094.046473</v>
      </c>
      <c r="R230" s="77" t="s">
        <v>394</v>
      </c>
      <c r="S230" s="77">
        <v>7414000005</v>
      </c>
      <c r="X230"/>
      <c r="AB230"/>
      <c r="AC230"/>
    </row>
    <row r="231" spans="2:29" x14ac:dyDescent="0.25">
      <c r="B231">
        <v>0</v>
      </c>
      <c r="F231">
        <v>0</v>
      </c>
      <c r="P231" s="78">
        <v>3163</v>
      </c>
      <c r="Q231" s="79">
        <v>2363325.3804159998</v>
      </c>
      <c r="R231" s="77" t="s">
        <v>394</v>
      </c>
      <c r="S231" s="77">
        <v>7414000005</v>
      </c>
      <c r="X231"/>
      <c r="AB231"/>
      <c r="AC231"/>
    </row>
    <row r="232" spans="2:29" x14ac:dyDescent="0.25">
      <c r="B232">
        <v>0</v>
      </c>
      <c r="F232">
        <v>0</v>
      </c>
      <c r="P232" s="78">
        <v>1006</v>
      </c>
      <c r="Q232" s="79">
        <v>770519.42629800003</v>
      </c>
      <c r="R232" s="77" t="s">
        <v>394</v>
      </c>
      <c r="S232" s="77">
        <v>7414000005</v>
      </c>
      <c r="X232"/>
      <c r="AB232"/>
      <c r="AC232"/>
    </row>
    <row r="233" spans="2:29" x14ac:dyDescent="0.25">
      <c r="B233">
        <v>0</v>
      </c>
      <c r="F233">
        <v>0</v>
      </c>
      <c r="P233" s="78">
        <v>1813</v>
      </c>
      <c r="Q233" s="79">
        <v>1241704.043454</v>
      </c>
      <c r="R233" s="77" t="s">
        <v>394</v>
      </c>
      <c r="S233" s="77">
        <v>7414000005</v>
      </c>
      <c r="X233"/>
      <c r="AB233"/>
      <c r="AC233"/>
    </row>
    <row r="234" spans="2:29" x14ac:dyDescent="0.25">
      <c r="B234">
        <v>0</v>
      </c>
      <c r="F234">
        <v>0</v>
      </c>
      <c r="P234" s="78">
        <v>1035</v>
      </c>
      <c r="Q234" s="79">
        <v>799979.40877500002</v>
      </c>
      <c r="R234" s="77" t="s">
        <v>394</v>
      </c>
      <c r="S234" s="77">
        <v>7414000005</v>
      </c>
      <c r="X234"/>
      <c r="AB234"/>
      <c r="AC234"/>
    </row>
    <row r="235" spans="2:29" x14ac:dyDescent="0.25">
      <c r="B235">
        <v>0</v>
      </c>
      <c r="F235">
        <v>0</v>
      </c>
      <c r="P235" s="78">
        <v>1123</v>
      </c>
      <c r="Q235" s="79">
        <v>810350.78072000004</v>
      </c>
      <c r="R235" s="77" t="s">
        <v>394</v>
      </c>
      <c r="S235" s="77">
        <v>7414000005</v>
      </c>
      <c r="X235"/>
      <c r="AB235"/>
      <c r="AC235"/>
    </row>
    <row r="236" spans="2:29" x14ac:dyDescent="0.25">
      <c r="B236">
        <v>0</v>
      </c>
      <c r="F236">
        <v>0</v>
      </c>
      <c r="P236" s="78">
        <v>597</v>
      </c>
      <c r="Q236" s="79">
        <v>379669.982043</v>
      </c>
      <c r="R236" s="77" t="s">
        <v>394</v>
      </c>
      <c r="S236" s="77">
        <v>7414000005</v>
      </c>
      <c r="X236"/>
      <c r="AB236"/>
      <c r="AC236"/>
    </row>
    <row r="237" spans="2:29" x14ac:dyDescent="0.25">
      <c r="B237">
        <v>0</v>
      </c>
      <c r="F237">
        <v>0</v>
      </c>
      <c r="P237" s="78">
        <v>1496</v>
      </c>
      <c r="Q237" s="79">
        <v>1061217.1325360001</v>
      </c>
      <c r="R237" s="77" t="s">
        <v>394</v>
      </c>
      <c r="S237" s="77">
        <v>7414000005</v>
      </c>
      <c r="X237"/>
      <c r="AB237"/>
      <c r="AC237"/>
    </row>
    <row r="238" spans="2:29" x14ac:dyDescent="0.25">
      <c r="B238">
        <v>0</v>
      </c>
      <c r="F238">
        <v>0</v>
      </c>
      <c r="P238" s="78">
        <v>2427</v>
      </c>
      <c r="Q238" s="79">
        <v>1685335.9508489999</v>
      </c>
      <c r="R238" s="77" t="s">
        <v>394</v>
      </c>
      <c r="S238" s="77">
        <v>7414000005</v>
      </c>
      <c r="X238"/>
      <c r="AB238"/>
      <c r="AC238"/>
    </row>
    <row r="239" spans="2:29" x14ac:dyDescent="0.25">
      <c r="B239">
        <v>0</v>
      </c>
      <c r="F239">
        <v>0</v>
      </c>
      <c r="P239" s="78">
        <v>1971</v>
      </c>
      <c r="Q239" s="79">
        <v>192476.86379100001</v>
      </c>
      <c r="R239" s="77" t="s">
        <v>394</v>
      </c>
      <c r="S239" s="77">
        <v>7414000005</v>
      </c>
      <c r="X239"/>
      <c r="AB239"/>
      <c r="AC239"/>
    </row>
    <row r="240" spans="2:29" x14ac:dyDescent="0.25">
      <c r="B240">
        <v>0</v>
      </c>
      <c r="F240">
        <v>0</v>
      </c>
      <c r="P240" s="78">
        <v>422686</v>
      </c>
      <c r="Q240" s="79">
        <v>4012806.7373680002</v>
      </c>
      <c r="R240" s="77" t="s">
        <v>394</v>
      </c>
      <c r="S240" s="77">
        <v>7414000005</v>
      </c>
      <c r="X240"/>
      <c r="AB240"/>
      <c r="AC240"/>
    </row>
    <row r="241" spans="2:29" x14ac:dyDescent="0.25">
      <c r="B241">
        <v>0</v>
      </c>
      <c r="F241">
        <v>0</v>
      </c>
      <c r="P241" s="78">
        <v>575690</v>
      </c>
      <c r="Q241" s="79">
        <v>5375887.0574700003</v>
      </c>
      <c r="R241" s="77" t="s">
        <v>394</v>
      </c>
      <c r="S241" s="77">
        <v>7414000005</v>
      </c>
      <c r="X241"/>
      <c r="AB241"/>
      <c r="AC241"/>
    </row>
    <row r="242" spans="2:29" x14ac:dyDescent="0.25">
      <c r="B242">
        <v>0</v>
      </c>
      <c r="F242">
        <v>0</v>
      </c>
      <c r="P242" s="78">
        <v>23232</v>
      </c>
      <c r="Q242" s="79">
        <v>2293703.4679680001</v>
      </c>
      <c r="R242" s="77" t="s">
        <v>394</v>
      </c>
      <c r="S242" s="77">
        <v>7414000005</v>
      </c>
      <c r="X242"/>
      <c r="AB242"/>
      <c r="AC242"/>
    </row>
    <row r="243" spans="2:29" x14ac:dyDescent="0.25">
      <c r="B243">
        <v>0</v>
      </c>
      <c r="F243">
        <v>0</v>
      </c>
      <c r="P243" s="78">
        <v>31335</v>
      </c>
      <c r="Q243" s="79">
        <v>3109920.3498300002</v>
      </c>
      <c r="R243" s="77" t="s">
        <v>394</v>
      </c>
      <c r="S243" s="77">
        <v>7414000005</v>
      </c>
      <c r="X243"/>
      <c r="AB243"/>
      <c r="AC243"/>
    </row>
    <row r="244" spans="2:29" x14ac:dyDescent="0.25">
      <c r="B244">
        <v>0</v>
      </c>
      <c r="F244">
        <v>0</v>
      </c>
      <c r="P244" s="78">
        <v>9920</v>
      </c>
      <c r="Q244" s="79">
        <v>942133.61823999998</v>
      </c>
      <c r="R244" s="77" t="s">
        <v>394</v>
      </c>
      <c r="S244" s="77">
        <v>7414000005</v>
      </c>
      <c r="X244"/>
      <c r="AB244"/>
      <c r="AC244"/>
    </row>
    <row r="245" spans="2:29" x14ac:dyDescent="0.25">
      <c r="B245">
        <v>0</v>
      </c>
      <c r="F245">
        <v>0</v>
      </c>
      <c r="P245" s="78">
        <v>33911</v>
      </c>
      <c r="Q245" s="79">
        <v>3116821.7619309998</v>
      </c>
      <c r="R245" s="77" t="s">
        <v>394</v>
      </c>
      <c r="S245" s="77">
        <v>7414000005</v>
      </c>
      <c r="X245"/>
      <c r="AB245"/>
      <c r="AC245"/>
    </row>
    <row r="246" spans="2:29" x14ac:dyDescent="0.25">
      <c r="B246">
        <v>0</v>
      </c>
      <c r="F246">
        <v>0</v>
      </c>
      <c r="P246" s="78">
        <v>17490</v>
      </c>
      <c r="Q246" s="79">
        <v>1625774.2574700001</v>
      </c>
      <c r="R246" s="77" t="s">
        <v>394</v>
      </c>
      <c r="S246" s="77">
        <v>7414000005</v>
      </c>
      <c r="X246"/>
      <c r="AB246"/>
      <c r="AC246"/>
    </row>
    <row r="247" spans="2:29" x14ac:dyDescent="0.25">
      <c r="B247">
        <v>0</v>
      </c>
      <c r="F247">
        <v>0</v>
      </c>
      <c r="P247" s="78">
        <v>17357</v>
      </c>
      <c r="Q247" s="79">
        <v>1539533.320911</v>
      </c>
      <c r="R247" s="77" t="s">
        <v>394</v>
      </c>
      <c r="S247" s="77">
        <v>7414000005</v>
      </c>
      <c r="X247"/>
      <c r="AB247"/>
      <c r="AC247"/>
    </row>
    <row r="248" spans="2:29" x14ac:dyDescent="0.25">
      <c r="B248">
        <v>0</v>
      </c>
      <c r="F248">
        <v>0</v>
      </c>
      <c r="P248" s="78">
        <v>33880</v>
      </c>
      <c r="Q248" s="79">
        <v>3161484.8249599999</v>
      </c>
      <c r="R248" s="77" t="s">
        <v>394</v>
      </c>
      <c r="S248" s="77">
        <v>7414000005</v>
      </c>
      <c r="X248"/>
      <c r="AB248"/>
      <c r="AC248"/>
    </row>
    <row r="249" spans="2:29" x14ac:dyDescent="0.25">
      <c r="B249">
        <v>0</v>
      </c>
      <c r="F249">
        <v>0</v>
      </c>
      <c r="P249" s="78">
        <v>30730</v>
      </c>
      <c r="Q249" s="79">
        <v>2915175.88264</v>
      </c>
      <c r="R249" s="77" t="s">
        <v>394</v>
      </c>
      <c r="S249" s="77">
        <v>7414000005</v>
      </c>
      <c r="X249"/>
      <c r="AB249"/>
      <c r="AC249"/>
    </row>
    <row r="250" spans="2:29" x14ac:dyDescent="0.25">
      <c r="B250">
        <v>0</v>
      </c>
      <c r="F250">
        <v>0</v>
      </c>
      <c r="P250" s="78">
        <v>89129</v>
      </c>
      <c r="Q250" s="79">
        <v>8455682.2232530005</v>
      </c>
      <c r="R250" s="77" t="s">
        <v>394</v>
      </c>
      <c r="S250" s="77">
        <v>7414000005</v>
      </c>
      <c r="X250"/>
      <c r="AB250"/>
      <c r="AC250"/>
    </row>
    <row r="251" spans="2:29" x14ac:dyDescent="0.25">
      <c r="B251">
        <v>0</v>
      </c>
      <c r="F251">
        <v>0</v>
      </c>
      <c r="P251" s="78">
        <v>41710</v>
      </c>
      <c r="Q251" s="79">
        <v>3732605.5851500002</v>
      </c>
      <c r="R251" s="77" t="s">
        <v>394</v>
      </c>
      <c r="S251" s="77">
        <v>7414000005</v>
      </c>
      <c r="X251"/>
      <c r="AB251"/>
      <c r="AC251"/>
    </row>
    <row r="252" spans="2:29" x14ac:dyDescent="0.25">
      <c r="B252">
        <v>0</v>
      </c>
      <c r="F252">
        <v>0</v>
      </c>
      <c r="P252" s="78">
        <v>83750</v>
      </c>
      <c r="Q252" s="79">
        <v>7219009.4699999997</v>
      </c>
      <c r="R252" s="77" t="s">
        <v>394</v>
      </c>
      <c r="S252" s="77">
        <v>7414000005</v>
      </c>
      <c r="X252"/>
      <c r="AB252"/>
      <c r="AC252"/>
    </row>
    <row r="253" spans="2:29" x14ac:dyDescent="0.25">
      <c r="B253">
        <v>0</v>
      </c>
      <c r="F253">
        <v>0</v>
      </c>
      <c r="P253" s="78">
        <v>66571</v>
      </c>
      <c r="Q253" s="79">
        <v>5756351.3651339998</v>
      </c>
      <c r="R253" s="77" t="s">
        <v>394</v>
      </c>
      <c r="S253" s="77">
        <v>7414000005</v>
      </c>
      <c r="X253"/>
      <c r="AB253"/>
      <c r="AC253"/>
    </row>
    <row r="254" spans="2:29" x14ac:dyDescent="0.25">
      <c r="B254">
        <v>0</v>
      </c>
      <c r="F254">
        <v>0</v>
      </c>
      <c r="P254" s="78">
        <v>2803</v>
      </c>
      <c r="Q254" s="79">
        <v>284367.05769799999</v>
      </c>
      <c r="R254" s="77" t="s">
        <v>394</v>
      </c>
      <c r="S254" s="77">
        <v>7414000005</v>
      </c>
      <c r="X254"/>
      <c r="AB254"/>
      <c r="AC254"/>
    </row>
    <row r="255" spans="2:29" x14ac:dyDescent="0.25">
      <c r="B255">
        <v>0</v>
      </c>
      <c r="F255">
        <v>0</v>
      </c>
      <c r="P255" s="78">
        <v>2448</v>
      </c>
      <c r="Q255" s="79">
        <v>219446.485056</v>
      </c>
      <c r="R255" s="77" t="s">
        <v>394</v>
      </c>
      <c r="S255" s="77">
        <v>7414000005</v>
      </c>
      <c r="X255"/>
      <c r="AB255"/>
      <c r="AC255"/>
    </row>
    <row r="256" spans="2:29" x14ac:dyDescent="0.25">
      <c r="B256">
        <v>0</v>
      </c>
      <c r="F256">
        <v>0</v>
      </c>
      <c r="P256" s="78">
        <v>57775</v>
      </c>
      <c r="Q256" s="79">
        <v>4722462.6365</v>
      </c>
      <c r="R256" s="77" t="s">
        <v>394</v>
      </c>
      <c r="S256" s="77">
        <v>7414000005</v>
      </c>
      <c r="X256"/>
      <c r="AB256"/>
      <c r="AC256"/>
    </row>
    <row r="257" spans="2:29" x14ac:dyDescent="0.25">
      <c r="B257">
        <v>0</v>
      </c>
      <c r="F257">
        <v>0</v>
      </c>
      <c r="P257" s="78">
        <v>16984</v>
      </c>
      <c r="Q257" s="79">
        <v>1413081.7248239999</v>
      </c>
      <c r="R257" s="77" t="s">
        <v>394</v>
      </c>
      <c r="S257" s="77">
        <v>7414000005</v>
      </c>
      <c r="X257"/>
      <c r="AB257"/>
      <c r="AC257"/>
    </row>
    <row r="258" spans="2:29" x14ac:dyDescent="0.25">
      <c r="B258">
        <v>0</v>
      </c>
      <c r="F258">
        <v>0</v>
      </c>
      <c r="P258" s="78">
        <v>82572</v>
      </c>
      <c r="Q258" s="79">
        <v>6784107.8408040004</v>
      </c>
      <c r="R258" s="77" t="s">
        <v>394</v>
      </c>
      <c r="S258" s="77">
        <v>7414000005</v>
      </c>
      <c r="X258"/>
      <c r="AB258"/>
      <c r="AC258"/>
    </row>
    <row r="259" spans="2:29" x14ac:dyDescent="0.25">
      <c r="B259">
        <v>0</v>
      </c>
      <c r="F259">
        <v>0</v>
      </c>
      <c r="P259" s="78">
        <v>0</v>
      </c>
      <c r="Q259" s="79">
        <v>0</v>
      </c>
      <c r="R259" s="77" t="s">
        <v>394</v>
      </c>
      <c r="S259" s="77">
        <v>7414000005</v>
      </c>
      <c r="X259"/>
      <c r="AB259"/>
      <c r="AC259"/>
    </row>
    <row r="260" spans="2:29" x14ac:dyDescent="0.25">
      <c r="B260">
        <v>0</v>
      </c>
      <c r="F260">
        <v>0</v>
      </c>
      <c r="P260" s="78">
        <v>72279</v>
      </c>
      <c r="Q260" s="79">
        <v>7083908.2336860001</v>
      </c>
      <c r="R260" s="77" t="s">
        <v>394</v>
      </c>
      <c r="S260" s="77">
        <v>7414000005</v>
      </c>
      <c r="X260"/>
      <c r="AB260"/>
      <c r="AC260"/>
    </row>
    <row r="261" spans="2:29" x14ac:dyDescent="0.25">
      <c r="B261">
        <v>0</v>
      </c>
      <c r="F261">
        <v>0</v>
      </c>
      <c r="P261" s="78">
        <v>3047659</v>
      </c>
      <c r="Q261" s="79">
        <v>10352202.756748</v>
      </c>
      <c r="R261" s="77" t="s">
        <v>394</v>
      </c>
      <c r="S261" s="77">
        <v>7414000005</v>
      </c>
      <c r="X261"/>
      <c r="AB261"/>
      <c r="AC261"/>
    </row>
    <row r="262" spans="2:29" x14ac:dyDescent="0.25">
      <c r="B262">
        <v>0</v>
      </c>
      <c r="F262">
        <v>0</v>
      </c>
      <c r="P262" s="78">
        <v>5861</v>
      </c>
      <c r="Q262" s="79">
        <v>4546329.5636069998</v>
      </c>
      <c r="R262" s="77" t="s">
        <v>394</v>
      </c>
      <c r="S262" s="77">
        <v>7414000005</v>
      </c>
      <c r="X262"/>
      <c r="AB262"/>
      <c r="AC262"/>
    </row>
    <row r="263" spans="2:29" x14ac:dyDescent="0.25">
      <c r="B263">
        <v>0</v>
      </c>
      <c r="F263">
        <v>0</v>
      </c>
      <c r="P263" s="78">
        <v>12002</v>
      </c>
      <c r="Q263" s="79">
        <v>8967635.5408640001</v>
      </c>
      <c r="R263" s="77" t="s">
        <v>394</v>
      </c>
      <c r="S263" s="77">
        <v>7414000005</v>
      </c>
      <c r="X263"/>
      <c r="AB263"/>
      <c r="AC263"/>
    </row>
    <row r="264" spans="2:29" x14ac:dyDescent="0.25">
      <c r="B264">
        <v>0</v>
      </c>
      <c r="F264">
        <v>0</v>
      </c>
      <c r="P264" s="78">
        <v>3840</v>
      </c>
      <c r="Q264" s="79">
        <v>2941147.7107199999</v>
      </c>
      <c r="R264" s="77" t="s">
        <v>394</v>
      </c>
      <c r="S264" s="77">
        <v>7414000005</v>
      </c>
      <c r="X264"/>
      <c r="AB264"/>
      <c r="AC264"/>
    </row>
    <row r="265" spans="2:29" x14ac:dyDescent="0.25">
      <c r="B265">
        <v>0</v>
      </c>
      <c r="F265">
        <v>0</v>
      </c>
      <c r="P265" s="78">
        <v>12221</v>
      </c>
      <c r="Q265" s="79">
        <v>8370030.3999180002</v>
      </c>
      <c r="R265" s="77" t="s">
        <v>394</v>
      </c>
      <c r="S265" s="77">
        <v>7414000005</v>
      </c>
      <c r="X265"/>
      <c r="AB265"/>
      <c r="AC265"/>
    </row>
    <row r="266" spans="2:29" x14ac:dyDescent="0.25">
      <c r="B266">
        <v>0</v>
      </c>
      <c r="F266">
        <v>0</v>
      </c>
      <c r="P266" s="78">
        <v>793</v>
      </c>
      <c r="Q266" s="79">
        <v>612931.08324499999</v>
      </c>
      <c r="R266" s="77" t="s">
        <v>394</v>
      </c>
      <c r="S266" s="77">
        <v>7414000005</v>
      </c>
      <c r="X266"/>
      <c r="AB266"/>
      <c r="AC266"/>
    </row>
    <row r="267" spans="2:29" x14ac:dyDescent="0.25">
      <c r="B267">
        <v>0</v>
      </c>
      <c r="F267">
        <v>0</v>
      </c>
      <c r="P267" s="78">
        <v>4837</v>
      </c>
      <c r="Q267" s="79">
        <v>3490353.2736800001</v>
      </c>
      <c r="R267" s="77" t="s">
        <v>394</v>
      </c>
      <c r="S267" s="77">
        <v>7414000005</v>
      </c>
      <c r="X267"/>
      <c r="AB267"/>
      <c r="AC267"/>
    </row>
    <row r="268" spans="2:29" x14ac:dyDescent="0.25">
      <c r="B268">
        <v>0</v>
      </c>
      <c r="F268">
        <v>0</v>
      </c>
      <c r="P268" s="78">
        <v>2287</v>
      </c>
      <c r="Q268" s="79">
        <v>1454447.6531529999</v>
      </c>
      <c r="R268" s="77" t="s">
        <v>394</v>
      </c>
      <c r="S268" s="77">
        <v>7414000005</v>
      </c>
      <c r="X268"/>
      <c r="AB268"/>
      <c r="AC268"/>
    </row>
    <row r="269" spans="2:29" x14ac:dyDescent="0.25">
      <c r="B269">
        <v>0</v>
      </c>
      <c r="F269">
        <v>0</v>
      </c>
      <c r="P269" s="78">
        <v>5175</v>
      </c>
      <c r="Q269" s="79">
        <v>3670988.4096749998</v>
      </c>
      <c r="R269" s="77" t="s">
        <v>394</v>
      </c>
      <c r="S269" s="77">
        <v>7414000005</v>
      </c>
      <c r="X269"/>
      <c r="AB269"/>
      <c r="AC269"/>
    </row>
    <row r="270" spans="2:29" x14ac:dyDescent="0.25">
      <c r="B270">
        <v>0</v>
      </c>
      <c r="F270">
        <v>0</v>
      </c>
      <c r="P270" s="78">
        <v>9197</v>
      </c>
      <c r="Q270" s="79">
        <v>6386499.6868390003</v>
      </c>
      <c r="R270" s="77" t="s">
        <v>394</v>
      </c>
      <c r="S270" s="77">
        <v>7414000005</v>
      </c>
      <c r="X270"/>
      <c r="AB270"/>
      <c r="AC270"/>
    </row>
    <row r="271" spans="2:29" x14ac:dyDescent="0.25">
      <c r="B271">
        <v>0</v>
      </c>
      <c r="F271">
        <v>0</v>
      </c>
      <c r="P271" s="78">
        <v>35</v>
      </c>
      <c r="Q271" s="79">
        <v>3417.9047350000001</v>
      </c>
      <c r="R271" s="77" t="s">
        <v>394</v>
      </c>
      <c r="S271" s="77">
        <v>7414000005</v>
      </c>
      <c r="X271"/>
      <c r="AB271"/>
      <c r="AC271"/>
    </row>
    <row r="272" spans="2:29" x14ac:dyDescent="0.25">
      <c r="B272">
        <v>0</v>
      </c>
      <c r="F272">
        <v>0</v>
      </c>
      <c r="P272" s="78">
        <v>389</v>
      </c>
      <c r="Q272" s="79">
        <v>38406.105760999999</v>
      </c>
      <c r="R272" s="77" t="s">
        <v>394</v>
      </c>
      <c r="S272" s="77">
        <v>7414000005</v>
      </c>
      <c r="X272"/>
      <c r="AB272"/>
      <c r="AC272"/>
    </row>
    <row r="273" spans="2:29" x14ac:dyDescent="0.25">
      <c r="B273">
        <v>0</v>
      </c>
      <c r="F273">
        <v>0</v>
      </c>
      <c r="P273" s="78">
        <v>742</v>
      </c>
      <c r="Q273" s="79">
        <v>73641.643515999996</v>
      </c>
      <c r="R273" s="77" t="s">
        <v>394</v>
      </c>
      <c r="S273" s="77">
        <v>7414000005</v>
      </c>
      <c r="X273"/>
      <c r="AB273"/>
      <c r="AC273"/>
    </row>
    <row r="274" spans="2:29" x14ac:dyDescent="0.25">
      <c r="B274">
        <v>0</v>
      </c>
      <c r="F274">
        <v>0</v>
      </c>
      <c r="P274" s="78">
        <v>190</v>
      </c>
      <c r="Q274" s="79">
        <v>18044.897929999999</v>
      </c>
      <c r="R274" s="77" t="s">
        <v>394</v>
      </c>
      <c r="S274" s="77">
        <v>7414000005</v>
      </c>
      <c r="X274"/>
      <c r="AB274"/>
      <c r="AC274"/>
    </row>
    <row r="275" spans="2:29" x14ac:dyDescent="0.25">
      <c r="B275">
        <v>0</v>
      </c>
      <c r="F275">
        <v>0</v>
      </c>
      <c r="P275" s="78">
        <v>673</v>
      </c>
      <c r="Q275" s="79">
        <v>61856.655532999997</v>
      </c>
      <c r="R275" s="77" t="s">
        <v>394</v>
      </c>
      <c r="S275" s="77">
        <v>7414000005</v>
      </c>
      <c r="X275"/>
      <c r="AB275"/>
      <c r="AC275"/>
    </row>
    <row r="276" spans="2:29" x14ac:dyDescent="0.25">
      <c r="B276">
        <v>0</v>
      </c>
      <c r="F276">
        <v>0</v>
      </c>
      <c r="P276" s="78">
        <v>290</v>
      </c>
      <c r="Q276" s="79">
        <v>26956.80587</v>
      </c>
      <c r="R276" s="77" t="s">
        <v>394</v>
      </c>
      <c r="S276" s="77">
        <v>7414000005</v>
      </c>
      <c r="X276"/>
      <c r="AB276"/>
      <c r="AC276"/>
    </row>
    <row r="277" spans="2:29" x14ac:dyDescent="0.25">
      <c r="B277">
        <v>0</v>
      </c>
      <c r="F277">
        <v>0</v>
      </c>
      <c r="P277" s="78">
        <v>316</v>
      </c>
      <c r="Q277" s="79">
        <v>28028.606867999999</v>
      </c>
      <c r="R277" s="77" t="s">
        <v>394</v>
      </c>
      <c r="S277" s="77">
        <v>7414000005</v>
      </c>
      <c r="X277"/>
      <c r="AB277"/>
      <c r="AC277"/>
    </row>
    <row r="278" spans="2:29" x14ac:dyDescent="0.25">
      <c r="B278">
        <v>0</v>
      </c>
      <c r="F278">
        <v>0</v>
      </c>
      <c r="P278" s="78">
        <v>1310</v>
      </c>
      <c r="Q278" s="79">
        <v>122241.59152</v>
      </c>
      <c r="R278" s="77" t="s">
        <v>394</v>
      </c>
      <c r="S278" s="77">
        <v>7414000005</v>
      </c>
      <c r="X278"/>
      <c r="AB278"/>
      <c r="AC278"/>
    </row>
    <row r="279" spans="2:29" x14ac:dyDescent="0.25">
      <c r="B279">
        <v>0</v>
      </c>
      <c r="F279">
        <v>0</v>
      </c>
      <c r="P279" s="78">
        <v>570</v>
      </c>
      <c r="Q279" s="79">
        <v>54072.57576</v>
      </c>
      <c r="R279" s="77" t="s">
        <v>394</v>
      </c>
      <c r="S279" s="77">
        <v>7414000005</v>
      </c>
      <c r="X279"/>
      <c r="AB279"/>
      <c r="AC279"/>
    </row>
    <row r="280" spans="2:29" x14ac:dyDescent="0.25">
      <c r="B280">
        <v>0</v>
      </c>
      <c r="F280">
        <v>0</v>
      </c>
      <c r="P280" s="78">
        <v>1483</v>
      </c>
      <c r="Q280" s="79">
        <v>140692.44283099999</v>
      </c>
      <c r="R280" s="77" t="s">
        <v>394</v>
      </c>
      <c r="S280" s="77">
        <v>7414000005</v>
      </c>
      <c r="X280"/>
      <c r="AB280"/>
      <c r="AC280"/>
    </row>
    <row r="281" spans="2:29" x14ac:dyDescent="0.25">
      <c r="B281">
        <v>0</v>
      </c>
      <c r="F281">
        <v>0</v>
      </c>
      <c r="P281" s="78">
        <v>162</v>
      </c>
      <c r="Q281" s="79">
        <v>14497.29333</v>
      </c>
      <c r="R281" s="77" t="s">
        <v>394</v>
      </c>
      <c r="S281" s="77">
        <v>7414000005</v>
      </c>
      <c r="X281"/>
      <c r="AB281"/>
      <c r="AC281"/>
    </row>
    <row r="282" spans="2:29" x14ac:dyDescent="0.25">
      <c r="B282">
        <v>0</v>
      </c>
      <c r="F282">
        <v>0</v>
      </c>
      <c r="P282" s="78">
        <v>1320</v>
      </c>
      <c r="Q282" s="79">
        <v>113780.20896</v>
      </c>
      <c r="R282" s="77" t="s">
        <v>394</v>
      </c>
      <c r="S282" s="77">
        <v>7414000005</v>
      </c>
      <c r="X282"/>
      <c r="AB282"/>
      <c r="AC282"/>
    </row>
    <row r="283" spans="2:29" x14ac:dyDescent="0.25">
      <c r="B283">
        <v>0</v>
      </c>
      <c r="F283">
        <v>0</v>
      </c>
      <c r="P283" s="78">
        <v>60</v>
      </c>
      <c r="Q283" s="79">
        <v>5188.1612400000004</v>
      </c>
      <c r="R283" s="77" t="s">
        <v>394</v>
      </c>
      <c r="S283" s="77">
        <v>7414000005</v>
      </c>
      <c r="X283"/>
      <c r="AB283"/>
      <c r="AC283"/>
    </row>
    <row r="284" spans="2:29" x14ac:dyDescent="0.25">
      <c r="B284">
        <v>0</v>
      </c>
      <c r="F284">
        <v>0</v>
      </c>
      <c r="P284" s="78">
        <v>59</v>
      </c>
      <c r="Q284" s="79">
        <v>5985.6069939999998</v>
      </c>
      <c r="R284" s="77" t="s">
        <v>394</v>
      </c>
      <c r="S284" s="77">
        <v>7414000005</v>
      </c>
      <c r="X284"/>
      <c r="AB284"/>
      <c r="AC284"/>
    </row>
    <row r="285" spans="2:29" x14ac:dyDescent="0.25">
      <c r="B285">
        <v>0</v>
      </c>
      <c r="F285">
        <v>0</v>
      </c>
      <c r="P285" s="78">
        <v>63</v>
      </c>
      <c r="Q285" s="79">
        <v>5647.5198360000004</v>
      </c>
      <c r="R285" s="77" t="s">
        <v>394</v>
      </c>
      <c r="S285" s="77">
        <v>7414000005</v>
      </c>
      <c r="X285"/>
      <c r="AB285"/>
      <c r="AC285"/>
    </row>
    <row r="286" spans="2:29" x14ac:dyDescent="0.25">
      <c r="B286">
        <v>0</v>
      </c>
      <c r="F286">
        <v>0</v>
      </c>
      <c r="P286" s="78">
        <v>809</v>
      </c>
      <c r="Q286" s="79">
        <v>66126.737739999997</v>
      </c>
      <c r="R286" s="77" t="s">
        <v>394</v>
      </c>
      <c r="S286" s="77">
        <v>7414000005</v>
      </c>
      <c r="X286"/>
      <c r="AB286"/>
      <c r="AC286"/>
    </row>
    <row r="287" spans="2:29" x14ac:dyDescent="0.25">
      <c r="B287">
        <v>0</v>
      </c>
      <c r="F287">
        <v>0</v>
      </c>
      <c r="P287" s="78">
        <v>235</v>
      </c>
      <c r="Q287" s="79">
        <v>19552.178834999999</v>
      </c>
      <c r="R287" s="77" t="s">
        <v>394</v>
      </c>
      <c r="S287" s="77">
        <v>7414000005</v>
      </c>
      <c r="X287"/>
      <c r="AB287"/>
      <c r="AC287"/>
    </row>
    <row r="288" spans="2:29" x14ac:dyDescent="0.25">
      <c r="B288">
        <v>0</v>
      </c>
      <c r="F288">
        <v>0</v>
      </c>
      <c r="P288" s="78">
        <v>263</v>
      </c>
      <c r="Q288" s="79">
        <v>21608.055541000002</v>
      </c>
      <c r="R288" s="77" t="s">
        <v>394</v>
      </c>
      <c r="S288" s="77">
        <v>7414000005</v>
      </c>
      <c r="X288"/>
      <c r="AB288"/>
      <c r="AC288"/>
    </row>
    <row r="289" spans="2:29" x14ac:dyDescent="0.25">
      <c r="B289">
        <v>0</v>
      </c>
      <c r="F289">
        <v>0</v>
      </c>
      <c r="P289" s="78">
        <v>1706</v>
      </c>
      <c r="Q289" s="79">
        <v>167201.36480400001</v>
      </c>
      <c r="R289" s="77" t="s">
        <v>394</v>
      </c>
      <c r="S289" s="77">
        <v>7414000005</v>
      </c>
      <c r="X289"/>
      <c r="AB289"/>
      <c r="AC289"/>
    </row>
    <row r="290" spans="2:29" x14ac:dyDescent="0.25">
      <c r="B290">
        <v>0</v>
      </c>
      <c r="F290">
        <v>0</v>
      </c>
      <c r="P290" s="78">
        <v>212990</v>
      </c>
      <c r="Q290" s="79">
        <v>668584.12959999999</v>
      </c>
      <c r="R290" s="77" t="s">
        <v>394</v>
      </c>
      <c r="S290" s="77">
        <v>7414000005</v>
      </c>
      <c r="X290"/>
      <c r="AB290"/>
      <c r="AC290"/>
    </row>
    <row r="291" spans="2:29" x14ac:dyDescent="0.25">
      <c r="B291">
        <v>0</v>
      </c>
      <c r="F291">
        <v>0</v>
      </c>
      <c r="P291" s="78">
        <v>54702</v>
      </c>
      <c r="Q291" s="79">
        <v>185810.22194399999</v>
      </c>
      <c r="R291" s="77" t="s">
        <v>394</v>
      </c>
      <c r="S291" s="77">
        <v>7414000005</v>
      </c>
      <c r="X291"/>
      <c r="AB291"/>
      <c r="AC291"/>
    </row>
    <row r="292" spans="2:29" x14ac:dyDescent="0.25">
      <c r="B292">
        <v>0</v>
      </c>
      <c r="F292">
        <v>0</v>
      </c>
      <c r="P292" s="78">
        <v>221</v>
      </c>
      <c r="Q292" s="79">
        <v>171427.88492700001</v>
      </c>
      <c r="R292" s="77" t="s">
        <v>394</v>
      </c>
      <c r="S292" s="77">
        <v>7414000005</v>
      </c>
      <c r="X292"/>
      <c r="AB292"/>
      <c r="AC292"/>
    </row>
    <row r="293" spans="2:29" x14ac:dyDescent="0.25">
      <c r="B293">
        <v>0</v>
      </c>
      <c r="F293">
        <v>0</v>
      </c>
      <c r="P293" s="78">
        <v>195</v>
      </c>
      <c r="Q293" s="79">
        <v>145699.79423999999</v>
      </c>
      <c r="R293" s="77" t="s">
        <v>394</v>
      </c>
      <c r="S293" s="77">
        <v>7414000005</v>
      </c>
      <c r="X293"/>
      <c r="AB293"/>
      <c r="AC293"/>
    </row>
    <row r="294" spans="2:29" x14ac:dyDescent="0.25">
      <c r="B294">
        <v>0</v>
      </c>
      <c r="F294">
        <v>0</v>
      </c>
      <c r="P294" s="78">
        <v>71</v>
      </c>
      <c r="Q294" s="79">
        <v>54380.595693000003</v>
      </c>
      <c r="R294" s="77" t="s">
        <v>394</v>
      </c>
      <c r="S294" s="77">
        <v>7414000005</v>
      </c>
      <c r="X294"/>
      <c r="AB294"/>
      <c r="AC294"/>
    </row>
    <row r="295" spans="2:29" x14ac:dyDescent="0.25">
      <c r="B295">
        <v>0</v>
      </c>
      <c r="F295">
        <v>0</v>
      </c>
      <c r="P295" s="78">
        <v>137</v>
      </c>
      <c r="Q295" s="79">
        <v>93829.814645999999</v>
      </c>
      <c r="R295" s="77" t="s">
        <v>394</v>
      </c>
      <c r="S295" s="77">
        <v>7414000005</v>
      </c>
      <c r="X295"/>
      <c r="AB295"/>
      <c r="AC295"/>
    </row>
    <row r="296" spans="2:29" x14ac:dyDescent="0.25">
      <c r="B296">
        <v>0</v>
      </c>
      <c r="F296">
        <v>0</v>
      </c>
      <c r="P296" s="78">
        <v>65</v>
      </c>
      <c r="Q296" s="79">
        <v>50240.252724999998</v>
      </c>
      <c r="R296" s="77" t="s">
        <v>394</v>
      </c>
      <c r="S296" s="77">
        <v>7414000005</v>
      </c>
      <c r="X296"/>
      <c r="AB296"/>
      <c r="AC296"/>
    </row>
    <row r="297" spans="2:29" x14ac:dyDescent="0.25">
      <c r="B297">
        <v>0</v>
      </c>
      <c r="F297">
        <v>0</v>
      </c>
      <c r="P297" s="78">
        <v>68</v>
      </c>
      <c r="Q297" s="79">
        <v>49068.435519999999</v>
      </c>
      <c r="R297" s="77" t="s">
        <v>394</v>
      </c>
      <c r="S297" s="77">
        <v>7414000005</v>
      </c>
      <c r="X297"/>
      <c r="AB297"/>
      <c r="AC297"/>
    </row>
    <row r="298" spans="2:29" x14ac:dyDescent="0.25">
      <c r="B298">
        <v>0</v>
      </c>
      <c r="F298">
        <v>0</v>
      </c>
      <c r="P298" s="78">
        <v>31</v>
      </c>
      <c r="Q298" s="79">
        <v>19714.856689</v>
      </c>
      <c r="R298" s="77" t="s">
        <v>394</v>
      </c>
      <c r="S298" s="77">
        <v>7414000005</v>
      </c>
      <c r="X298"/>
      <c r="AB298"/>
      <c r="AC298"/>
    </row>
    <row r="299" spans="2:29" x14ac:dyDescent="0.25">
      <c r="B299">
        <v>0</v>
      </c>
      <c r="F299">
        <v>0</v>
      </c>
      <c r="P299" s="78">
        <v>97</v>
      </c>
      <c r="Q299" s="79">
        <v>68808.864877</v>
      </c>
      <c r="R299" s="77" t="s">
        <v>394</v>
      </c>
      <c r="S299" s="77">
        <v>7414000005</v>
      </c>
      <c r="X299"/>
      <c r="AB299"/>
      <c r="AC299"/>
    </row>
    <row r="300" spans="2:29" x14ac:dyDescent="0.25">
      <c r="B300">
        <v>0</v>
      </c>
      <c r="F300">
        <v>0</v>
      </c>
      <c r="P300" s="78">
        <v>222</v>
      </c>
      <c r="Q300" s="79">
        <v>154159.28351400001</v>
      </c>
      <c r="R300" s="77" t="s">
        <v>394</v>
      </c>
      <c r="S300" s="77">
        <v>7414000005</v>
      </c>
      <c r="X300"/>
      <c r="AB300"/>
      <c r="AC300"/>
    </row>
    <row r="301" spans="2:29" x14ac:dyDescent="0.25">
      <c r="B301">
        <v>0</v>
      </c>
      <c r="F301">
        <v>0</v>
      </c>
      <c r="P301" s="78">
        <v>8579692</v>
      </c>
      <c r="Q301" s="79">
        <v>29175276.964768</v>
      </c>
      <c r="R301" s="77" t="s">
        <v>394</v>
      </c>
      <c r="S301" s="77">
        <v>7414000005</v>
      </c>
      <c r="X301"/>
      <c r="AB301"/>
      <c r="AC301"/>
    </row>
    <row r="302" spans="2:29" x14ac:dyDescent="0.25">
      <c r="B302">
        <v>0</v>
      </c>
      <c r="F302">
        <v>0</v>
      </c>
      <c r="P302" s="78">
        <v>0</v>
      </c>
      <c r="Q302" s="79">
        <v>0</v>
      </c>
      <c r="R302" s="77" t="s">
        <v>394</v>
      </c>
      <c r="S302" s="77">
        <v>7414000005</v>
      </c>
      <c r="X302"/>
      <c r="AB302"/>
      <c r="AC302"/>
    </row>
    <row r="303" spans="2:29" x14ac:dyDescent="0.25">
      <c r="B303">
        <v>0</v>
      </c>
      <c r="F303">
        <v>0</v>
      </c>
      <c r="P303" s="78">
        <v>0</v>
      </c>
      <c r="Q303" s="79">
        <v>0</v>
      </c>
      <c r="R303" s="77" t="s">
        <v>394</v>
      </c>
      <c r="S303" s="77">
        <v>7414000005</v>
      </c>
      <c r="X303"/>
      <c r="AB303"/>
      <c r="AC303"/>
    </row>
    <row r="304" spans="2:29" x14ac:dyDescent="0.25">
      <c r="B304">
        <v>0</v>
      </c>
      <c r="F304">
        <v>0</v>
      </c>
      <c r="P304" s="78">
        <v>0</v>
      </c>
      <c r="Q304" s="79">
        <v>0</v>
      </c>
      <c r="R304" s="77" t="s">
        <v>394</v>
      </c>
      <c r="S304" s="77">
        <v>7414000005</v>
      </c>
      <c r="X304"/>
      <c r="AB304"/>
      <c r="AC304"/>
    </row>
    <row r="305" spans="2:29" x14ac:dyDescent="0.25">
      <c r="B305">
        <v>0</v>
      </c>
      <c r="F305">
        <v>0</v>
      </c>
      <c r="P305" s="78">
        <v>0</v>
      </c>
      <c r="Q305" s="79">
        <v>0</v>
      </c>
      <c r="R305" s="77" t="s">
        <v>394</v>
      </c>
      <c r="S305" s="77">
        <v>7414000005</v>
      </c>
      <c r="X305"/>
      <c r="AB305"/>
      <c r="AC305"/>
    </row>
    <row r="306" spans="2:29" x14ac:dyDescent="0.25">
      <c r="B306">
        <v>0</v>
      </c>
      <c r="F306">
        <v>0</v>
      </c>
      <c r="P306" s="78">
        <v>682</v>
      </c>
      <c r="Q306" s="79">
        <v>6458300.6896099998</v>
      </c>
      <c r="R306" s="77" t="s">
        <v>394</v>
      </c>
      <c r="S306" s="77">
        <v>7414000005</v>
      </c>
      <c r="X306"/>
      <c r="AB306"/>
      <c r="AC306"/>
    </row>
    <row r="307" spans="2:29" x14ac:dyDescent="0.25">
      <c r="B307">
        <v>0</v>
      </c>
      <c r="F307">
        <v>0</v>
      </c>
      <c r="P307" s="78">
        <v>300000</v>
      </c>
      <c r="Q307" s="79">
        <v>30000016.800000001</v>
      </c>
      <c r="R307" s="77" t="s">
        <v>394</v>
      </c>
      <c r="S307" s="77">
        <v>7414000005</v>
      </c>
      <c r="X307"/>
      <c r="AB307"/>
      <c r="AC307"/>
    </row>
    <row r="308" spans="2:29" x14ac:dyDescent="0.25">
      <c r="B308">
        <v>0</v>
      </c>
      <c r="F308">
        <v>0</v>
      </c>
      <c r="P308" s="78">
        <v>2269560</v>
      </c>
      <c r="Q308" s="79">
        <v>226883989.13076001</v>
      </c>
      <c r="R308" s="77" t="s">
        <v>394</v>
      </c>
      <c r="S308" s="77">
        <v>7414000005</v>
      </c>
      <c r="X308"/>
      <c r="AB308"/>
      <c r="AC308"/>
    </row>
    <row r="309" spans="2:29" x14ac:dyDescent="0.25">
      <c r="B309">
        <v>0</v>
      </c>
      <c r="F309">
        <v>0</v>
      </c>
      <c r="P309" s="78">
        <v>5000000</v>
      </c>
      <c r="Q309" s="79">
        <v>499749485</v>
      </c>
      <c r="R309" s="77" t="s">
        <v>394</v>
      </c>
      <c r="S309" s="77">
        <v>7414000005</v>
      </c>
      <c r="X309"/>
      <c r="AB309"/>
      <c r="AC309"/>
    </row>
    <row r="310" spans="2:29" x14ac:dyDescent="0.25">
      <c r="B310">
        <v>0</v>
      </c>
      <c r="F310">
        <v>0</v>
      </c>
      <c r="P310" s="78">
        <v>246400</v>
      </c>
      <c r="Q310" s="79">
        <v>24548831.2608</v>
      </c>
      <c r="R310" s="77" t="s">
        <v>394</v>
      </c>
      <c r="S310" s="77">
        <v>7414000005</v>
      </c>
      <c r="X310"/>
      <c r="AB310"/>
      <c r="AC310"/>
    </row>
    <row r="311" spans="2:29" x14ac:dyDescent="0.25">
      <c r="B311">
        <v>0</v>
      </c>
      <c r="F311">
        <v>0</v>
      </c>
      <c r="P311" s="78">
        <v>1000000</v>
      </c>
      <c r="Q311" s="79">
        <v>99183683</v>
      </c>
      <c r="R311" s="77" t="s">
        <v>394</v>
      </c>
      <c r="S311" s="77">
        <v>7414000005</v>
      </c>
      <c r="X311"/>
      <c r="AB311"/>
      <c r="AC311"/>
    </row>
    <row r="312" spans="2:29" x14ac:dyDescent="0.25">
      <c r="B312">
        <v>0</v>
      </c>
      <c r="F312">
        <v>0</v>
      </c>
      <c r="P312" s="78">
        <v>2000000</v>
      </c>
      <c r="Q312" s="79">
        <v>199388156</v>
      </c>
      <c r="R312" s="77" t="s">
        <v>394</v>
      </c>
      <c r="S312" s="77">
        <v>7414000005</v>
      </c>
      <c r="X312"/>
      <c r="AB312"/>
      <c r="AC312"/>
    </row>
    <row r="313" spans="2:29" x14ac:dyDescent="0.25">
      <c r="B313">
        <v>0</v>
      </c>
      <c r="F313">
        <v>0</v>
      </c>
      <c r="P313" s="78">
        <v>25593</v>
      </c>
      <c r="Q313" s="79">
        <v>2353821.6600509998</v>
      </c>
      <c r="R313" s="77" t="s">
        <v>394</v>
      </c>
      <c r="S313" s="77">
        <v>7414000005</v>
      </c>
      <c r="X313"/>
      <c r="AB313"/>
      <c r="AC313"/>
    </row>
    <row r="314" spans="2:29" x14ac:dyDescent="0.25">
      <c r="B314">
        <v>0</v>
      </c>
      <c r="F314">
        <v>0</v>
      </c>
      <c r="P314" s="78">
        <v>29143</v>
      </c>
      <c r="Q314" s="79">
        <v>2845942.7912030001</v>
      </c>
      <c r="R314" s="77" t="s">
        <v>394</v>
      </c>
      <c r="S314" s="77">
        <v>7414000005</v>
      </c>
      <c r="X314"/>
      <c r="AB314"/>
      <c r="AC314"/>
    </row>
    <row r="315" spans="2:29" x14ac:dyDescent="0.25">
      <c r="B315">
        <v>0</v>
      </c>
      <c r="F315">
        <v>0</v>
      </c>
      <c r="P315" s="78">
        <v>5900000</v>
      </c>
      <c r="Q315" s="79">
        <v>54221808.299999997</v>
      </c>
      <c r="R315" s="77" t="s">
        <v>394</v>
      </c>
      <c r="S315" s="77">
        <v>7414000005</v>
      </c>
      <c r="X315"/>
      <c r="AB315"/>
      <c r="AC315"/>
    </row>
    <row r="316" spans="2:29" x14ac:dyDescent="0.25">
      <c r="B316">
        <v>0</v>
      </c>
      <c r="F316">
        <v>0</v>
      </c>
      <c r="P316" s="78">
        <v>3500000</v>
      </c>
      <c r="Q316" s="79">
        <v>31793895</v>
      </c>
      <c r="R316" s="77" t="s">
        <v>394</v>
      </c>
      <c r="S316" s="77">
        <v>7414000005</v>
      </c>
      <c r="X316"/>
      <c r="AB316"/>
      <c r="AC316"/>
    </row>
    <row r="317" spans="2:29" x14ac:dyDescent="0.25">
      <c r="B317">
        <v>0</v>
      </c>
      <c r="F317">
        <v>0</v>
      </c>
      <c r="P317" s="78">
        <v>2805920</v>
      </c>
      <c r="Q317" s="79">
        <v>25284840.988159999</v>
      </c>
      <c r="R317" s="77" t="s">
        <v>394</v>
      </c>
      <c r="S317" s="77">
        <v>7414000005</v>
      </c>
      <c r="X317"/>
      <c r="AB317"/>
      <c r="AC317"/>
    </row>
    <row r="318" spans="2:29" x14ac:dyDescent="0.25">
      <c r="B318">
        <v>0</v>
      </c>
      <c r="F318">
        <v>0</v>
      </c>
      <c r="P318" s="78">
        <v>17243600</v>
      </c>
      <c r="Q318" s="79">
        <v>144524664.1036</v>
      </c>
      <c r="R318" s="77" t="s">
        <v>394</v>
      </c>
      <c r="S318" s="77">
        <v>7414000005</v>
      </c>
      <c r="X318"/>
      <c r="AB318"/>
      <c r="AC318"/>
    </row>
    <row r="319" spans="2:29" x14ac:dyDescent="0.25">
      <c r="B319">
        <v>0</v>
      </c>
      <c r="F319">
        <v>0</v>
      </c>
      <c r="P319" s="78">
        <v>9957484</v>
      </c>
      <c r="Q319" s="79">
        <v>82229550.108459994</v>
      </c>
      <c r="R319" s="77" t="s">
        <v>394</v>
      </c>
      <c r="S319" s="77">
        <v>7414000005</v>
      </c>
      <c r="X319"/>
      <c r="AB319"/>
      <c r="AC319"/>
    </row>
    <row r="320" spans="2:29" x14ac:dyDescent="0.25">
      <c r="B320">
        <v>0</v>
      </c>
      <c r="F320">
        <v>0</v>
      </c>
      <c r="P320" s="78">
        <v>263860</v>
      </c>
      <c r="Q320" s="79">
        <v>24604529.684360001</v>
      </c>
      <c r="R320" s="77" t="s">
        <v>394</v>
      </c>
      <c r="S320" s="77">
        <v>7414000005</v>
      </c>
      <c r="X320"/>
      <c r="AB320"/>
      <c r="AC320"/>
    </row>
    <row r="321" spans="2:29" x14ac:dyDescent="0.25">
      <c r="B321">
        <v>0</v>
      </c>
      <c r="F321">
        <v>0</v>
      </c>
      <c r="P321" s="78">
        <v>0</v>
      </c>
      <c r="Q321" s="79">
        <v>26779266.66</v>
      </c>
      <c r="R321" s="77" t="s">
        <v>394</v>
      </c>
      <c r="S321" s="77">
        <v>7414000005</v>
      </c>
      <c r="X321"/>
      <c r="AB321"/>
      <c r="AC321"/>
    </row>
    <row r="322" spans="2:29" x14ac:dyDescent="0.25">
      <c r="B322">
        <v>0</v>
      </c>
      <c r="F322">
        <v>0</v>
      </c>
      <c r="P322" s="78">
        <v>200000</v>
      </c>
      <c r="Q322" s="79">
        <v>19999951.800000001</v>
      </c>
      <c r="R322" s="77" t="s">
        <v>394</v>
      </c>
      <c r="S322" s="77">
        <v>7414000005</v>
      </c>
      <c r="X322"/>
      <c r="AB322"/>
      <c r="AC322"/>
    </row>
    <row r="323" spans="2:29" x14ac:dyDescent="0.25">
      <c r="B323">
        <v>0</v>
      </c>
      <c r="F323">
        <v>0</v>
      </c>
      <c r="P323" s="78">
        <v>177980</v>
      </c>
      <c r="Q323" s="79">
        <v>17791461.9047</v>
      </c>
      <c r="R323" s="77" t="s">
        <v>394</v>
      </c>
      <c r="S323" s="77">
        <v>7414000005</v>
      </c>
      <c r="X323"/>
      <c r="AB323"/>
      <c r="AC323"/>
    </row>
    <row r="324" spans="2:29" x14ac:dyDescent="0.25">
      <c r="B324">
        <v>0</v>
      </c>
      <c r="F324">
        <v>0</v>
      </c>
      <c r="P324" s="78">
        <v>98500</v>
      </c>
      <c r="Q324" s="79">
        <v>9852057.5665000007</v>
      </c>
      <c r="R324" s="77" t="s">
        <v>394</v>
      </c>
      <c r="S324" s="77">
        <v>7414000005</v>
      </c>
      <c r="X324"/>
      <c r="AB324"/>
      <c r="AC324"/>
    </row>
    <row r="325" spans="2:29" x14ac:dyDescent="0.25">
      <c r="B325">
        <v>0</v>
      </c>
      <c r="F325">
        <v>0</v>
      </c>
      <c r="P325" s="78">
        <v>218639</v>
      </c>
      <c r="Q325" s="79">
        <v>21699373.715222001</v>
      </c>
      <c r="R325" s="77" t="s">
        <v>394</v>
      </c>
      <c r="S325" s="77">
        <v>7414000005</v>
      </c>
      <c r="X325"/>
      <c r="AB325"/>
      <c r="AC325"/>
    </row>
    <row r="326" spans="2:29" x14ac:dyDescent="0.25">
      <c r="B326">
        <v>0</v>
      </c>
      <c r="F326">
        <v>0</v>
      </c>
      <c r="P326" s="78">
        <v>80000</v>
      </c>
      <c r="Q326" s="79">
        <v>7159157.2000000002</v>
      </c>
      <c r="R326" s="77" t="s">
        <v>394</v>
      </c>
      <c r="S326" s="77">
        <v>7414000005</v>
      </c>
      <c r="X326"/>
      <c r="AB326"/>
      <c r="AC326"/>
    </row>
    <row r="327" spans="2:29" x14ac:dyDescent="0.25">
      <c r="B327">
        <v>0</v>
      </c>
      <c r="F327">
        <v>0</v>
      </c>
      <c r="P327" s="78">
        <v>1193710</v>
      </c>
      <c r="Q327" s="79">
        <v>102894373.66487999</v>
      </c>
      <c r="R327" s="77" t="s">
        <v>394</v>
      </c>
      <c r="S327" s="77">
        <v>7414000005</v>
      </c>
      <c r="X327"/>
      <c r="AB327"/>
      <c r="AC327"/>
    </row>
    <row r="328" spans="2:29" x14ac:dyDescent="0.25">
      <c r="B328">
        <v>0</v>
      </c>
      <c r="F328">
        <v>0</v>
      </c>
      <c r="P328" s="78">
        <v>180000</v>
      </c>
      <c r="Q328" s="79">
        <v>17999853.300000001</v>
      </c>
      <c r="R328" s="77" t="s">
        <v>394</v>
      </c>
      <c r="S328" s="77">
        <v>7414000005</v>
      </c>
      <c r="X328"/>
      <c r="AB328"/>
      <c r="AC328"/>
    </row>
    <row r="329" spans="2:29" x14ac:dyDescent="0.25">
      <c r="B329">
        <v>0</v>
      </c>
      <c r="F329">
        <v>0</v>
      </c>
      <c r="P329" s="78">
        <v>59620</v>
      </c>
      <c r="Q329" s="79">
        <v>5985186.5160999997</v>
      </c>
      <c r="R329" s="77" t="s">
        <v>394</v>
      </c>
      <c r="S329" s="77">
        <v>7414000005</v>
      </c>
      <c r="X329"/>
      <c r="AB329"/>
      <c r="AC329"/>
    </row>
    <row r="330" spans="2:29" x14ac:dyDescent="0.25">
      <c r="B330">
        <v>0</v>
      </c>
      <c r="F330">
        <v>0</v>
      </c>
      <c r="P330" s="78">
        <v>110182</v>
      </c>
      <c r="Q330" s="79">
        <v>85467272.475234002</v>
      </c>
      <c r="R330" s="77" t="s">
        <v>394</v>
      </c>
      <c r="S330" s="77">
        <v>7414000005</v>
      </c>
      <c r="X330"/>
      <c r="AB330"/>
      <c r="AC330"/>
    </row>
    <row r="331" spans="2:29" x14ac:dyDescent="0.25">
      <c r="B331">
        <v>0</v>
      </c>
      <c r="F331">
        <v>0</v>
      </c>
      <c r="P331" s="78">
        <v>84113</v>
      </c>
      <c r="Q331" s="79">
        <v>62847419.450815998</v>
      </c>
      <c r="R331" s="77" t="s">
        <v>394</v>
      </c>
      <c r="S331" s="77">
        <v>7414000005</v>
      </c>
      <c r="X331"/>
      <c r="AB331"/>
      <c r="AC331"/>
    </row>
    <row r="332" spans="2:29" x14ac:dyDescent="0.25">
      <c r="B332">
        <v>0</v>
      </c>
      <c r="F332">
        <v>0</v>
      </c>
      <c r="P332" s="78">
        <v>110950</v>
      </c>
      <c r="Q332" s="79">
        <v>11099718.370650001</v>
      </c>
      <c r="R332" s="77" t="s">
        <v>394</v>
      </c>
      <c r="S332" s="77">
        <v>7414000005</v>
      </c>
      <c r="X332"/>
      <c r="AB332"/>
      <c r="AC332"/>
    </row>
    <row r="333" spans="2:29" x14ac:dyDescent="0.25">
      <c r="B333">
        <v>0</v>
      </c>
      <c r="F333">
        <v>0</v>
      </c>
      <c r="P333" s="78">
        <v>0</v>
      </c>
      <c r="Q333" s="79">
        <v>0</v>
      </c>
      <c r="R333" s="77" t="s">
        <v>394</v>
      </c>
      <c r="S333" s="77">
        <v>7414000005</v>
      </c>
      <c r="X333"/>
      <c r="AB333"/>
      <c r="AC333"/>
    </row>
    <row r="334" spans="2:29" x14ac:dyDescent="0.25">
      <c r="B334">
        <v>0</v>
      </c>
      <c r="F334">
        <v>0</v>
      </c>
      <c r="P334" s="78">
        <v>0</v>
      </c>
      <c r="Q334" s="79">
        <v>0</v>
      </c>
      <c r="R334" s="77" t="s">
        <v>394</v>
      </c>
      <c r="S334" s="77">
        <v>7414000005</v>
      </c>
      <c r="X334"/>
      <c r="AB334"/>
      <c r="AC334"/>
    </row>
    <row r="335" spans="2:29" x14ac:dyDescent="0.25">
      <c r="B335">
        <v>0</v>
      </c>
      <c r="F335">
        <v>0</v>
      </c>
      <c r="P335" s="78">
        <v>0</v>
      </c>
      <c r="Q335" s="79">
        <v>0</v>
      </c>
      <c r="R335" s="77" t="s">
        <v>394</v>
      </c>
      <c r="S335" s="77">
        <v>7414000005</v>
      </c>
      <c r="X335"/>
      <c r="AB335"/>
      <c r="AC335"/>
    </row>
    <row r="336" spans="2:29" x14ac:dyDescent="0.25">
      <c r="B336">
        <v>0</v>
      </c>
      <c r="F336">
        <v>0</v>
      </c>
      <c r="P336" s="78">
        <v>0</v>
      </c>
      <c r="Q336" s="79">
        <v>0</v>
      </c>
      <c r="R336" s="77" t="s">
        <v>394</v>
      </c>
      <c r="S336" s="77">
        <v>7414000005</v>
      </c>
      <c r="X336"/>
      <c r="AB336"/>
      <c r="AC336"/>
    </row>
    <row r="337" spans="2:29" x14ac:dyDescent="0.25">
      <c r="B337">
        <v>0</v>
      </c>
      <c r="F337">
        <v>0</v>
      </c>
      <c r="P337" s="78">
        <v>0</v>
      </c>
      <c r="Q337" s="79">
        <v>0</v>
      </c>
      <c r="R337" s="77" t="s">
        <v>394</v>
      </c>
      <c r="S337" s="77">
        <v>7414000005</v>
      </c>
      <c r="X337"/>
      <c r="AB337"/>
      <c r="AC337"/>
    </row>
    <row r="338" spans="2:29" x14ac:dyDescent="0.25">
      <c r="B338">
        <v>0</v>
      </c>
      <c r="F338">
        <v>0</v>
      </c>
      <c r="P338" s="78">
        <v>0</v>
      </c>
      <c r="Q338" s="79">
        <v>0</v>
      </c>
      <c r="R338" s="77" t="s">
        <v>394</v>
      </c>
      <c r="S338" s="77">
        <v>7414000005</v>
      </c>
      <c r="X338"/>
      <c r="AB338"/>
      <c r="AC338"/>
    </row>
    <row r="339" spans="2:29" x14ac:dyDescent="0.25">
      <c r="B339">
        <v>0</v>
      </c>
      <c r="F339">
        <v>0</v>
      </c>
      <c r="P339" s="78">
        <v>0</v>
      </c>
      <c r="Q339" s="79">
        <v>0</v>
      </c>
      <c r="R339" s="77" t="s">
        <v>394</v>
      </c>
      <c r="S339" s="77">
        <v>7414000005</v>
      </c>
      <c r="X339"/>
      <c r="AB339"/>
      <c r="AC339"/>
    </row>
    <row r="340" spans="2:29" x14ac:dyDescent="0.25">
      <c r="B340">
        <v>0</v>
      </c>
      <c r="F340">
        <v>0</v>
      </c>
      <c r="P340" s="78">
        <v>0</v>
      </c>
      <c r="Q340" s="79">
        <v>0</v>
      </c>
      <c r="R340" s="77" t="s">
        <v>394</v>
      </c>
      <c r="S340" s="77">
        <v>7414000005</v>
      </c>
      <c r="X340"/>
      <c r="AB340"/>
      <c r="AC340"/>
    </row>
    <row r="341" spans="2:29" x14ac:dyDescent="0.25">
      <c r="B341">
        <v>0</v>
      </c>
      <c r="F341">
        <v>0</v>
      </c>
      <c r="P341" s="78">
        <v>0</v>
      </c>
      <c r="Q341" s="79">
        <v>0</v>
      </c>
      <c r="R341" s="77" t="s">
        <v>394</v>
      </c>
      <c r="S341" s="77">
        <v>7414000005</v>
      </c>
      <c r="X341"/>
      <c r="AB341"/>
      <c r="AC341"/>
    </row>
    <row r="342" spans="2:29" x14ac:dyDescent="0.25">
      <c r="B342">
        <v>0</v>
      </c>
      <c r="F342">
        <v>0</v>
      </c>
      <c r="P342" s="78">
        <v>0</v>
      </c>
      <c r="Q342" s="79">
        <v>0</v>
      </c>
      <c r="R342" s="77" t="s">
        <v>394</v>
      </c>
      <c r="S342" s="77">
        <v>7414000005</v>
      </c>
      <c r="X342"/>
      <c r="AB342"/>
      <c r="AC342"/>
    </row>
    <row r="343" spans="2:29" x14ac:dyDescent="0.25">
      <c r="B343">
        <v>0</v>
      </c>
      <c r="F343">
        <v>0</v>
      </c>
      <c r="P343" s="78">
        <v>0</v>
      </c>
      <c r="Q343" s="79">
        <v>0</v>
      </c>
      <c r="R343" s="77" t="s">
        <v>394</v>
      </c>
      <c r="S343" s="77">
        <v>7414000005</v>
      </c>
      <c r="X343"/>
      <c r="AB343"/>
      <c r="AC343"/>
    </row>
    <row r="344" spans="2:29" x14ac:dyDescent="0.25">
      <c r="B344">
        <v>0</v>
      </c>
      <c r="F344">
        <v>0</v>
      </c>
      <c r="P344" s="78">
        <v>0</v>
      </c>
      <c r="Q344" s="79">
        <v>0</v>
      </c>
      <c r="R344" s="77" t="s">
        <v>394</v>
      </c>
      <c r="S344" s="77">
        <v>7414000005</v>
      </c>
      <c r="AB344"/>
      <c r="AC344"/>
    </row>
    <row r="345" spans="2:29" x14ac:dyDescent="0.25">
      <c r="B345">
        <v>0</v>
      </c>
      <c r="F345">
        <v>0</v>
      </c>
      <c r="P345" s="78">
        <v>0</v>
      </c>
      <c r="Q345" s="79">
        <v>0</v>
      </c>
      <c r="R345" s="77" t="s">
        <v>394</v>
      </c>
      <c r="S345" s="77">
        <v>7414000005</v>
      </c>
      <c r="AB345"/>
      <c r="AC345"/>
    </row>
    <row r="346" spans="2:29" x14ac:dyDescent="0.25">
      <c r="B346">
        <v>0</v>
      </c>
      <c r="F346">
        <v>0</v>
      </c>
      <c r="P346" s="78">
        <v>0</v>
      </c>
      <c r="Q346" s="79">
        <v>0</v>
      </c>
      <c r="R346" s="77" t="s">
        <v>394</v>
      </c>
      <c r="S346" s="77">
        <v>7414000005</v>
      </c>
      <c r="AB346"/>
      <c r="AC346"/>
    </row>
    <row r="347" spans="2:29" x14ac:dyDescent="0.25">
      <c r="B347">
        <v>0</v>
      </c>
      <c r="F347">
        <v>0</v>
      </c>
      <c r="P347" s="78">
        <v>0</v>
      </c>
      <c r="Q347" s="79">
        <v>0</v>
      </c>
      <c r="R347" s="77" t="s">
        <v>394</v>
      </c>
      <c r="S347" s="77">
        <v>7414000005</v>
      </c>
      <c r="AB347"/>
      <c r="AC347"/>
    </row>
    <row r="348" spans="2:29" x14ac:dyDescent="0.25">
      <c r="B348">
        <v>0</v>
      </c>
      <c r="F348">
        <v>0</v>
      </c>
      <c r="P348" s="78">
        <v>0</v>
      </c>
      <c r="Q348" s="79">
        <v>0</v>
      </c>
      <c r="R348" s="77" t="s">
        <v>394</v>
      </c>
      <c r="S348" s="77">
        <v>7414000005</v>
      </c>
      <c r="AB348"/>
      <c r="AC348"/>
    </row>
    <row r="349" spans="2:29" x14ac:dyDescent="0.25">
      <c r="B349">
        <v>0</v>
      </c>
      <c r="F349">
        <v>0</v>
      </c>
      <c r="P349" s="78">
        <v>0</v>
      </c>
      <c r="Q349" s="79">
        <v>0</v>
      </c>
      <c r="R349" s="77" t="s">
        <v>394</v>
      </c>
      <c r="S349" s="77">
        <v>7414000005</v>
      </c>
      <c r="AB349"/>
      <c r="AC349"/>
    </row>
    <row r="350" spans="2:29" x14ac:dyDescent="0.25">
      <c r="B350">
        <v>0</v>
      </c>
      <c r="F350">
        <v>0</v>
      </c>
      <c r="P350" s="78">
        <v>0</v>
      </c>
      <c r="Q350" s="79">
        <v>0</v>
      </c>
      <c r="R350" s="77" t="s">
        <v>394</v>
      </c>
      <c r="S350" s="77">
        <v>7414000005</v>
      </c>
      <c r="AB350"/>
      <c r="AC350"/>
    </row>
    <row r="351" spans="2:29" x14ac:dyDescent="0.25">
      <c r="B351">
        <v>0</v>
      </c>
      <c r="F351">
        <v>0</v>
      </c>
      <c r="P351" s="78">
        <v>0</v>
      </c>
      <c r="Q351" s="79">
        <v>0</v>
      </c>
      <c r="R351" s="77" t="s">
        <v>394</v>
      </c>
      <c r="S351" s="77">
        <v>7414000005</v>
      </c>
      <c r="AB351"/>
      <c r="AC351"/>
    </row>
    <row r="352" spans="2:29" x14ac:dyDescent="0.25">
      <c r="B352">
        <v>0</v>
      </c>
      <c r="F352">
        <v>0</v>
      </c>
      <c r="P352" s="78">
        <v>0</v>
      </c>
      <c r="Q352" s="79">
        <v>0</v>
      </c>
      <c r="R352" s="77" t="s">
        <v>394</v>
      </c>
      <c r="S352" s="77">
        <v>7414000005</v>
      </c>
      <c r="AB352"/>
      <c r="AC352"/>
    </row>
    <row r="353" spans="2:29" x14ac:dyDescent="0.25">
      <c r="B353">
        <v>0</v>
      </c>
      <c r="F353">
        <v>0</v>
      </c>
      <c r="P353" s="78">
        <v>156</v>
      </c>
      <c r="Q353" s="79">
        <v>1477265.2603800001</v>
      </c>
      <c r="R353" s="77" t="s">
        <v>394</v>
      </c>
      <c r="S353" s="77">
        <v>7414000005</v>
      </c>
      <c r="AB353"/>
      <c r="AC353"/>
    </row>
    <row r="354" spans="2:29" x14ac:dyDescent="0.25">
      <c r="B354">
        <v>0</v>
      </c>
      <c r="F354">
        <v>0</v>
      </c>
      <c r="P354" s="78">
        <v>200000</v>
      </c>
      <c r="Q354" s="79">
        <v>20000011.199999999</v>
      </c>
      <c r="R354" s="77" t="s">
        <v>394</v>
      </c>
      <c r="S354" s="77">
        <v>7414000005</v>
      </c>
      <c r="AB354"/>
      <c r="AC354"/>
    </row>
    <row r="355" spans="2:29" x14ac:dyDescent="0.25">
      <c r="B355">
        <v>0</v>
      </c>
      <c r="F355">
        <v>0</v>
      </c>
      <c r="P355" s="78">
        <v>118580</v>
      </c>
      <c r="Q355" s="79">
        <v>11858057.392720001</v>
      </c>
      <c r="R355" s="77" t="s">
        <v>394</v>
      </c>
      <c r="S355" s="77">
        <v>7414000005</v>
      </c>
      <c r="AB355"/>
      <c r="AC355"/>
    </row>
    <row r="356" spans="2:29" x14ac:dyDescent="0.25">
      <c r="B356">
        <v>0</v>
      </c>
      <c r="F356">
        <v>0</v>
      </c>
      <c r="P356" s="78">
        <v>71101</v>
      </c>
      <c r="Q356" s="79">
        <v>7093345.6181579996</v>
      </c>
      <c r="R356" s="77" t="s">
        <v>394</v>
      </c>
      <c r="S356" s="77">
        <v>7414000005</v>
      </c>
      <c r="AB356"/>
      <c r="AC356"/>
    </row>
    <row r="357" spans="2:29" x14ac:dyDescent="0.25">
      <c r="B357">
        <v>0</v>
      </c>
      <c r="F357">
        <v>0</v>
      </c>
      <c r="P357" s="78">
        <v>174270</v>
      </c>
      <c r="Q357" s="79">
        <v>17362519.577190001</v>
      </c>
      <c r="R357" s="77" t="s">
        <v>394</v>
      </c>
      <c r="S357" s="77">
        <v>7414000005</v>
      </c>
      <c r="AB357"/>
      <c r="AC357"/>
    </row>
    <row r="358" spans="2:29" x14ac:dyDescent="0.25">
      <c r="B358">
        <v>0</v>
      </c>
      <c r="F358">
        <v>0</v>
      </c>
      <c r="P358" s="78">
        <v>25593</v>
      </c>
      <c r="Q358" s="79">
        <v>2353821.6600509998</v>
      </c>
      <c r="R358" s="77" t="s">
        <v>394</v>
      </c>
      <c r="S358" s="77">
        <v>7414000005</v>
      </c>
      <c r="AB358"/>
      <c r="AC358"/>
    </row>
    <row r="359" spans="2:29" x14ac:dyDescent="0.25">
      <c r="B359">
        <v>0</v>
      </c>
      <c r="F359">
        <v>0</v>
      </c>
      <c r="P359" s="78">
        <v>59819</v>
      </c>
      <c r="Q359" s="79">
        <v>5841589.8097989997</v>
      </c>
      <c r="R359" s="77" t="s">
        <v>394</v>
      </c>
      <c r="S359" s="77">
        <v>7414000005</v>
      </c>
      <c r="AB359"/>
      <c r="AC359"/>
    </row>
    <row r="360" spans="2:29" x14ac:dyDescent="0.25">
      <c r="B360">
        <v>0</v>
      </c>
      <c r="F360">
        <v>0</v>
      </c>
      <c r="P360" s="78">
        <v>67470</v>
      </c>
      <c r="Q360" s="79">
        <v>6670033.4625599999</v>
      </c>
      <c r="R360" s="77" t="s">
        <v>394</v>
      </c>
      <c r="S360" s="77">
        <v>7414000005</v>
      </c>
      <c r="AB360"/>
      <c r="AC360"/>
    </row>
    <row r="361" spans="2:29" x14ac:dyDescent="0.25">
      <c r="B361">
        <v>0</v>
      </c>
      <c r="F361">
        <v>0</v>
      </c>
      <c r="P361" s="78">
        <v>2500000</v>
      </c>
      <c r="Q361" s="79">
        <v>24656807.5</v>
      </c>
      <c r="R361" s="77" t="s">
        <v>394</v>
      </c>
      <c r="S361" s="77">
        <v>7414000005</v>
      </c>
      <c r="AB361"/>
      <c r="AC361"/>
    </row>
    <row r="362" spans="2:29" x14ac:dyDescent="0.25">
      <c r="B362">
        <v>0</v>
      </c>
      <c r="F362">
        <v>0</v>
      </c>
      <c r="P362" s="78">
        <v>2975681</v>
      </c>
      <c r="Q362" s="79">
        <v>27787394.214003</v>
      </c>
      <c r="R362" s="77" t="s">
        <v>394</v>
      </c>
      <c r="S362" s="77">
        <v>7414000005</v>
      </c>
      <c r="AB362"/>
      <c r="AC362"/>
    </row>
    <row r="363" spans="2:29" x14ac:dyDescent="0.25">
      <c r="B363">
        <v>0</v>
      </c>
      <c r="F363">
        <v>0</v>
      </c>
      <c r="P363" s="78">
        <v>6929010</v>
      </c>
      <c r="Q363" s="79">
        <v>63678551.174369998</v>
      </c>
      <c r="R363" s="77" t="s">
        <v>394</v>
      </c>
      <c r="S363" s="77">
        <v>7414000005</v>
      </c>
      <c r="AB363"/>
      <c r="AC363"/>
    </row>
    <row r="364" spans="2:29" x14ac:dyDescent="0.25">
      <c r="B364">
        <v>0</v>
      </c>
      <c r="F364">
        <v>0</v>
      </c>
      <c r="P364" s="78">
        <v>3440000</v>
      </c>
      <c r="Q364" s="79">
        <v>31248856.800000001</v>
      </c>
      <c r="R364" s="77" t="s">
        <v>394</v>
      </c>
      <c r="S364" s="77">
        <v>7414000005</v>
      </c>
      <c r="AB364"/>
      <c r="AC364"/>
    </row>
    <row r="365" spans="2:29" x14ac:dyDescent="0.25">
      <c r="B365">
        <v>0</v>
      </c>
      <c r="F365">
        <v>0</v>
      </c>
      <c r="P365" s="78">
        <v>1842650</v>
      </c>
      <c r="Q365" s="79">
        <v>16604576.1272</v>
      </c>
      <c r="R365" s="77" t="s">
        <v>394</v>
      </c>
      <c r="S365" s="77">
        <v>7414000005</v>
      </c>
      <c r="AB365"/>
      <c r="AC365"/>
    </row>
    <row r="366" spans="2:29" x14ac:dyDescent="0.25">
      <c r="B366">
        <v>0</v>
      </c>
      <c r="F366">
        <v>0</v>
      </c>
      <c r="P366" s="78">
        <v>10000000</v>
      </c>
      <c r="Q366" s="79">
        <v>85044190</v>
      </c>
      <c r="R366" s="77" t="s">
        <v>394</v>
      </c>
      <c r="S366" s="77">
        <v>7414000005</v>
      </c>
      <c r="AB366"/>
      <c r="AC366"/>
    </row>
    <row r="367" spans="2:29" x14ac:dyDescent="0.25">
      <c r="B367">
        <v>0</v>
      </c>
      <c r="F367">
        <v>0</v>
      </c>
      <c r="P367" s="78">
        <v>3836130</v>
      </c>
      <c r="Q367" s="79">
        <v>32151952.011629999</v>
      </c>
      <c r="R367" s="77" t="s">
        <v>394</v>
      </c>
      <c r="S367" s="77">
        <v>7414000005</v>
      </c>
      <c r="AB367"/>
      <c r="AC367"/>
    </row>
    <row r="368" spans="2:29" x14ac:dyDescent="0.25">
      <c r="B368">
        <v>0</v>
      </c>
      <c r="F368">
        <v>0</v>
      </c>
      <c r="P368" s="78">
        <v>4472190</v>
      </c>
      <c r="Q368" s="79">
        <v>36931635.712350003</v>
      </c>
      <c r="R368" s="77" t="s">
        <v>394</v>
      </c>
      <c r="S368" s="77">
        <v>7414000005</v>
      </c>
      <c r="AB368"/>
      <c r="AC368"/>
    </row>
    <row r="369" spans="2:29" x14ac:dyDescent="0.25">
      <c r="B369">
        <v>0</v>
      </c>
      <c r="F369">
        <v>0</v>
      </c>
      <c r="P369" s="78">
        <v>315960</v>
      </c>
      <c r="Q369" s="79">
        <v>29462772.678959999</v>
      </c>
      <c r="R369" s="77" t="s">
        <v>394</v>
      </c>
      <c r="S369" s="77">
        <v>7414000005</v>
      </c>
      <c r="AB369"/>
      <c r="AC369"/>
    </row>
    <row r="370" spans="2:29" x14ac:dyDescent="0.25">
      <c r="B370">
        <v>0</v>
      </c>
      <c r="F370">
        <v>0</v>
      </c>
      <c r="P370" s="78">
        <v>7195</v>
      </c>
      <c r="Q370" s="79">
        <v>5357683.5049000001</v>
      </c>
      <c r="R370" s="77" t="s">
        <v>394</v>
      </c>
      <c r="S370" s="77">
        <v>7414000005</v>
      </c>
      <c r="AB370"/>
      <c r="AC370"/>
    </row>
    <row r="371" spans="2:29" x14ac:dyDescent="0.25">
      <c r="B371">
        <v>0</v>
      </c>
      <c r="F371">
        <v>0</v>
      </c>
      <c r="P371" s="78">
        <v>170000</v>
      </c>
      <c r="Q371" s="79">
        <v>12285936.550000001</v>
      </c>
      <c r="R371" s="77" t="s">
        <v>394</v>
      </c>
      <c r="S371" s="77">
        <v>7414000005</v>
      </c>
      <c r="AB371"/>
      <c r="AC371"/>
    </row>
    <row r="372" spans="2:29" x14ac:dyDescent="0.25">
      <c r="B372">
        <v>0</v>
      </c>
      <c r="F372">
        <v>0</v>
      </c>
      <c r="P372" s="78">
        <v>339985</v>
      </c>
      <c r="Q372" s="79">
        <v>33998213.73263</v>
      </c>
      <c r="R372" s="77" t="s">
        <v>394</v>
      </c>
      <c r="S372" s="77">
        <v>7414000005</v>
      </c>
      <c r="AB372"/>
      <c r="AC372"/>
    </row>
    <row r="373" spans="2:29" x14ac:dyDescent="0.25">
      <c r="B373">
        <v>0</v>
      </c>
      <c r="F373">
        <v>0</v>
      </c>
      <c r="P373" s="78">
        <v>0</v>
      </c>
      <c r="Q373" s="79">
        <v>75048349.030000001</v>
      </c>
      <c r="R373" s="77" t="s">
        <v>394</v>
      </c>
      <c r="S373" s="77">
        <v>7414000005</v>
      </c>
      <c r="AB373"/>
      <c r="AC373"/>
    </row>
    <row r="374" spans="2:29" x14ac:dyDescent="0.25">
      <c r="B374">
        <v>0</v>
      </c>
      <c r="F374">
        <v>0</v>
      </c>
      <c r="P374" s="78">
        <v>122020</v>
      </c>
      <c r="Q374" s="79">
        <v>12197517.5953</v>
      </c>
      <c r="R374" s="77" t="s">
        <v>394</v>
      </c>
      <c r="S374" s="77">
        <v>7414000005</v>
      </c>
      <c r="AB374"/>
      <c r="AC374"/>
    </row>
    <row r="375" spans="2:29" x14ac:dyDescent="0.25">
      <c r="B375">
        <v>0</v>
      </c>
      <c r="F375">
        <v>0</v>
      </c>
      <c r="P375" s="78">
        <v>24263</v>
      </c>
      <c r="Q375" s="79">
        <v>7454260.8082370004</v>
      </c>
      <c r="R375" s="77" t="s">
        <v>394</v>
      </c>
      <c r="S375" s="77">
        <v>7414000005</v>
      </c>
      <c r="AB375"/>
      <c r="AC375"/>
    </row>
    <row r="376" spans="2:29" x14ac:dyDescent="0.25">
      <c r="B376">
        <v>0</v>
      </c>
      <c r="F376">
        <v>0</v>
      </c>
      <c r="P376" s="78">
        <v>2320</v>
      </c>
      <c r="Q376" s="79">
        <v>232048.46247999999</v>
      </c>
      <c r="R376" s="77" t="s">
        <v>394</v>
      </c>
      <c r="S376" s="77">
        <v>7414000005</v>
      </c>
      <c r="AB376"/>
      <c r="AC376"/>
    </row>
    <row r="377" spans="2:29" x14ac:dyDescent="0.25">
      <c r="B377">
        <v>0</v>
      </c>
      <c r="F377">
        <v>0</v>
      </c>
      <c r="P377" s="78">
        <v>53861</v>
      </c>
      <c r="Q377" s="79">
        <v>5317715.3274889998</v>
      </c>
      <c r="R377" s="77" t="s">
        <v>394</v>
      </c>
      <c r="S377" s="77">
        <v>7414000005</v>
      </c>
      <c r="AB377"/>
      <c r="AC377"/>
    </row>
    <row r="378" spans="2:29" x14ac:dyDescent="0.25">
      <c r="B378">
        <v>0</v>
      </c>
      <c r="F378">
        <v>0</v>
      </c>
      <c r="P378" s="78">
        <v>40037</v>
      </c>
      <c r="Q378" s="79">
        <v>3973572.077426</v>
      </c>
      <c r="R378" s="77" t="s">
        <v>394</v>
      </c>
      <c r="S378" s="77">
        <v>7414000005</v>
      </c>
      <c r="AB378"/>
      <c r="AC378"/>
    </row>
    <row r="379" spans="2:29" x14ac:dyDescent="0.25">
      <c r="B379">
        <v>0</v>
      </c>
      <c r="F379">
        <v>0</v>
      </c>
      <c r="P379" s="78">
        <v>89801</v>
      </c>
      <c r="Q379" s="79">
        <v>8528683.5737469997</v>
      </c>
      <c r="R379" s="77" t="s">
        <v>394</v>
      </c>
      <c r="S379" s="77">
        <v>7414000005</v>
      </c>
      <c r="AB379"/>
      <c r="AC379"/>
    </row>
    <row r="380" spans="2:29" x14ac:dyDescent="0.25">
      <c r="B380">
        <v>0</v>
      </c>
      <c r="F380">
        <v>0</v>
      </c>
      <c r="P380" s="78">
        <v>148267</v>
      </c>
      <c r="Q380" s="79">
        <v>13627489.964206999</v>
      </c>
      <c r="R380" s="77" t="s">
        <v>394</v>
      </c>
      <c r="S380" s="77">
        <v>7414000005</v>
      </c>
      <c r="AB380"/>
      <c r="AC380"/>
    </row>
    <row r="381" spans="2:29" x14ac:dyDescent="0.25">
      <c r="B381">
        <v>0</v>
      </c>
      <c r="F381">
        <v>0</v>
      </c>
      <c r="P381" s="78">
        <v>436390</v>
      </c>
      <c r="Q381" s="79">
        <v>40564415.564170003</v>
      </c>
      <c r="R381" s="77" t="s">
        <v>394</v>
      </c>
      <c r="S381" s="77">
        <v>7414000005</v>
      </c>
      <c r="AB381"/>
      <c r="AC381"/>
    </row>
    <row r="382" spans="2:29" x14ac:dyDescent="0.25">
      <c r="B382">
        <v>0</v>
      </c>
      <c r="F382">
        <v>0</v>
      </c>
      <c r="P382" s="78">
        <v>235182</v>
      </c>
      <c r="Q382" s="79">
        <v>20860201.963385999</v>
      </c>
      <c r="R382" s="77" t="s">
        <v>394</v>
      </c>
      <c r="S382" s="77">
        <v>7414000005</v>
      </c>
      <c r="AB382"/>
      <c r="AC382"/>
    </row>
    <row r="383" spans="2:29" x14ac:dyDescent="0.25">
      <c r="B383">
        <v>0</v>
      </c>
      <c r="F383">
        <v>0</v>
      </c>
      <c r="P383" s="78">
        <v>183660</v>
      </c>
      <c r="Q383" s="79">
        <v>17138084.502719998</v>
      </c>
      <c r="R383" s="77" t="s">
        <v>394</v>
      </c>
      <c r="S383" s="77">
        <v>7414000005</v>
      </c>
      <c r="AB383"/>
      <c r="AC383"/>
    </row>
    <row r="384" spans="2:29" x14ac:dyDescent="0.25">
      <c r="B384">
        <v>0</v>
      </c>
      <c r="F384">
        <v>0</v>
      </c>
      <c r="P384" s="78">
        <v>166000</v>
      </c>
      <c r="Q384" s="79">
        <v>15747451.888</v>
      </c>
      <c r="R384" s="77" t="s">
        <v>394</v>
      </c>
      <c r="S384" s="77">
        <v>7414000005</v>
      </c>
      <c r="AB384"/>
      <c r="AC384"/>
    </row>
    <row r="385" spans="2:29" x14ac:dyDescent="0.25">
      <c r="B385">
        <v>0</v>
      </c>
      <c r="F385">
        <v>0</v>
      </c>
      <c r="P385" s="78">
        <v>701874</v>
      </c>
      <c r="Q385" s="79">
        <v>66586896.574217997</v>
      </c>
      <c r="R385" s="77" t="s">
        <v>394</v>
      </c>
      <c r="S385" s="77">
        <v>7414000005</v>
      </c>
      <c r="AB385"/>
      <c r="AC385"/>
    </row>
    <row r="386" spans="2:29" x14ac:dyDescent="0.25">
      <c r="B386">
        <v>0</v>
      </c>
      <c r="F386">
        <v>0</v>
      </c>
      <c r="P386" s="78">
        <v>653249</v>
      </c>
      <c r="Q386" s="79">
        <v>58458903.521784998</v>
      </c>
      <c r="R386" s="77" t="s">
        <v>394</v>
      </c>
      <c r="S386" s="77">
        <v>7414000005</v>
      </c>
      <c r="AB386"/>
      <c r="AC386"/>
    </row>
    <row r="387" spans="2:29" x14ac:dyDescent="0.25">
      <c r="B387">
        <v>0</v>
      </c>
      <c r="F387">
        <v>0</v>
      </c>
      <c r="P387" s="78">
        <v>584310</v>
      </c>
      <c r="Q387" s="79">
        <v>50365843.861680001</v>
      </c>
      <c r="R387" s="77" t="s">
        <v>394</v>
      </c>
      <c r="S387" s="77">
        <v>7414000005</v>
      </c>
      <c r="AB387"/>
      <c r="AC387"/>
    </row>
    <row r="388" spans="2:29" x14ac:dyDescent="0.25">
      <c r="B388">
        <v>0</v>
      </c>
      <c r="F388">
        <v>0</v>
      </c>
      <c r="P388" s="78">
        <v>240000</v>
      </c>
      <c r="Q388" s="79">
        <v>24050547.600000001</v>
      </c>
      <c r="R388" s="77" t="s">
        <v>394</v>
      </c>
      <c r="S388" s="77">
        <v>7414000005</v>
      </c>
      <c r="AB388"/>
      <c r="AC388"/>
    </row>
    <row r="389" spans="2:29" x14ac:dyDescent="0.25">
      <c r="B389">
        <v>0</v>
      </c>
      <c r="F389">
        <v>0</v>
      </c>
      <c r="P389" s="78">
        <v>120000</v>
      </c>
      <c r="Q389" s="79">
        <v>11999902.199999999</v>
      </c>
      <c r="R389" s="77" t="s">
        <v>394</v>
      </c>
      <c r="S389" s="77">
        <v>7414000005</v>
      </c>
      <c r="AB389"/>
      <c r="AC389"/>
    </row>
    <row r="390" spans="2:29" x14ac:dyDescent="0.25">
      <c r="B390">
        <v>0</v>
      </c>
      <c r="F390">
        <v>0</v>
      </c>
      <c r="P390" s="78">
        <v>2058365</v>
      </c>
      <c r="Q390" s="79">
        <v>6991796.5977800004</v>
      </c>
      <c r="R390" s="77" t="s">
        <v>394</v>
      </c>
      <c r="S390" s="77">
        <v>7414000005</v>
      </c>
      <c r="AB390"/>
      <c r="AC390"/>
    </row>
    <row r="391" spans="2:29" x14ac:dyDescent="0.25">
      <c r="B391">
        <v>0</v>
      </c>
      <c r="F391">
        <v>0</v>
      </c>
      <c r="P391" s="78">
        <v>36518</v>
      </c>
      <c r="Q391" s="79">
        <v>9753078.9578120001</v>
      </c>
      <c r="R391" s="77" t="s">
        <v>394</v>
      </c>
      <c r="S391" s="77">
        <v>7414000005</v>
      </c>
      <c r="AB391"/>
      <c r="AC391"/>
    </row>
    <row r="392" spans="2:29" x14ac:dyDescent="0.25">
      <c r="B392">
        <v>0</v>
      </c>
      <c r="F392">
        <v>0</v>
      </c>
      <c r="P392" s="78">
        <v>84090</v>
      </c>
      <c r="Q392" s="79">
        <v>65227922.368830003</v>
      </c>
      <c r="R392" s="77" t="s">
        <v>394</v>
      </c>
      <c r="S392" s="77">
        <v>7414000005</v>
      </c>
      <c r="AB392"/>
      <c r="AC392"/>
    </row>
    <row r="393" spans="2:29" x14ac:dyDescent="0.25">
      <c r="B393">
        <v>0</v>
      </c>
      <c r="F393">
        <v>0</v>
      </c>
      <c r="P393" s="78">
        <v>160215</v>
      </c>
      <c r="Q393" s="79">
        <v>119709192.48288</v>
      </c>
      <c r="R393" s="77" t="s">
        <v>394</v>
      </c>
      <c r="S393" s="77">
        <v>7414000005</v>
      </c>
      <c r="AB393"/>
      <c r="AC393"/>
    </row>
    <row r="394" spans="2:29" x14ac:dyDescent="0.25">
      <c r="B394">
        <v>0</v>
      </c>
      <c r="F394">
        <v>0</v>
      </c>
      <c r="P394" s="78">
        <v>63926</v>
      </c>
      <c r="Q394" s="79">
        <v>48962450.144657999</v>
      </c>
      <c r="R394" s="77" t="s">
        <v>394</v>
      </c>
      <c r="S394" s="77">
        <v>7414000005</v>
      </c>
      <c r="AB394"/>
      <c r="AC394"/>
    </row>
    <row r="395" spans="2:29" x14ac:dyDescent="0.25">
      <c r="B395">
        <v>0</v>
      </c>
      <c r="F395">
        <v>0</v>
      </c>
      <c r="P395" s="78">
        <v>58619</v>
      </c>
      <c r="Q395" s="79">
        <v>40147517.552801996</v>
      </c>
      <c r="R395" s="77" t="s">
        <v>394</v>
      </c>
      <c r="S395" s="77">
        <v>7414000005</v>
      </c>
      <c r="AB395"/>
      <c r="AC395"/>
    </row>
    <row r="396" spans="2:29" x14ac:dyDescent="0.25">
      <c r="B396">
        <v>0</v>
      </c>
      <c r="F396">
        <v>0</v>
      </c>
      <c r="P396" s="78">
        <v>75940</v>
      </c>
      <c r="Q396" s="79">
        <v>7597229.5003800001</v>
      </c>
      <c r="R396" s="77" t="s">
        <v>394</v>
      </c>
      <c r="S396" s="77">
        <v>7414000005</v>
      </c>
      <c r="AB396"/>
      <c r="AC396"/>
    </row>
    <row r="397" spans="2:29" x14ac:dyDescent="0.25">
      <c r="B397">
        <v>0</v>
      </c>
      <c r="F397">
        <v>0</v>
      </c>
      <c r="P397" s="78">
        <v>0</v>
      </c>
      <c r="Q397" s="79">
        <v>4492036.28</v>
      </c>
      <c r="R397" s="77" t="s">
        <v>394</v>
      </c>
      <c r="S397" s="77">
        <v>7414000005</v>
      </c>
      <c r="AB397"/>
      <c r="AC397"/>
    </row>
    <row r="398" spans="2:29" x14ac:dyDescent="0.25">
      <c r="B398">
        <v>0</v>
      </c>
      <c r="F398">
        <v>0</v>
      </c>
      <c r="P398" s="78">
        <v>0</v>
      </c>
      <c r="Q398" s="79">
        <v>0</v>
      </c>
      <c r="R398" s="77" t="s">
        <v>394</v>
      </c>
      <c r="S398" s="77">
        <v>7414000005</v>
      </c>
      <c r="AB398"/>
      <c r="AC398"/>
    </row>
    <row r="399" spans="2:29" x14ac:dyDescent="0.25">
      <c r="B399">
        <v>0</v>
      </c>
      <c r="F399">
        <v>0</v>
      </c>
      <c r="P399" s="78">
        <v>0</v>
      </c>
      <c r="Q399" s="79">
        <v>0</v>
      </c>
      <c r="R399" s="77" t="s">
        <v>394</v>
      </c>
      <c r="S399" s="77">
        <v>7414000005</v>
      </c>
      <c r="AB399"/>
      <c r="AC399"/>
    </row>
    <row r="400" spans="2:29" x14ac:dyDescent="0.25">
      <c r="B400">
        <v>0</v>
      </c>
      <c r="F400">
        <v>0</v>
      </c>
      <c r="P400" s="78">
        <v>0</v>
      </c>
      <c r="Q400" s="79">
        <v>0</v>
      </c>
      <c r="R400" s="77" t="s">
        <v>394</v>
      </c>
      <c r="S400" s="77">
        <v>7414000005</v>
      </c>
      <c r="AB400"/>
      <c r="AC400"/>
    </row>
    <row r="401" spans="2:29" x14ac:dyDescent="0.25">
      <c r="B401">
        <v>0</v>
      </c>
      <c r="F401">
        <v>0</v>
      </c>
      <c r="P401" s="78">
        <v>0</v>
      </c>
      <c r="Q401" s="79">
        <v>0</v>
      </c>
      <c r="R401" s="77" t="s">
        <v>394</v>
      </c>
      <c r="S401" s="77">
        <v>7414000005</v>
      </c>
      <c r="AB401"/>
      <c r="AC401"/>
    </row>
    <row r="402" spans="2:29" x14ac:dyDescent="0.25">
      <c r="B402">
        <v>0</v>
      </c>
      <c r="F402">
        <v>0</v>
      </c>
      <c r="P402" s="78">
        <v>10262296</v>
      </c>
      <c r="Q402" s="79">
        <v>32195624.158808</v>
      </c>
      <c r="R402" s="77" t="s">
        <v>394</v>
      </c>
      <c r="S402" s="77">
        <v>7414000005</v>
      </c>
      <c r="AB402"/>
      <c r="AC402"/>
    </row>
    <row r="403" spans="2:29" x14ac:dyDescent="0.25">
      <c r="B403">
        <v>0</v>
      </c>
      <c r="F403">
        <v>0</v>
      </c>
      <c r="P403" s="78">
        <v>7751406</v>
      </c>
      <c r="Q403" s="79">
        <v>26358687.108624</v>
      </c>
      <c r="R403" s="77" t="s">
        <v>394</v>
      </c>
      <c r="S403" s="77">
        <v>7414000005</v>
      </c>
      <c r="AB403"/>
      <c r="AC403"/>
    </row>
    <row r="404" spans="2:29" x14ac:dyDescent="0.25">
      <c r="B404">
        <v>0</v>
      </c>
      <c r="F404">
        <v>0</v>
      </c>
      <c r="P404" s="78">
        <v>11517763</v>
      </c>
      <c r="Q404" s="79">
        <v>39123214.861036003</v>
      </c>
      <c r="R404" s="77" t="s">
        <v>394</v>
      </c>
      <c r="S404" s="77">
        <v>7414000005</v>
      </c>
      <c r="AB404"/>
      <c r="AC404"/>
    </row>
    <row r="405" spans="2:29" x14ac:dyDescent="0.25">
      <c r="B405">
        <v>0</v>
      </c>
      <c r="F405">
        <v>0</v>
      </c>
      <c r="P405" s="78">
        <v>8864858</v>
      </c>
      <c r="Q405" s="79">
        <v>30111901.438375998</v>
      </c>
      <c r="R405" s="77" t="s">
        <v>394</v>
      </c>
      <c r="S405" s="77">
        <v>7414000005</v>
      </c>
      <c r="AB405"/>
      <c r="AC405"/>
    </row>
    <row r="406" spans="2:29" x14ac:dyDescent="0.25">
      <c r="B406">
        <v>0</v>
      </c>
      <c r="F406">
        <v>0</v>
      </c>
      <c r="P406" s="78">
        <v>1317319</v>
      </c>
      <c r="Q406" s="79">
        <v>4479548.5287760003</v>
      </c>
      <c r="R406" s="77" t="s">
        <v>394</v>
      </c>
      <c r="S406" s="77">
        <v>7414000005</v>
      </c>
      <c r="AB406"/>
      <c r="AC406"/>
    </row>
    <row r="407" spans="2:29" x14ac:dyDescent="0.25">
      <c r="B407">
        <v>0</v>
      </c>
      <c r="F407">
        <v>0</v>
      </c>
      <c r="P407" s="78">
        <v>1154409</v>
      </c>
      <c r="Q407" s="79">
        <v>3925572.4221359999</v>
      </c>
      <c r="R407" s="77" t="s">
        <v>394</v>
      </c>
      <c r="S407" s="77">
        <v>7414000005</v>
      </c>
      <c r="AB407"/>
      <c r="AC407"/>
    </row>
    <row r="408" spans="2:29" x14ac:dyDescent="0.25">
      <c r="B408">
        <v>0</v>
      </c>
      <c r="F408">
        <v>0</v>
      </c>
      <c r="P408" s="78">
        <v>4543958</v>
      </c>
      <c r="Q408" s="79">
        <v>15451747.354831999</v>
      </c>
      <c r="R408" s="77" t="s">
        <v>394</v>
      </c>
      <c r="S408" s="77">
        <v>7414000005</v>
      </c>
      <c r="AB408"/>
      <c r="AC408"/>
    </row>
    <row r="409" spans="2:29" x14ac:dyDescent="0.25">
      <c r="B409">
        <v>0</v>
      </c>
      <c r="F409">
        <v>0</v>
      </c>
      <c r="P409" s="78">
        <v>12948845</v>
      </c>
      <c r="Q409" s="79">
        <v>44032599.217880003</v>
      </c>
      <c r="R409" s="77" t="s">
        <v>394</v>
      </c>
      <c r="S409" s="77">
        <v>7414000005</v>
      </c>
      <c r="AB409"/>
      <c r="AC409"/>
    </row>
    <row r="410" spans="2:29" x14ac:dyDescent="0.25">
      <c r="B410">
        <v>0</v>
      </c>
      <c r="F410">
        <v>0</v>
      </c>
      <c r="P410" s="78">
        <v>241684</v>
      </c>
      <c r="Q410" s="79">
        <v>821847.40873599995</v>
      </c>
      <c r="R410" s="77" t="s">
        <v>394</v>
      </c>
      <c r="S410" s="77">
        <v>7414000005</v>
      </c>
      <c r="AB410"/>
      <c r="AC410"/>
    </row>
    <row r="411" spans="2:29" x14ac:dyDescent="0.25">
      <c r="B411">
        <v>0</v>
      </c>
      <c r="F411">
        <v>0</v>
      </c>
      <c r="P411" s="78">
        <v>868633</v>
      </c>
      <c r="Q411" s="79">
        <v>2953789.9910320002</v>
      </c>
      <c r="R411" s="77" t="s">
        <v>394</v>
      </c>
      <c r="S411" s="77">
        <v>7414000005</v>
      </c>
      <c r="AB411"/>
      <c r="AC411"/>
    </row>
    <row r="412" spans="2:29" x14ac:dyDescent="0.25">
      <c r="B412">
        <v>0</v>
      </c>
      <c r="F412">
        <v>0</v>
      </c>
      <c r="P412" s="78">
        <v>1019962</v>
      </c>
      <c r="Q412" s="79">
        <v>3468384.8608479998</v>
      </c>
      <c r="R412" s="77" t="s">
        <v>394</v>
      </c>
      <c r="S412" s="77">
        <v>7414000005</v>
      </c>
      <c r="AB412"/>
      <c r="AC412"/>
    </row>
    <row r="413" spans="2:29" x14ac:dyDescent="0.25">
      <c r="B413">
        <v>0</v>
      </c>
      <c r="F413">
        <v>0</v>
      </c>
      <c r="P413" s="78">
        <v>1029558</v>
      </c>
      <c r="Q413" s="79">
        <v>3501016.097232</v>
      </c>
      <c r="R413" s="77" t="s">
        <v>394</v>
      </c>
      <c r="S413" s="77">
        <v>7414000005</v>
      </c>
      <c r="AB413"/>
      <c r="AC413"/>
    </row>
    <row r="414" spans="2:29" x14ac:dyDescent="0.25">
      <c r="B414">
        <v>0</v>
      </c>
      <c r="F414">
        <v>0</v>
      </c>
      <c r="P414" s="78">
        <v>390490</v>
      </c>
      <c r="Q414" s="79">
        <v>1327862.80696</v>
      </c>
      <c r="R414" s="77" t="s">
        <v>394</v>
      </c>
      <c r="S414" s="77">
        <v>7414000005</v>
      </c>
      <c r="AB414"/>
      <c r="AC414"/>
    </row>
    <row r="415" spans="2:29" x14ac:dyDescent="0.25">
      <c r="B415">
        <v>0</v>
      </c>
      <c r="F415">
        <v>0</v>
      </c>
      <c r="P415" s="78">
        <v>675518</v>
      </c>
      <c r="Q415" s="79">
        <v>2297101.6610719999</v>
      </c>
      <c r="R415" s="77" t="s">
        <v>394</v>
      </c>
      <c r="S415" s="77">
        <v>7414000005</v>
      </c>
      <c r="AB415"/>
      <c r="AC415"/>
    </row>
    <row r="416" spans="2:29" x14ac:dyDescent="0.25">
      <c r="B416">
        <v>0</v>
      </c>
      <c r="F416">
        <v>0</v>
      </c>
      <c r="P416" s="78">
        <v>35609687</v>
      </c>
      <c r="Q416" s="79">
        <v>120957987.73036399</v>
      </c>
      <c r="R416" s="77" t="s">
        <v>394</v>
      </c>
      <c r="S416" s="77">
        <v>7414000005</v>
      </c>
      <c r="AB416"/>
      <c r="AC416"/>
    </row>
    <row r="417" spans="2:29" x14ac:dyDescent="0.25">
      <c r="B417">
        <v>0</v>
      </c>
      <c r="F417">
        <v>0</v>
      </c>
      <c r="P417" s="78">
        <v>31675440</v>
      </c>
      <c r="Q417" s="79">
        <v>87642204.778080001</v>
      </c>
      <c r="R417" s="77" t="s">
        <v>394</v>
      </c>
      <c r="S417" s="77">
        <v>7414000005</v>
      </c>
      <c r="AB417"/>
      <c r="AC417"/>
    </row>
    <row r="418" spans="2:29" x14ac:dyDescent="0.25">
      <c r="B418">
        <v>0</v>
      </c>
      <c r="F418">
        <v>0</v>
      </c>
      <c r="P418" s="78">
        <v>0</v>
      </c>
      <c r="Q418" s="79">
        <v>0</v>
      </c>
      <c r="R418" s="77" t="s">
        <v>394</v>
      </c>
      <c r="S418" s="77">
        <v>7414000005</v>
      </c>
      <c r="AB418"/>
      <c r="AC418"/>
    </row>
    <row r="419" spans="2:29" x14ac:dyDescent="0.25">
      <c r="B419">
        <v>0</v>
      </c>
      <c r="F419">
        <v>0</v>
      </c>
      <c r="P419" s="78">
        <v>4360000</v>
      </c>
      <c r="Q419" s="79">
        <v>19990059.359999999</v>
      </c>
      <c r="R419" s="77" t="s">
        <v>394</v>
      </c>
      <c r="S419" s="77">
        <v>7414000005</v>
      </c>
      <c r="AB419"/>
      <c r="AC419"/>
    </row>
    <row r="420" spans="2:29" x14ac:dyDescent="0.25">
      <c r="B420">
        <v>0</v>
      </c>
      <c r="F420">
        <v>0</v>
      </c>
      <c r="P420" s="78">
        <v>236719</v>
      </c>
      <c r="Q420" s="79">
        <v>804080.47106799996</v>
      </c>
      <c r="R420" s="77" t="s">
        <v>394</v>
      </c>
      <c r="S420" s="77">
        <v>7414000005</v>
      </c>
      <c r="AB420"/>
      <c r="AC420"/>
    </row>
    <row r="421" spans="2:29" x14ac:dyDescent="0.25">
      <c r="B421">
        <v>0</v>
      </c>
      <c r="F421">
        <v>0</v>
      </c>
      <c r="P421" s="78">
        <v>0</v>
      </c>
      <c r="Q421" s="79">
        <v>0</v>
      </c>
      <c r="R421" s="77" t="s">
        <v>394</v>
      </c>
      <c r="S421" s="77">
        <v>7414000005</v>
      </c>
      <c r="AB421"/>
      <c r="AC421"/>
    </row>
    <row r="422" spans="2:29" x14ac:dyDescent="0.25">
      <c r="B422">
        <v>0</v>
      </c>
      <c r="F422">
        <v>0</v>
      </c>
      <c r="P422" s="78">
        <v>4677092</v>
      </c>
      <c r="Q422" s="79">
        <v>15887015.147024</v>
      </c>
      <c r="R422" s="77" t="s">
        <v>394</v>
      </c>
      <c r="S422" s="77">
        <v>7414000005</v>
      </c>
      <c r="AB422"/>
      <c r="AC422"/>
    </row>
    <row r="423" spans="2:29" x14ac:dyDescent="0.25">
      <c r="B423">
        <v>0</v>
      </c>
      <c r="F423">
        <v>0</v>
      </c>
      <c r="P423" s="78">
        <v>979</v>
      </c>
      <c r="Q423" s="79">
        <v>3537.1083990000002</v>
      </c>
      <c r="R423" s="77" t="s">
        <v>394</v>
      </c>
      <c r="S423" s="77">
        <v>7414000005</v>
      </c>
      <c r="AB423"/>
      <c r="AC423"/>
    </row>
    <row r="424" spans="2:29" x14ac:dyDescent="0.25">
      <c r="B424">
        <v>0</v>
      </c>
      <c r="F424">
        <v>0</v>
      </c>
      <c r="P424" s="78">
        <v>1075</v>
      </c>
      <c r="Q424" s="79">
        <v>147325.43255</v>
      </c>
      <c r="R424" s="77" t="s">
        <v>394</v>
      </c>
      <c r="S424" s="77">
        <v>7414000005</v>
      </c>
      <c r="AB424"/>
      <c r="AC424"/>
    </row>
    <row r="425" spans="2:29" x14ac:dyDescent="0.25">
      <c r="B425">
        <v>0</v>
      </c>
      <c r="F425">
        <v>0</v>
      </c>
      <c r="P425" s="78">
        <v>274107</v>
      </c>
      <c r="Q425" s="79">
        <v>996789.00907200004</v>
      </c>
      <c r="R425" s="77" t="s">
        <v>394</v>
      </c>
      <c r="S425" s="77">
        <v>7414000005</v>
      </c>
      <c r="AB425"/>
      <c r="AC425"/>
    </row>
    <row r="426" spans="2:29" x14ac:dyDescent="0.25">
      <c r="B426">
        <v>0</v>
      </c>
      <c r="F426">
        <v>0</v>
      </c>
      <c r="P426" s="78">
        <v>5899</v>
      </c>
      <c r="Q426" s="79">
        <v>12573.742096</v>
      </c>
      <c r="R426" s="77" t="s">
        <v>394</v>
      </c>
      <c r="S426" s="77">
        <v>7414000005</v>
      </c>
      <c r="AB426"/>
      <c r="AC426"/>
    </row>
    <row r="427" spans="2:29" x14ac:dyDescent="0.25">
      <c r="B427">
        <v>0</v>
      </c>
      <c r="F427">
        <v>0</v>
      </c>
      <c r="P427" s="78">
        <v>61</v>
      </c>
      <c r="Q427" s="79">
        <v>171.71042499999999</v>
      </c>
      <c r="R427" s="77" t="s">
        <v>394</v>
      </c>
      <c r="S427" s="77">
        <v>7414000005</v>
      </c>
      <c r="AB427"/>
      <c r="AC427"/>
    </row>
    <row r="428" spans="2:29" x14ac:dyDescent="0.25">
      <c r="B428">
        <v>0</v>
      </c>
      <c r="F428">
        <v>0</v>
      </c>
      <c r="P428" s="78">
        <v>1190</v>
      </c>
      <c r="Q428" s="79">
        <v>4299.4473900000003</v>
      </c>
      <c r="R428" s="77" t="s">
        <v>394</v>
      </c>
      <c r="S428" s="77">
        <v>7414000005</v>
      </c>
      <c r="AB428"/>
      <c r="AC428"/>
    </row>
    <row r="429" spans="2:29" x14ac:dyDescent="0.25">
      <c r="B429">
        <v>0</v>
      </c>
      <c r="F429">
        <v>0</v>
      </c>
      <c r="P429" s="78">
        <v>177</v>
      </c>
      <c r="Q429" s="79">
        <v>24257.303778000001</v>
      </c>
      <c r="R429" s="77" t="s">
        <v>394</v>
      </c>
      <c r="S429" s="77">
        <v>7414000005</v>
      </c>
      <c r="AB429"/>
      <c r="AC429"/>
    </row>
    <row r="430" spans="2:29" x14ac:dyDescent="0.25">
      <c r="B430">
        <v>0</v>
      </c>
      <c r="F430">
        <v>0</v>
      </c>
      <c r="P430" s="78">
        <v>5490</v>
      </c>
      <c r="Q430" s="79">
        <v>19964.36304</v>
      </c>
      <c r="R430" s="77" t="s">
        <v>394</v>
      </c>
      <c r="S430" s="77">
        <v>7414000005</v>
      </c>
      <c r="AB430"/>
      <c r="AC430"/>
    </row>
    <row r="431" spans="2:29" x14ac:dyDescent="0.25">
      <c r="B431">
        <v>0</v>
      </c>
      <c r="F431">
        <v>0</v>
      </c>
      <c r="P431" s="78">
        <v>170</v>
      </c>
      <c r="Q431" s="79">
        <v>362.35568000000001</v>
      </c>
      <c r="R431" s="77" t="s">
        <v>394</v>
      </c>
      <c r="S431" s="77">
        <v>7414000005</v>
      </c>
      <c r="AB431"/>
      <c r="AC431"/>
    </row>
    <row r="432" spans="2:29" x14ac:dyDescent="0.25">
      <c r="B432">
        <v>0</v>
      </c>
      <c r="F432">
        <v>0</v>
      </c>
      <c r="P432" s="78">
        <v>30</v>
      </c>
      <c r="Q432" s="79">
        <v>84.447749999999999</v>
      </c>
      <c r="R432" s="77" t="s">
        <v>394</v>
      </c>
      <c r="S432" s="77">
        <v>7414000005</v>
      </c>
      <c r="AB432"/>
      <c r="AC432"/>
    </row>
    <row r="433" spans="2:29" x14ac:dyDescent="0.25">
      <c r="B433">
        <v>0</v>
      </c>
      <c r="F433">
        <v>0</v>
      </c>
      <c r="P433" s="78">
        <v>2928</v>
      </c>
      <c r="Q433" s="79">
        <v>10578.808368</v>
      </c>
      <c r="R433" s="77" t="s">
        <v>394</v>
      </c>
      <c r="S433" s="77">
        <v>7414000005</v>
      </c>
      <c r="AB433"/>
      <c r="AC433"/>
    </row>
    <row r="434" spans="2:29" x14ac:dyDescent="0.25">
      <c r="B434">
        <v>0</v>
      </c>
      <c r="F434">
        <v>0</v>
      </c>
      <c r="P434" s="78">
        <v>10753</v>
      </c>
      <c r="Q434" s="79">
        <v>1473665.466242</v>
      </c>
      <c r="R434" s="77" t="s">
        <v>394</v>
      </c>
      <c r="S434" s="77">
        <v>7414000005</v>
      </c>
      <c r="AB434"/>
      <c r="AC434"/>
    </row>
    <row r="435" spans="2:29" x14ac:dyDescent="0.25">
      <c r="B435">
        <v>0</v>
      </c>
      <c r="F435">
        <v>0</v>
      </c>
      <c r="P435" s="78">
        <v>897677</v>
      </c>
      <c r="Q435" s="79">
        <v>3264398.8197920001</v>
      </c>
      <c r="R435" s="77" t="s">
        <v>394</v>
      </c>
      <c r="S435" s="77">
        <v>7414000005</v>
      </c>
      <c r="AB435"/>
      <c r="AC435"/>
    </row>
    <row r="436" spans="2:29" x14ac:dyDescent="0.25">
      <c r="B436">
        <v>0</v>
      </c>
      <c r="F436">
        <v>0</v>
      </c>
      <c r="P436" s="78">
        <v>725104</v>
      </c>
      <c r="Q436" s="79">
        <v>1545562.076416</v>
      </c>
      <c r="R436" s="77" t="s">
        <v>394</v>
      </c>
      <c r="S436" s="77">
        <v>7414000005</v>
      </c>
      <c r="AB436"/>
      <c r="AC436"/>
    </row>
    <row r="437" spans="2:29" x14ac:dyDescent="0.25">
      <c r="B437">
        <v>0</v>
      </c>
      <c r="F437">
        <v>0</v>
      </c>
      <c r="P437" s="78">
        <v>127793</v>
      </c>
      <c r="Q437" s="79">
        <v>359727.710525</v>
      </c>
      <c r="R437" s="77" t="s">
        <v>394</v>
      </c>
      <c r="S437" s="77">
        <v>7414000005</v>
      </c>
      <c r="AB437"/>
      <c r="AC437"/>
    </row>
    <row r="438" spans="2:29" x14ac:dyDescent="0.25">
      <c r="B438">
        <v>0</v>
      </c>
      <c r="F438">
        <v>0</v>
      </c>
      <c r="P438" s="78">
        <v>2640</v>
      </c>
      <c r="Q438" s="79">
        <v>9538.2698400000008</v>
      </c>
      <c r="R438" s="77" t="s">
        <v>394</v>
      </c>
      <c r="S438" s="77">
        <v>7414000005</v>
      </c>
      <c r="AB438"/>
      <c r="AC438"/>
    </row>
    <row r="439" spans="2:29" x14ac:dyDescent="0.25">
      <c r="B439">
        <v>0</v>
      </c>
      <c r="F439">
        <v>0</v>
      </c>
      <c r="P439" s="78">
        <v>4715</v>
      </c>
      <c r="Q439" s="79">
        <v>646176.19950999995</v>
      </c>
      <c r="R439" s="77" t="s">
        <v>394</v>
      </c>
      <c r="S439" s="77">
        <v>7414000005</v>
      </c>
      <c r="AB439"/>
      <c r="AC439"/>
    </row>
    <row r="440" spans="2:29" x14ac:dyDescent="0.25">
      <c r="B440">
        <v>0</v>
      </c>
      <c r="F440">
        <v>0</v>
      </c>
      <c r="P440" s="78">
        <v>411734</v>
      </c>
      <c r="Q440" s="79">
        <v>1497269.044064</v>
      </c>
      <c r="R440" s="77" t="s">
        <v>394</v>
      </c>
      <c r="S440" s="77">
        <v>7414000005</v>
      </c>
      <c r="AB440"/>
      <c r="AC440"/>
    </row>
    <row r="441" spans="2:29" x14ac:dyDescent="0.25">
      <c r="B441">
        <v>0</v>
      </c>
      <c r="F441">
        <v>0</v>
      </c>
      <c r="P441" s="78">
        <v>346839</v>
      </c>
      <c r="Q441" s="79">
        <v>739288.71585599997</v>
      </c>
      <c r="R441" s="77" t="s">
        <v>394</v>
      </c>
      <c r="S441" s="77">
        <v>7414000005</v>
      </c>
      <c r="AB441"/>
      <c r="AC441"/>
    </row>
    <row r="442" spans="2:29" x14ac:dyDescent="0.25">
      <c r="B442">
        <v>0</v>
      </c>
      <c r="F442">
        <v>0</v>
      </c>
      <c r="P442" s="78">
        <v>58183</v>
      </c>
      <c r="Q442" s="79">
        <v>163780.78127499999</v>
      </c>
      <c r="R442" s="77" t="s">
        <v>394</v>
      </c>
      <c r="S442" s="77">
        <v>7414000005</v>
      </c>
      <c r="AB442"/>
      <c r="AC442"/>
    </row>
    <row r="443" spans="2:29" x14ac:dyDescent="0.25">
      <c r="B443">
        <v>0</v>
      </c>
      <c r="F443">
        <v>0</v>
      </c>
      <c r="P443" s="78">
        <v>2826981</v>
      </c>
      <c r="Q443" s="79">
        <v>9602609.9053320009</v>
      </c>
      <c r="R443" s="77" t="s">
        <v>394</v>
      </c>
      <c r="S443" s="77">
        <v>7414000005</v>
      </c>
      <c r="AB443"/>
      <c r="AC443"/>
    </row>
    <row r="444" spans="2:29" x14ac:dyDescent="0.25">
      <c r="B444">
        <v>0</v>
      </c>
      <c r="F444">
        <v>0</v>
      </c>
      <c r="P444" s="78">
        <v>165432</v>
      </c>
      <c r="Q444" s="79">
        <v>642411.16708799999</v>
      </c>
      <c r="R444" s="77" t="s">
        <v>394</v>
      </c>
      <c r="S444" s="77">
        <v>7414000005</v>
      </c>
      <c r="AB444"/>
      <c r="AC444"/>
    </row>
    <row r="445" spans="2:29" x14ac:dyDescent="0.25">
      <c r="B445">
        <v>0</v>
      </c>
      <c r="F445">
        <v>0</v>
      </c>
      <c r="P445" s="78">
        <v>502227</v>
      </c>
      <c r="Q445" s="79">
        <v>1389602.8462139999</v>
      </c>
      <c r="R445" s="77" t="s">
        <v>394</v>
      </c>
      <c r="S445" s="77">
        <v>7414000005</v>
      </c>
      <c r="AB445"/>
      <c r="AC445"/>
    </row>
    <row r="446" spans="2:29" x14ac:dyDescent="0.25">
      <c r="B446">
        <v>0</v>
      </c>
      <c r="F446">
        <v>0</v>
      </c>
      <c r="P446" s="78">
        <v>217</v>
      </c>
      <c r="Q446" s="79">
        <v>737.09952399999997</v>
      </c>
      <c r="R446" s="77" t="s">
        <v>394</v>
      </c>
      <c r="S446" s="77">
        <v>7414000005</v>
      </c>
      <c r="AB446"/>
      <c r="AC446"/>
    </row>
    <row r="447" spans="2:29" x14ac:dyDescent="0.25">
      <c r="B447">
        <v>0</v>
      </c>
      <c r="F447">
        <v>0</v>
      </c>
      <c r="P447" s="78">
        <v>955400</v>
      </c>
      <c r="Q447" s="79">
        <v>3248841.5216000001</v>
      </c>
      <c r="R447" s="77" t="s">
        <v>394</v>
      </c>
      <c r="S447" s="77">
        <v>7414000005</v>
      </c>
      <c r="AB447"/>
      <c r="AC447"/>
    </row>
    <row r="448" spans="2:29" x14ac:dyDescent="0.25">
      <c r="B448">
        <v>0</v>
      </c>
      <c r="F448">
        <v>0</v>
      </c>
      <c r="P448" s="78">
        <v>2050</v>
      </c>
      <c r="Q448" s="79">
        <v>20094334.51385</v>
      </c>
      <c r="R448" s="77" t="s">
        <v>394</v>
      </c>
      <c r="S448" s="77">
        <v>7414000005</v>
      </c>
      <c r="AB448"/>
      <c r="AC448"/>
    </row>
    <row r="449" spans="2:29" x14ac:dyDescent="0.25">
      <c r="B449">
        <v>0</v>
      </c>
      <c r="F449">
        <v>0</v>
      </c>
      <c r="P449" s="78">
        <v>782</v>
      </c>
      <c r="Q449" s="79">
        <v>7405265.60011</v>
      </c>
      <c r="R449" s="77" t="s">
        <v>394</v>
      </c>
      <c r="S449" s="77">
        <v>7414000005</v>
      </c>
      <c r="AB449"/>
      <c r="AC449"/>
    </row>
    <row r="450" spans="2:29" x14ac:dyDescent="0.25">
      <c r="B450">
        <v>0</v>
      </c>
      <c r="F450">
        <v>0</v>
      </c>
      <c r="P450" s="78">
        <v>266570</v>
      </c>
      <c r="Q450" s="79">
        <v>26657129.019880001</v>
      </c>
      <c r="R450" s="77" t="s">
        <v>394</v>
      </c>
      <c r="S450" s="77">
        <v>7414000005</v>
      </c>
      <c r="AB450"/>
      <c r="AC450"/>
    </row>
    <row r="451" spans="2:29" x14ac:dyDescent="0.25">
      <c r="B451">
        <v>0</v>
      </c>
      <c r="F451">
        <v>0</v>
      </c>
      <c r="P451" s="78">
        <v>101676</v>
      </c>
      <c r="Q451" s="79">
        <v>9929110.9095959999</v>
      </c>
      <c r="R451" s="77" t="s">
        <v>394</v>
      </c>
      <c r="S451" s="77">
        <v>7414000005</v>
      </c>
      <c r="AB451"/>
      <c r="AC451"/>
    </row>
    <row r="452" spans="2:29" x14ac:dyDescent="0.25">
      <c r="B452">
        <v>0</v>
      </c>
      <c r="F452">
        <v>0</v>
      </c>
      <c r="P452" s="78">
        <v>54530</v>
      </c>
      <c r="Q452" s="79">
        <v>5390794.7934400002</v>
      </c>
      <c r="R452" s="77" t="s">
        <v>394</v>
      </c>
      <c r="S452" s="77">
        <v>7414000005</v>
      </c>
      <c r="AB452"/>
      <c r="AC452"/>
    </row>
    <row r="453" spans="2:29" x14ac:dyDescent="0.25">
      <c r="B453">
        <v>0</v>
      </c>
      <c r="F453">
        <v>0</v>
      </c>
      <c r="P453" s="78">
        <v>15108920</v>
      </c>
      <c r="Q453" s="79">
        <v>143437861.60495999</v>
      </c>
      <c r="R453" s="77" t="s">
        <v>394</v>
      </c>
      <c r="S453" s="77">
        <v>7414000005</v>
      </c>
      <c r="AB453"/>
      <c r="AC453"/>
    </row>
    <row r="454" spans="2:29" x14ac:dyDescent="0.25">
      <c r="B454">
        <v>0</v>
      </c>
      <c r="F454">
        <v>0</v>
      </c>
      <c r="P454" s="78">
        <v>11054599</v>
      </c>
      <c r="Q454" s="79">
        <v>103229647.361637</v>
      </c>
      <c r="R454" s="77" t="s">
        <v>394</v>
      </c>
      <c r="S454" s="77">
        <v>7414000005</v>
      </c>
      <c r="AB454"/>
      <c r="AC454"/>
    </row>
    <row r="455" spans="2:29" x14ac:dyDescent="0.25">
      <c r="B455">
        <v>0</v>
      </c>
      <c r="F455">
        <v>0</v>
      </c>
      <c r="P455" s="78">
        <v>12942630</v>
      </c>
      <c r="Q455" s="79">
        <v>118944542.84031001</v>
      </c>
      <c r="R455" s="77" t="s">
        <v>394</v>
      </c>
      <c r="S455" s="77">
        <v>7414000005</v>
      </c>
      <c r="AB455"/>
      <c r="AC455"/>
    </row>
    <row r="456" spans="2:29" x14ac:dyDescent="0.25">
      <c r="B456">
        <v>0</v>
      </c>
      <c r="F456">
        <v>0</v>
      </c>
      <c r="P456" s="78">
        <v>8000000</v>
      </c>
      <c r="Q456" s="79">
        <v>73227720</v>
      </c>
      <c r="R456" s="77" t="s">
        <v>394</v>
      </c>
      <c r="S456" s="77">
        <v>7414000005</v>
      </c>
      <c r="AB456"/>
      <c r="AC456"/>
    </row>
    <row r="457" spans="2:29" x14ac:dyDescent="0.25">
      <c r="B457">
        <v>0</v>
      </c>
      <c r="F457">
        <v>0</v>
      </c>
      <c r="P457" s="78">
        <v>2500000</v>
      </c>
      <c r="Q457" s="79">
        <v>22709925</v>
      </c>
      <c r="R457" s="77" t="s">
        <v>394</v>
      </c>
      <c r="S457" s="77">
        <v>7414000005</v>
      </c>
      <c r="AB457"/>
      <c r="AC457"/>
    </row>
    <row r="458" spans="2:29" x14ac:dyDescent="0.25">
      <c r="B458">
        <v>0</v>
      </c>
      <c r="F458">
        <v>0</v>
      </c>
      <c r="P458" s="78">
        <v>3268870</v>
      </c>
      <c r="Q458" s="79">
        <v>29456598.249759998</v>
      </c>
      <c r="R458" s="77" t="s">
        <v>394</v>
      </c>
      <c r="S458" s="77">
        <v>7414000005</v>
      </c>
      <c r="AB458"/>
      <c r="AC458"/>
    </row>
    <row r="459" spans="2:29" x14ac:dyDescent="0.25">
      <c r="B459">
        <v>0</v>
      </c>
      <c r="F459">
        <v>0</v>
      </c>
      <c r="P459" s="78">
        <v>10000000</v>
      </c>
      <c r="Q459" s="79">
        <v>85044190</v>
      </c>
      <c r="R459" s="77" t="s">
        <v>394</v>
      </c>
      <c r="S459" s="77">
        <v>7414000005</v>
      </c>
      <c r="AB459"/>
      <c r="AC459"/>
    </row>
    <row r="460" spans="2:29" x14ac:dyDescent="0.25">
      <c r="B460">
        <v>0</v>
      </c>
      <c r="F460">
        <v>0</v>
      </c>
      <c r="P460" s="78">
        <v>4856630</v>
      </c>
      <c r="Q460" s="79">
        <v>40705120.70713</v>
      </c>
      <c r="R460" s="77" t="s">
        <v>394</v>
      </c>
      <c r="S460" s="77">
        <v>7414000005</v>
      </c>
      <c r="AB460"/>
      <c r="AC460"/>
    </row>
    <row r="461" spans="2:29" x14ac:dyDescent="0.25">
      <c r="B461">
        <v>0</v>
      </c>
      <c r="F461">
        <v>0</v>
      </c>
      <c r="P461" s="78">
        <v>7591980</v>
      </c>
      <c r="Q461" s="79">
        <v>62695064.318700001</v>
      </c>
      <c r="R461" s="77" t="s">
        <v>394</v>
      </c>
      <c r="S461" s="77">
        <v>7414000005</v>
      </c>
      <c r="AB461"/>
      <c r="AC461"/>
    </row>
    <row r="462" spans="2:29" x14ac:dyDescent="0.25">
      <c r="B462">
        <v>0</v>
      </c>
      <c r="F462">
        <v>0</v>
      </c>
      <c r="P462" s="78">
        <v>0</v>
      </c>
      <c r="Q462" s="79">
        <v>54991315.159999996</v>
      </c>
      <c r="R462" s="77" t="s">
        <v>394</v>
      </c>
      <c r="S462" s="77">
        <v>7414000005</v>
      </c>
      <c r="AB462"/>
      <c r="AC462"/>
    </row>
    <row r="463" spans="2:29" x14ac:dyDescent="0.25">
      <c r="B463">
        <v>0</v>
      </c>
      <c r="F463">
        <v>0</v>
      </c>
      <c r="P463" s="78">
        <v>135255</v>
      </c>
      <c r="Q463" s="79">
        <v>13207394.30652</v>
      </c>
      <c r="R463" s="77" t="s">
        <v>394</v>
      </c>
      <c r="S463" s="77">
        <v>7414000005</v>
      </c>
      <c r="AB463"/>
      <c r="AC463"/>
    </row>
    <row r="464" spans="2:29" x14ac:dyDescent="0.25">
      <c r="B464">
        <v>0</v>
      </c>
      <c r="F464">
        <v>0</v>
      </c>
      <c r="P464" s="78">
        <v>99180</v>
      </c>
      <c r="Q464" s="79">
        <v>9920071.7710200008</v>
      </c>
      <c r="R464" s="77" t="s">
        <v>394</v>
      </c>
      <c r="S464" s="77">
        <v>7414000005</v>
      </c>
      <c r="AB464"/>
      <c r="AC464"/>
    </row>
    <row r="465" spans="2:29" x14ac:dyDescent="0.25">
      <c r="B465">
        <v>0</v>
      </c>
      <c r="F465">
        <v>0</v>
      </c>
      <c r="P465" s="78">
        <v>800000</v>
      </c>
      <c r="Q465" s="79">
        <v>38910312.799999997</v>
      </c>
      <c r="R465" s="77" t="s">
        <v>394</v>
      </c>
      <c r="S465" s="77">
        <v>7414000005</v>
      </c>
      <c r="AB465"/>
      <c r="AC465"/>
    </row>
    <row r="466" spans="2:29" x14ac:dyDescent="0.25">
      <c r="B466">
        <v>0</v>
      </c>
      <c r="F466">
        <v>0</v>
      </c>
      <c r="P466" s="78">
        <v>1301150</v>
      </c>
      <c r="Q466" s="79">
        <v>123440304.78055</v>
      </c>
      <c r="R466" s="77" t="s">
        <v>394</v>
      </c>
      <c r="S466" s="77">
        <v>7414000005</v>
      </c>
      <c r="AB466"/>
      <c r="AC466"/>
    </row>
    <row r="467" spans="2:29" x14ac:dyDescent="0.25">
      <c r="B467">
        <v>0</v>
      </c>
      <c r="F467">
        <v>0</v>
      </c>
      <c r="P467" s="78">
        <v>774901</v>
      </c>
      <c r="Q467" s="79">
        <v>69345475.917964995</v>
      </c>
      <c r="R467" s="77" t="s">
        <v>394</v>
      </c>
      <c r="S467" s="77">
        <v>7414000005</v>
      </c>
      <c r="AB467"/>
      <c r="AC467"/>
    </row>
    <row r="468" spans="2:29" x14ac:dyDescent="0.25">
      <c r="B468">
        <v>0</v>
      </c>
      <c r="F468">
        <v>0</v>
      </c>
      <c r="P468" s="78">
        <v>1355978</v>
      </c>
      <c r="Q468" s="79">
        <v>116881409.23118401</v>
      </c>
      <c r="R468" s="77" t="s">
        <v>394</v>
      </c>
      <c r="S468" s="77">
        <v>7414000005</v>
      </c>
      <c r="AB468"/>
      <c r="AC468"/>
    </row>
    <row r="469" spans="2:29" x14ac:dyDescent="0.25">
      <c r="B469">
        <v>0</v>
      </c>
      <c r="F469">
        <v>0</v>
      </c>
      <c r="P469" s="78">
        <v>250000</v>
      </c>
      <c r="Q469" s="79">
        <v>21617338.5</v>
      </c>
      <c r="R469" s="77" t="s">
        <v>394</v>
      </c>
      <c r="S469" s="77">
        <v>7414000005</v>
      </c>
      <c r="AB469"/>
      <c r="AC469"/>
    </row>
    <row r="470" spans="2:29" x14ac:dyDescent="0.25">
      <c r="B470">
        <v>0</v>
      </c>
      <c r="F470">
        <v>0</v>
      </c>
      <c r="P470" s="78">
        <v>308280</v>
      </c>
      <c r="Q470" s="79">
        <v>27635197.064160001</v>
      </c>
      <c r="R470" s="77" t="s">
        <v>394</v>
      </c>
      <c r="S470" s="77">
        <v>7414000005</v>
      </c>
      <c r="AB470"/>
      <c r="AC470"/>
    </row>
    <row r="471" spans="2:29" x14ac:dyDescent="0.25">
      <c r="B471">
        <v>0</v>
      </c>
      <c r="F471">
        <v>0</v>
      </c>
      <c r="P471" s="78">
        <v>970607</v>
      </c>
      <c r="Q471" s="79">
        <v>79336309.688020006</v>
      </c>
      <c r="R471" s="77" t="s">
        <v>394</v>
      </c>
      <c r="S471" s="77">
        <v>7414000005</v>
      </c>
      <c r="AB471"/>
      <c r="AC471"/>
    </row>
    <row r="472" spans="2:29" x14ac:dyDescent="0.25">
      <c r="B472">
        <v>0</v>
      </c>
      <c r="F472">
        <v>0</v>
      </c>
      <c r="P472" s="78">
        <v>371804</v>
      </c>
      <c r="Q472" s="79">
        <v>30934375.742844</v>
      </c>
      <c r="R472" s="77" t="s">
        <v>394</v>
      </c>
      <c r="S472" s="77">
        <v>7414000005</v>
      </c>
      <c r="AB472"/>
      <c r="AC472"/>
    </row>
    <row r="473" spans="2:29" x14ac:dyDescent="0.25">
      <c r="B473">
        <v>0</v>
      </c>
      <c r="F473">
        <v>0</v>
      </c>
      <c r="P473" s="78">
        <v>328983</v>
      </c>
      <c r="Q473" s="79">
        <v>27029212.684581</v>
      </c>
      <c r="R473" s="77" t="s">
        <v>394</v>
      </c>
      <c r="S473" s="77">
        <v>7414000005</v>
      </c>
      <c r="AB473"/>
      <c r="AC473"/>
    </row>
    <row r="474" spans="2:29" x14ac:dyDescent="0.25">
      <c r="B474">
        <v>0</v>
      </c>
      <c r="F474">
        <v>0</v>
      </c>
      <c r="P474" s="78">
        <v>270000</v>
      </c>
      <c r="Q474" s="79">
        <v>26999779.949999999</v>
      </c>
      <c r="R474" s="77" t="s">
        <v>394</v>
      </c>
      <c r="S474" s="77">
        <v>7414000005</v>
      </c>
      <c r="AB474"/>
      <c r="AC474"/>
    </row>
    <row r="475" spans="2:29" x14ac:dyDescent="0.25">
      <c r="B475">
        <v>0</v>
      </c>
      <c r="F475">
        <v>0</v>
      </c>
      <c r="P475" s="78">
        <v>141115</v>
      </c>
      <c r="Q475" s="79">
        <v>13160100.694390001</v>
      </c>
      <c r="R475" s="77" t="s">
        <v>394</v>
      </c>
      <c r="S475" s="77">
        <v>7414000005</v>
      </c>
      <c r="AB475"/>
      <c r="AC475"/>
    </row>
    <row r="476" spans="2:29" x14ac:dyDescent="0.25">
      <c r="B476">
        <v>0</v>
      </c>
      <c r="F476">
        <v>0</v>
      </c>
      <c r="P476" s="78">
        <v>329867</v>
      </c>
      <c r="Q476" s="79">
        <v>31991041.322411999</v>
      </c>
      <c r="R476" s="77" t="s">
        <v>394</v>
      </c>
      <c r="S476" s="77">
        <v>7414000005</v>
      </c>
      <c r="AB476"/>
      <c r="AC476"/>
    </row>
    <row r="477" spans="2:29" x14ac:dyDescent="0.25">
      <c r="B477">
        <v>0</v>
      </c>
      <c r="F477">
        <v>0</v>
      </c>
      <c r="P477" s="78">
        <v>500000</v>
      </c>
      <c r="Q477" s="79">
        <v>49003917</v>
      </c>
      <c r="R477" s="77" t="s">
        <v>394</v>
      </c>
      <c r="S477" s="77">
        <v>7414000005</v>
      </c>
      <c r="AB477"/>
      <c r="AC477"/>
    </row>
    <row r="478" spans="2:29" x14ac:dyDescent="0.25">
      <c r="B478">
        <v>0</v>
      </c>
      <c r="F478">
        <v>0</v>
      </c>
      <c r="P478" s="78">
        <v>111691</v>
      </c>
      <c r="Q478" s="79">
        <v>84250025.331006005</v>
      </c>
      <c r="R478" s="77" t="s">
        <v>394</v>
      </c>
      <c r="S478" s="77">
        <v>7414000005</v>
      </c>
      <c r="AB478"/>
      <c r="AC478"/>
    </row>
    <row r="479" spans="2:29" x14ac:dyDescent="0.25">
      <c r="B479">
        <v>0</v>
      </c>
      <c r="F479">
        <v>0</v>
      </c>
      <c r="P479" s="78">
        <v>0</v>
      </c>
      <c r="Q479" s="79">
        <v>0</v>
      </c>
      <c r="R479" s="77" t="s">
        <v>394</v>
      </c>
      <c r="S479" s="77">
        <v>7414000005</v>
      </c>
      <c r="AB479"/>
      <c r="AC479"/>
    </row>
    <row r="480" spans="2:29" x14ac:dyDescent="0.25">
      <c r="B480">
        <v>0</v>
      </c>
      <c r="F480">
        <v>0</v>
      </c>
      <c r="P480" s="78">
        <v>67963873</v>
      </c>
      <c r="Q480" s="79">
        <v>67004019.221620999</v>
      </c>
      <c r="R480" s="77" t="s">
        <v>394</v>
      </c>
      <c r="S480" s="77">
        <v>7414000005</v>
      </c>
      <c r="AB480"/>
      <c r="AC480"/>
    </row>
    <row r="481" spans="2:29" x14ac:dyDescent="0.25">
      <c r="B481">
        <v>0</v>
      </c>
      <c r="F481">
        <v>0</v>
      </c>
      <c r="P481" s="78">
        <v>0</v>
      </c>
      <c r="Q481" s="79">
        <v>0</v>
      </c>
      <c r="R481" s="77" t="s">
        <v>394</v>
      </c>
      <c r="S481" s="77">
        <v>7414000005</v>
      </c>
      <c r="AB481"/>
      <c r="AC481"/>
    </row>
    <row r="482" spans="2:29" x14ac:dyDescent="0.25">
      <c r="B482">
        <v>0</v>
      </c>
      <c r="F482">
        <v>0</v>
      </c>
      <c r="P482" s="78">
        <v>77169979</v>
      </c>
      <c r="Q482" s="79">
        <v>285000616.62376601</v>
      </c>
      <c r="R482" s="77" t="s">
        <v>394</v>
      </c>
      <c r="S482" s="77">
        <v>7414000005</v>
      </c>
      <c r="AB482"/>
      <c r="AC482"/>
    </row>
    <row r="483" spans="2:29" x14ac:dyDescent="0.25">
      <c r="B483">
        <v>0</v>
      </c>
      <c r="F483">
        <v>0</v>
      </c>
      <c r="P483" s="78">
        <v>107401</v>
      </c>
      <c r="Q483" s="79">
        <v>82260990.958083004</v>
      </c>
      <c r="R483" s="77" t="s">
        <v>394</v>
      </c>
      <c r="S483" s="77">
        <v>7414000005</v>
      </c>
      <c r="AB483"/>
      <c r="AC483"/>
    </row>
    <row r="484" spans="2:29" x14ac:dyDescent="0.25">
      <c r="B484">
        <v>0</v>
      </c>
      <c r="F484">
        <v>0</v>
      </c>
      <c r="P484" s="78">
        <v>155820</v>
      </c>
      <c r="Q484" s="79">
        <v>106719428.59955999</v>
      </c>
      <c r="R484" s="77" t="s">
        <v>394</v>
      </c>
      <c r="S484" s="77">
        <v>7414000005</v>
      </c>
      <c r="AB484"/>
      <c r="AC484"/>
    </row>
    <row r="485" spans="2:29" x14ac:dyDescent="0.25">
      <c r="B485">
        <v>0</v>
      </c>
      <c r="F485">
        <v>0</v>
      </c>
      <c r="P485" s="78">
        <v>113092</v>
      </c>
      <c r="Q485" s="79">
        <v>87411856.325780004</v>
      </c>
      <c r="R485" s="77" t="s">
        <v>394</v>
      </c>
      <c r="S485" s="77">
        <v>7414000005</v>
      </c>
      <c r="AB485"/>
      <c r="AC485"/>
    </row>
    <row r="486" spans="2:29" x14ac:dyDescent="0.25">
      <c r="B486">
        <v>0</v>
      </c>
      <c r="F486">
        <v>0</v>
      </c>
      <c r="P486" s="78">
        <v>107848</v>
      </c>
      <c r="Q486" s="79">
        <v>77822538.734720007</v>
      </c>
      <c r="R486" s="77" t="s">
        <v>394</v>
      </c>
      <c r="S486" s="77">
        <v>7414000005</v>
      </c>
      <c r="AB486"/>
      <c r="AC486"/>
    </row>
    <row r="487" spans="2:29" x14ac:dyDescent="0.25">
      <c r="B487">
        <v>0</v>
      </c>
      <c r="F487">
        <v>0</v>
      </c>
      <c r="P487" s="78">
        <v>52000</v>
      </c>
      <c r="Q487" s="79">
        <v>33070082.188000001</v>
      </c>
      <c r="R487" s="77" t="s">
        <v>394</v>
      </c>
      <c r="S487" s="77">
        <v>7414000005</v>
      </c>
      <c r="AB487"/>
      <c r="AC487"/>
    </row>
    <row r="488" spans="2:29" x14ac:dyDescent="0.25">
      <c r="B488">
        <v>0</v>
      </c>
      <c r="F488">
        <v>0</v>
      </c>
      <c r="P488" s="78">
        <v>82137</v>
      </c>
      <c r="Q488" s="79">
        <v>58265502.416516997</v>
      </c>
      <c r="R488" s="77" t="s">
        <v>394</v>
      </c>
      <c r="S488" s="77">
        <v>7414000005</v>
      </c>
      <c r="AB488"/>
      <c r="AC488"/>
    </row>
    <row r="489" spans="2:29" x14ac:dyDescent="0.25">
      <c r="B489">
        <v>0</v>
      </c>
      <c r="F489">
        <v>0</v>
      </c>
      <c r="P489" s="78">
        <v>138946</v>
      </c>
      <c r="Q489" s="79">
        <v>96485656.788902</v>
      </c>
      <c r="R489" s="77" t="s">
        <v>394</v>
      </c>
      <c r="S489" s="77">
        <v>7414000005</v>
      </c>
      <c r="AB489"/>
      <c r="AC489"/>
    </row>
    <row r="490" spans="2:29" x14ac:dyDescent="0.25">
      <c r="B490">
        <v>0</v>
      </c>
      <c r="F490">
        <v>0</v>
      </c>
      <c r="P490" s="78">
        <v>73776247</v>
      </c>
      <c r="Q490" s="79">
        <v>178886372.744605</v>
      </c>
      <c r="R490" s="77" t="s">
        <v>394</v>
      </c>
      <c r="S490" s="77">
        <v>7414000005</v>
      </c>
      <c r="AB490"/>
      <c r="AC490"/>
    </row>
    <row r="491" spans="2:29" x14ac:dyDescent="0.25">
      <c r="B491">
        <v>0</v>
      </c>
      <c r="F491">
        <v>0</v>
      </c>
      <c r="P491" s="78">
        <v>113110</v>
      </c>
      <c r="Q491" s="79">
        <v>11315810.228970001</v>
      </c>
      <c r="R491" s="77" t="s">
        <v>394</v>
      </c>
      <c r="S491" s="77">
        <v>7414000005</v>
      </c>
      <c r="AB491"/>
      <c r="AC491"/>
    </row>
    <row r="492" spans="2:29" x14ac:dyDescent="0.25">
      <c r="B492">
        <v>0</v>
      </c>
      <c r="F492">
        <v>0</v>
      </c>
      <c r="P492" s="78">
        <v>0</v>
      </c>
      <c r="Q492" s="79">
        <v>0</v>
      </c>
      <c r="R492" s="77" t="s">
        <v>394</v>
      </c>
      <c r="S492" s="77">
        <v>7414000005</v>
      </c>
      <c r="AB492"/>
      <c r="AC492"/>
    </row>
    <row r="493" spans="2:29" x14ac:dyDescent="0.25">
      <c r="B493">
        <v>0</v>
      </c>
      <c r="F493">
        <v>0</v>
      </c>
      <c r="P493" s="78">
        <v>1795043</v>
      </c>
      <c r="Q493" s="79">
        <v>6097351.8011959996</v>
      </c>
      <c r="R493" s="77" t="s">
        <v>394</v>
      </c>
      <c r="S493" s="77">
        <v>7414000005</v>
      </c>
      <c r="AB493"/>
      <c r="AC493"/>
    </row>
    <row r="494" spans="2:29" x14ac:dyDescent="0.25">
      <c r="B494">
        <v>0</v>
      </c>
      <c r="F494">
        <v>0</v>
      </c>
      <c r="P494" s="78">
        <v>6987</v>
      </c>
      <c r="Q494" s="79">
        <v>66331.699355999997</v>
      </c>
      <c r="R494" s="77" t="s">
        <v>394</v>
      </c>
      <c r="S494" s="77">
        <v>7414000005</v>
      </c>
      <c r="AB494"/>
      <c r="AC494"/>
    </row>
    <row r="495" spans="2:29" x14ac:dyDescent="0.25">
      <c r="B495">
        <v>0</v>
      </c>
      <c r="F495">
        <v>0</v>
      </c>
      <c r="P495" s="78">
        <v>9530</v>
      </c>
      <c r="Q495" s="79">
        <v>88992.69339</v>
      </c>
      <c r="R495" s="77" t="s">
        <v>394</v>
      </c>
      <c r="S495" s="77">
        <v>7414000005</v>
      </c>
      <c r="AB495"/>
      <c r="AC495"/>
    </row>
    <row r="496" spans="2:29" x14ac:dyDescent="0.25">
      <c r="B496">
        <v>0</v>
      </c>
      <c r="F496">
        <v>0</v>
      </c>
      <c r="P496" s="78">
        <v>11810</v>
      </c>
      <c r="Q496" s="79">
        <v>108535.51797</v>
      </c>
      <c r="R496" s="77" t="s">
        <v>394</v>
      </c>
      <c r="S496" s="77">
        <v>7414000005</v>
      </c>
      <c r="AB496"/>
      <c r="AC496"/>
    </row>
    <row r="497" spans="2:29" x14ac:dyDescent="0.25">
      <c r="B497">
        <v>0</v>
      </c>
      <c r="F497">
        <v>0</v>
      </c>
      <c r="P497" s="78">
        <v>3060</v>
      </c>
      <c r="Q497" s="79">
        <v>25646.93406</v>
      </c>
      <c r="R497" s="77" t="s">
        <v>394</v>
      </c>
      <c r="S497" s="77">
        <v>7414000005</v>
      </c>
      <c r="AB497"/>
      <c r="AC497"/>
    </row>
    <row r="498" spans="2:29" x14ac:dyDescent="0.25">
      <c r="B498">
        <v>0</v>
      </c>
      <c r="F498">
        <v>0</v>
      </c>
      <c r="P498" s="78">
        <v>6190</v>
      </c>
      <c r="Q498" s="79">
        <v>51117.422350000001</v>
      </c>
      <c r="R498" s="77" t="s">
        <v>394</v>
      </c>
      <c r="S498" s="77">
        <v>7414000005</v>
      </c>
      <c r="AB498"/>
      <c r="AC498"/>
    </row>
    <row r="499" spans="2:29" x14ac:dyDescent="0.25">
      <c r="B499">
        <v>0</v>
      </c>
      <c r="F499">
        <v>0</v>
      </c>
      <c r="P499" s="78">
        <v>220</v>
      </c>
      <c r="Q499" s="79">
        <v>21720.676780000002</v>
      </c>
      <c r="R499" s="77" t="s">
        <v>394</v>
      </c>
      <c r="S499" s="77">
        <v>7414000005</v>
      </c>
      <c r="AB499"/>
      <c r="AC499"/>
    </row>
    <row r="500" spans="2:29" x14ac:dyDescent="0.25">
      <c r="B500">
        <v>0</v>
      </c>
      <c r="F500">
        <v>0</v>
      </c>
      <c r="P500" s="78">
        <v>368</v>
      </c>
      <c r="Q500" s="79">
        <v>36523.079264</v>
      </c>
      <c r="R500" s="77" t="s">
        <v>394</v>
      </c>
      <c r="S500" s="77">
        <v>7414000005</v>
      </c>
      <c r="AB500"/>
      <c r="AC500"/>
    </row>
    <row r="501" spans="2:29" x14ac:dyDescent="0.25">
      <c r="B501">
        <v>0</v>
      </c>
      <c r="F501">
        <v>0</v>
      </c>
      <c r="P501" s="78">
        <v>587</v>
      </c>
      <c r="Q501" s="79">
        <v>55749.237288999997</v>
      </c>
      <c r="R501" s="77" t="s">
        <v>394</v>
      </c>
      <c r="S501" s="77">
        <v>7414000005</v>
      </c>
      <c r="AB501"/>
      <c r="AC501"/>
    </row>
    <row r="502" spans="2:29" x14ac:dyDescent="0.25">
      <c r="B502">
        <v>0</v>
      </c>
      <c r="F502">
        <v>0</v>
      </c>
      <c r="P502" s="78">
        <v>349</v>
      </c>
      <c r="Q502" s="79">
        <v>32077.225528999999</v>
      </c>
      <c r="R502" s="77" t="s">
        <v>394</v>
      </c>
      <c r="S502" s="77">
        <v>7414000005</v>
      </c>
      <c r="AB502"/>
      <c r="AC502"/>
    </row>
    <row r="503" spans="2:29" x14ac:dyDescent="0.25">
      <c r="B503">
        <v>0</v>
      </c>
      <c r="F503">
        <v>0</v>
      </c>
      <c r="P503" s="78">
        <v>344</v>
      </c>
      <c r="Q503" s="79">
        <v>30512.154311999999</v>
      </c>
      <c r="R503" s="77" t="s">
        <v>394</v>
      </c>
      <c r="S503" s="77">
        <v>7414000005</v>
      </c>
      <c r="AB503"/>
      <c r="AC503"/>
    </row>
    <row r="504" spans="2:29" x14ac:dyDescent="0.25">
      <c r="B504">
        <v>0</v>
      </c>
      <c r="F504">
        <v>0</v>
      </c>
      <c r="P504" s="78">
        <v>457</v>
      </c>
      <c r="Q504" s="79">
        <v>42644.585744000004</v>
      </c>
      <c r="R504" s="77" t="s">
        <v>394</v>
      </c>
      <c r="S504" s="77">
        <v>7414000005</v>
      </c>
      <c r="AB504"/>
      <c r="AC504"/>
    </row>
    <row r="505" spans="2:29" x14ac:dyDescent="0.25">
      <c r="B505">
        <v>0</v>
      </c>
      <c r="F505">
        <v>0</v>
      </c>
      <c r="P505" s="78">
        <v>320</v>
      </c>
      <c r="Q505" s="79">
        <v>30356.533759999998</v>
      </c>
      <c r="R505" s="77" t="s">
        <v>394</v>
      </c>
      <c r="S505" s="77">
        <v>7414000005</v>
      </c>
      <c r="AB505"/>
      <c r="AC505"/>
    </row>
    <row r="506" spans="2:29" x14ac:dyDescent="0.25">
      <c r="B506">
        <v>0</v>
      </c>
      <c r="F506">
        <v>0</v>
      </c>
      <c r="P506" s="78">
        <v>153</v>
      </c>
      <c r="Q506" s="79">
        <v>14515.134021</v>
      </c>
      <c r="R506" s="77" t="s">
        <v>394</v>
      </c>
      <c r="S506" s="77">
        <v>7414000005</v>
      </c>
      <c r="AB506"/>
      <c r="AC506"/>
    </row>
    <row r="507" spans="2:29" x14ac:dyDescent="0.25">
      <c r="B507">
        <v>0</v>
      </c>
      <c r="F507">
        <v>0</v>
      </c>
      <c r="P507" s="78">
        <v>570</v>
      </c>
      <c r="Q507" s="79">
        <v>51008.995049999998</v>
      </c>
      <c r="R507" s="77" t="s">
        <v>394</v>
      </c>
      <c r="S507" s="77">
        <v>7414000005</v>
      </c>
      <c r="AB507"/>
      <c r="AC507"/>
    </row>
    <row r="508" spans="2:29" x14ac:dyDescent="0.25">
      <c r="B508">
        <v>0</v>
      </c>
      <c r="F508">
        <v>0</v>
      </c>
      <c r="P508" s="78">
        <v>360</v>
      </c>
      <c r="Q508" s="79">
        <v>31030.966079999998</v>
      </c>
      <c r="R508" s="77" t="s">
        <v>394</v>
      </c>
      <c r="S508" s="77">
        <v>7414000005</v>
      </c>
      <c r="AB508"/>
      <c r="AC508"/>
    </row>
    <row r="509" spans="2:29" x14ac:dyDescent="0.25">
      <c r="B509">
        <v>0</v>
      </c>
      <c r="F509">
        <v>0</v>
      </c>
      <c r="P509" s="78">
        <v>607</v>
      </c>
      <c r="Q509" s="79">
        <v>52486.897878000003</v>
      </c>
      <c r="R509" s="77" t="s">
        <v>394</v>
      </c>
      <c r="S509" s="77">
        <v>7414000005</v>
      </c>
      <c r="AB509"/>
      <c r="AC509"/>
    </row>
    <row r="510" spans="2:29" x14ac:dyDescent="0.25">
      <c r="B510">
        <v>0</v>
      </c>
      <c r="F510">
        <v>0</v>
      </c>
      <c r="P510" s="78">
        <v>12</v>
      </c>
      <c r="Q510" s="79">
        <v>1217.4115919999999</v>
      </c>
      <c r="R510" s="77" t="s">
        <v>394</v>
      </c>
      <c r="S510" s="77">
        <v>7414000005</v>
      </c>
      <c r="AB510"/>
      <c r="AC510"/>
    </row>
    <row r="511" spans="2:29" x14ac:dyDescent="0.25">
      <c r="B511">
        <v>0</v>
      </c>
      <c r="F511">
        <v>0</v>
      </c>
      <c r="P511" s="78">
        <v>76</v>
      </c>
      <c r="Q511" s="79">
        <v>6812.8810720000001</v>
      </c>
      <c r="R511" s="77" t="s">
        <v>394</v>
      </c>
      <c r="S511" s="77">
        <v>7414000005</v>
      </c>
      <c r="AB511"/>
      <c r="AC511"/>
    </row>
    <row r="512" spans="2:29" x14ac:dyDescent="0.25">
      <c r="B512">
        <v>0</v>
      </c>
      <c r="F512">
        <v>0</v>
      </c>
      <c r="P512" s="78">
        <v>634</v>
      </c>
      <c r="Q512" s="79">
        <v>51822.437239999999</v>
      </c>
      <c r="R512" s="77" t="s">
        <v>394</v>
      </c>
      <c r="S512" s="77">
        <v>7414000005</v>
      </c>
      <c r="AB512"/>
      <c r="AC512"/>
    </row>
    <row r="513" spans="2:29" x14ac:dyDescent="0.25">
      <c r="B513">
        <v>0</v>
      </c>
      <c r="F513">
        <v>0</v>
      </c>
      <c r="P513" s="78">
        <v>77</v>
      </c>
      <c r="Q513" s="79">
        <v>6406.4585969999998</v>
      </c>
      <c r="R513" s="77" t="s">
        <v>394</v>
      </c>
      <c r="S513" s="77">
        <v>7414000005</v>
      </c>
      <c r="AB513"/>
      <c r="AC513"/>
    </row>
    <row r="514" spans="2:29" x14ac:dyDescent="0.25">
      <c r="B514">
        <v>0</v>
      </c>
      <c r="F514">
        <v>0</v>
      </c>
      <c r="P514" s="78">
        <v>944</v>
      </c>
      <c r="Q514" s="79">
        <v>77558.952208000002</v>
      </c>
      <c r="R514" s="77" t="s">
        <v>394</v>
      </c>
      <c r="S514" s="77">
        <v>7414000005</v>
      </c>
      <c r="AB514"/>
      <c r="AC514"/>
    </row>
    <row r="515" spans="2:29" x14ac:dyDescent="0.25">
      <c r="B515">
        <v>0</v>
      </c>
      <c r="F515">
        <v>0</v>
      </c>
      <c r="P515" s="78">
        <v>640</v>
      </c>
      <c r="Q515" s="79">
        <v>62725.013760000002</v>
      </c>
      <c r="R515" s="77" t="s">
        <v>394</v>
      </c>
      <c r="S515" s="77">
        <v>7414000005</v>
      </c>
      <c r="AB515"/>
      <c r="AC515"/>
    </row>
    <row r="516" spans="2:29" x14ac:dyDescent="0.25">
      <c r="B516">
        <v>0</v>
      </c>
      <c r="F516">
        <v>0</v>
      </c>
      <c r="P516" s="78">
        <v>78547</v>
      </c>
      <c r="Q516" s="79">
        <v>266806.25028400001</v>
      </c>
      <c r="R516" s="77" t="s">
        <v>394</v>
      </c>
      <c r="S516" s="77">
        <v>7414000005</v>
      </c>
      <c r="AB516"/>
      <c r="AC516"/>
    </row>
    <row r="517" spans="2:29" x14ac:dyDescent="0.25">
      <c r="B517">
        <v>0</v>
      </c>
      <c r="F517">
        <v>0</v>
      </c>
      <c r="P517" s="78">
        <v>83091</v>
      </c>
      <c r="Q517" s="79">
        <v>322661.796294</v>
      </c>
      <c r="R517" s="77" t="s">
        <v>394</v>
      </c>
      <c r="S517" s="77">
        <v>7414000005</v>
      </c>
      <c r="AB517"/>
      <c r="AC517"/>
    </row>
    <row r="518" spans="2:29" x14ac:dyDescent="0.25">
      <c r="B518">
        <v>0</v>
      </c>
      <c r="F518">
        <v>0</v>
      </c>
      <c r="P518" s="78">
        <v>30</v>
      </c>
      <c r="Q518" s="79">
        <v>7681.5034500000002</v>
      </c>
      <c r="R518" s="77" t="s">
        <v>394</v>
      </c>
      <c r="S518" s="77">
        <v>7414000005</v>
      </c>
      <c r="AB518"/>
      <c r="AC518"/>
    </row>
    <row r="519" spans="2:29" x14ac:dyDescent="0.25">
      <c r="B519">
        <v>0</v>
      </c>
      <c r="F519">
        <v>0</v>
      </c>
      <c r="P519" s="78">
        <v>45</v>
      </c>
      <c r="Q519" s="79">
        <v>34906.130415</v>
      </c>
      <c r="R519" s="77" t="s">
        <v>394</v>
      </c>
      <c r="S519" s="77">
        <v>7414000005</v>
      </c>
      <c r="AB519"/>
      <c r="AC519"/>
    </row>
    <row r="520" spans="2:29" x14ac:dyDescent="0.25">
      <c r="B520">
        <v>0</v>
      </c>
      <c r="F520">
        <v>0</v>
      </c>
      <c r="P520" s="78">
        <v>70</v>
      </c>
      <c r="Q520" s="79">
        <v>52302.490239999999</v>
      </c>
      <c r="R520" s="77" t="s">
        <v>394</v>
      </c>
      <c r="S520" s="77">
        <v>7414000005</v>
      </c>
      <c r="AB520"/>
      <c r="AC520"/>
    </row>
    <row r="521" spans="2:29" x14ac:dyDescent="0.25">
      <c r="B521">
        <v>0</v>
      </c>
      <c r="F521">
        <v>0</v>
      </c>
      <c r="P521" s="78">
        <v>70</v>
      </c>
      <c r="Q521" s="79">
        <v>53614.67181</v>
      </c>
      <c r="R521" s="77" t="s">
        <v>394</v>
      </c>
      <c r="S521" s="77">
        <v>7414000005</v>
      </c>
      <c r="AB521"/>
      <c r="AC521"/>
    </row>
    <row r="522" spans="2:29" x14ac:dyDescent="0.25">
      <c r="B522">
        <v>0</v>
      </c>
      <c r="F522">
        <v>0</v>
      </c>
      <c r="P522" s="78">
        <v>288</v>
      </c>
      <c r="Q522" s="79">
        <v>197248.07750399999</v>
      </c>
      <c r="R522" s="77" t="s">
        <v>394</v>
      </c>
      <c r="S522" s="77">
        <v>7414000005</v>
      </c>
      <c r="AB522"/>
      <c r="AC522"/>
    </row>
    <row r="523" spans="2:29" x14ac:dyDescent="0.25">
      <c r="B523">
        <v>0</v>
      </c>
      <c r="F523">
        <v>0</v>
      </c>
      <c r="P523" s="78">
        <v>32</v>
      </c>
      <c r="Q523" s="79">
        <v>24733.66288</v>
      </c>
      <c r="R523" s="77" t="s">
        <v>394</v>
      </c>
      <c r="S523" s="77">
        <v>7414000005</v>
      </c>
      <c r="AB523"/>
      <c r="AC523"/>
    </row>
    <row r="524" spans="2:29" x14ac:dyDescent="0.25">
      <c r="B524">
        <v>0</v>
      </c>
      <c r="F524">
        <v>0</v>
      </c>
      <c r="P524" s="78">
        <v>39</v>
      </c>
      <c r="Q524" s="79">
        <v>28142.19096</v>
      </c>
      <c r="R524" s="77" t="s">
        <v>394</v>
      </c>
      <c r="S524" s="77">
        <v>7414000005</v>
      </c>
      <c r="AB524"/>
      <c r="AC524"/>
    </row>
    <row r="525" spans="2:29" x14ac:dyDescent="0.25">
      <c r="B525">
        <v>0</v>
      </c>
      <c r="F525">
        <v>0</v>
      </c>
      <c r="P525" s="78">
        <v>28</v>
      </c>
      <c r="Q525" s="79">
        <v>17806.967332</v>
      </c>
      <c r="R525" s="77" t="s">
        <v>394</v>
      </c>
      <c r="S525" s="77">
        <v>7414000005</v>
      </c>
      <c r="AB525"/>
      <c r="AC525"/>
    </row>
    <row r="526" spans="2:29" x14ac:dyDescent="0.25">
      <c r="B526">
        <v>0</v>
      </c>
      <c r="F526">
        <v>0</v>
      </c>
      <c r="P526" s="78">
        <v>48</v>
      </c>
      <c r="Q526" s="79">
        <v>34049.747567999999</v>
      </c>
      <c r="R526" s="77" t="s">
        <v>394</v>
      </c>
      <c r="S526" s="77">
        <v>7414000005</v>
      </c>
      <c r="AB526"/>
      <c r="AC526"/>
    </row>
    <row r="527" spans="2:29" x14ac:dyDescent="0.25">
      <c r="B527">
        <v>0</v>
      </c>
      <c r="F527">
        <v>0</v>
      </c>
      <c r="P527" s="78">
        <v>192</v>
      </c>
      <c r="Q527" s="79">
        <v>133326.947904</v>
      </c>
      <c r="R527" s="77" t="s">
        <v>394</v>
      </c>
      <c r="S527" s="77">
        <v>7414000005</v>
      </c>
      <c r="AB527"/>
      <c r="AC527"/>
    </row>
    <row r="528" spans="2:29" x14ac:dyDescent="0.25">
      <c r="B528">
        <v>0</v>
      </c>
      <c r="F528">
        <v>0</v>
      </c>
      <c r="P528" s="78">
        <v>224000</v>
      </c>
      <c r="Q528" s="79">
        <v>1027012.224</v>
      </c>
      <c r="R528" s="77" t="s">
        <v>394</v>
      </c>
      <c r="S528" s="77">
        <v>7414000005</v>
      </c>
      <c r="AB528"/>
      <c r="AC528"/>
    </row>
    <row r="529" spans="2:29" x14ac:dyDescent="0.25">
      <c r="B529">
        <v>0</v>
      </c>
      <c r="F529">
        <v>0</v>
      </c>
      <c r="P529" s="78">
        <v>11786</v>
      </c>
      <c r="Q529" s="79">
        <v>40034.354791999998</v>
      </c>
      <c r="R529" s="77" t="s">
        <v>394</v>
      </c>
      <c r="S529" s="77">
        <v>7414000005</v>
      </c>
      <c r="AB529"/>
      <c r="AC529"/>
    </row>
    <row r="530" spans="2:29" x14ac:dyDescent="0.25">
      <c r="B530">
        <v>0</v>
      </c>
      <c r="F530">
        <v>0</v>
      </c>
      <c r="P530" s="78">
        <v>110719</v>
      </c>
      <c r="Q530" s="79">
        <v>1051120.569772</v>
      </c>
      <c r="R530" s="77" t="s">
        <v>394</v>
      </c>
      <c r="S530" s="77">
        <v>7414000005</v>
      </c>
      <c r="AB530"/>
      <c r="AC530"/>
    </row>
    <row r="531" spans="2:29" x14ac:dyDescent="0.25">
      <c r="B531">
        <v>0</v>
      </c>
      <c r="F531">
        <v>0</v>
      </c>
      <c r="P531" s="78">
        <v>150830</v>
      </c>
      <c r="Q531" s="79">
        <v>1408475.1252900001</v>
      </c>
      <c r="R531" s="77" t="s">
        <v>394</v>
      </c>
      <c r="S531" s="77">
        <v>7414000005</v>
      </c>
      <c r="AB531"/>
      <c r="AC531"/>
    </row>
    <row r="532" spans="2:29" x14ac:dyDescent="0.25">
      <c r="B532">
        <v>0</v>
      </c>
      <c r="F532">
        <v>0</v>
      </c>
      <c r="P532" s="78">
        <v>193050</v>
      </c>
      <c r="Q532" s="79">
        <v>1774155.9478500001</v>
      </c>
      <c r="R532" s="77" t="s">
        <v>394</v>
      </c>
      <c r="S532" s="77">
        <v>7414000005</v>
      </c>
      <c r="AB532"/>
      <c r="AC532"/>
    </row>
    <row r="533" spans="2:29" x14ac:dyDescent="0.25">
      <c r="B533">
        <v>0</v>
      </c>
      <c r="F533">
        <v>0</v>
      </c>
      <c r="P533" s="78">
        <v>50830</v>
      </c>
      <c r="Q533" s="79">
        <v>426024.07133000001</v>
      </c>
      <c r="R533" s="77" t="s">
        <v>394</v>
      </c>
      <c r="S533" s="77">
        <v>7414000005</v>
      </c>
      <c r="AB533"/>
      <c r="AC533"/>
    </row>
    <row r="534" spans="2:29" x14ac:dyDescent="0.25">
      <c r="B534">
        <v>0</v>
      </c>
      <c r="F534">
        <v>0</v>
      </c>
      <c r="P534" s="78">
        <v>103700</v>
      </c>
      <c r="Q534" s="79">
        <v>856361.34050000005</v>
      </c>
      <c r="R534" s="77" t="s">
        <v>394</v>
      </c>
      <c r="S534" s="77">
        <v>7414000005</v>
      </c>
      <c r="AB534"/>
      <c r="AC534"/>
    </row>
    <row r="535" spans="2:29" x14ac:dyDescent="0.25">
      <c r="B535">
        <v>0</v>
      </c>
      <c r="F535">
        <v>0</v>
      </c>
      <c r="P535" s="78">
        <v>4310</v>
      </c>
      <c r="Q535" s="79">
        <v>425527.80419</v>
      </c>
      <c r="R535" s="77" t="s">
        <v>394</v>
      </c>
      <c r="S535" s="77">
        <v>7414000005</v>
      </c>
      <c r="AB535"/>
      <c r="AC535"/>
    </row>
    <row r="536" spans="2:29" x14ac:dyDescent="0.25">
      <c r="B536">
        <v>0</v>
      </c>
      <c r="F536">
        <v>0</v>
      </c>
      <c r="P536" s="78">
        <v>7887</v>
      </c>
      <c r="Q536" s="79">
        <v>782765.016726</v>
      </c>
      <c r="R536" s="77" t="s">
        <v>394</v>
      </c>
      <c r="S536" s="77">
        <v>7414000005</v>
      </c>
      <c r="AB536"/>
      <c r="AC536"/>
    </row>
    <row r="537" spans="2:29" x14ac:dyDescent="0.25">
      <c r="B537">
        <v>0</v>
      </c>
      <c r="F537">
        <v>0</v>
      </c>
      <c r="P537" s="78">
        <v>9342</v>
      </c>
      <c r="Q537" s="79">
        <v>887239.13927399996</v>
      </c>
      <c r="R537" s="77" t="s">
        <v>394</v>
      </c>
      <c r="S537" s="77">
        <v>7414000005</v>
      </c>
      <c r="AB537"/>
      <c r="AC537"/>
    </row>
    <row r="538" spans="2:29" x14ac:dyDescent="0.25">
      <c r="B538">
        <v>0</v>
      </c>
      <c r="F538">
        <v>0</v>
      </c>
      <c r="P538" s="78">
        <v>5288</v>
      </c>
      <c r="Q538" s="79">
        <v>486029.70944800001</v>
      </c>
      <c r="R538" s="77" t="s">
        <v>394</v>
      </c>
      <c r="S538" s="77">
        <v>7414000005</v>
      </c>
      <c r="AB538"/>
      <c r="AC538"/>
    </row>
    <row r="539" spans="2:29" x14ac:dyDescent="0.25">
      <c r="B539">
        <v>0</v>
      </c>
      <c r="F539">
        <v>0</v>
      </c>
      <c r="P539" s="78">
        <v>5670</v>
      </c>
      <c r="Q539" s="79">
        <v>502918.35741</v>
      </c>
      <c r="R539" s="77" t="s">
        <v>394</v>
      </c>
      <c r="S539" s="77">
        <v>7414000005</v>
      </c>
      <c r="AB539"/>
      <c r="AC539"/>
    </row>
    <row r="540" spans="2:29" x14ac:dyDescent="0.25">
      <c r="B540">
        <v>0</v>
      </c>
      <c r="F540">
        <v>0</v>
      </c>
      <c r="P540" s="78">
        <v>5049</v>
      </c>
      <c r="Q540" s="79">
        <v>471143.355408</v>
      </c>
      <c r="R540" s="77" t="s">
        <v>394</v>
      </c>
      <c r="S540" s="77">
        <v>7414000005</v>
      </c>
      <c r="AB540"/>
      <c r="AC540"/>
    </row>
    <row r="541" spans="2:29" x14ac:dyDescent="0.25">
      <c r="B541">
        <v>0</v>
      </c>
      <c r="F541">
        <v>0</v>
      </c>
      <c r="P541" s="78">
        <v>5250</v>
      </c>
      <c r="Q541" s="79">
        <v>498036.88199999998</v>
      </c>
      <c r="R541" s="77" t="s">
        <v>394</v>
      </c>
      <c r="S541" s="77">
        <v>7414000005</v>
      </c>
      <c r="AB541"/>
      <c r="AC541"/>
    </row>
    <row r="542" spans="2:29" x14ac:dyDescent="0.25">
      <c r="B542">
        <v>0</v>
      </c>
      <c r="F542">
        <v>0</v>
      </c>
      <c r="P542" s="78">
        <v>2037</v>
      </c>
      <c r="Q542" s="79">
        <v>193250.50980900001</v>
      </c>
      <c r="R542" s="77" t="s">
        <v>394</v>
      </c>
      <c r="S542" s="77">
        <v>7414000005</v>
      </c>
      <c r="AB542"/>
      <c r="AC542"/>
    </row>
    <row r="543" spans="2:29" x14ac:dyDescent="0.25">
      <c r="B543">
        <v>0</v>
      </c>
      <c r="F543">
        <v>0</v>
      </c>
      <c r="P543" s="78">
        <v>8702</v>
      </c>
      <c r="Q543" s="79">
        <v>778737.32443000004</v>
      </c>
      <c r="R543" s="77" t="s">
        <v>394</v>
      </c>
      <c r="S543" s="77">
        <v>7414000005</v>
      </c>
      <c r="AB543"/>
      <c r="AC543"/>
    </row>
    <row r="544" spans="2:29" x14ac:dyDescent="0.25">
      <c r="B544">
        <v>0</v>
      </c>
      <c r="F544">
        <v>0</v>
      </c>
      <c r="P544" s="78">
        <v>5760</v>
      </c>
      <c r="Q544" s="79">
        <v>496495.45727999997</v>
      </c>
      <c r="R544" s="77" t="s">
        <v>394</v>
      </c>
      <c r="S544" s="77">
        <v>7414000005</v>
      </c>
      <c r="AB544"/>
      <c r="AC544"/>
    </row>
    <row r="545" spans="2:29" x14ac:dyDescent="0.25">
      <c r="B545">
        <v>0</v>
      </c>
      <c r="F545">
        <v>0</v>
      </c>
      <c r="P545" s="78">
        <v>21055</v>
      </c>
      <c r="Q545" s="79">
        <v>1820612.24847</v>
      </c>
      <c r="R545" s="77" t="s">
        <v>394</v>
      </c>
      <c r="S545" s="77">
        <v>7414000005</v>
      </c>
      <c r="AB545"/>
      <c r="AC545"/>
    </row>
    <row r="546" spans="2:29" x14ac:dyDescent="0.25">
      <c r="B546">
        <v>0</v>
      </c>
      <c r="F546">
        <v>0</v>
      </c>
      <c r="P546" s="78">
        <v>403</v>
      </c>
      <c r="Q546" s="79">
        <v>40884.739298</v>
      </c>
      <c r="R546" s="77" t="s">
        <v>394</v>
      </c>
      <c r="S546" s="77">
        <v>7414000005</v>
      </c>
      <c r="AB546"/>
      <c r="AC546"/>
    </row>
    <row r="547" spans="2:29" x14ac:dyDescent="0.25">
      <c r="B547">
        <v>0</v>
      </c>
      <c r="F547">
        <v>0</v>
      </c>
      <c r="P547" s="78">
        <v>517</v>
      </c>
      <c r="Q547" s="79">
        <v>46345.519924</v>
      </c>
      <c r="R547" s="77" t="s">
        <v>394</v>
      </c>
      <c r="S547" s="77">
        <v>7414000005</v>
      </c>
      <c r="AB547"/>
      <c r="AC547"/>
    </row>
    <row r="548" spans="2:29" x14ac:dyDescent="0.25">
      <c r="B548">
        <v>0</v>
      </c>
      <c r="F548">
        <v>0</v>
      </c>
      <c r="P548" s="78">
        <v>10307</v>
      </c>
      <c r="Q548" s="79">
        <v>842482.43001999997</v>
      </c>
      <c r="R548" s="77" t="s">
        <v>394</v>
      </c>
      <c r="S548" s="77">
        <v>7414000005</v>
      </c>
      <c r="AB548"/>
      <c r="AC548"/>
    </row>
    <row r="549" spans="2:29" x14ac:dyDescent="0.25">
      <c r="B549">
        <v>0</v>
      </c>
      <c r="F549">
        <v>0</v>
      </c>
      <c r="P549" s="78">
        <v>2487</v>
      </c>
      <c r="Q549" s="79">
        <v>206920.29260700001</v>
      </c>
      <c r="R549" s="77" t="s">
        <v>394</v>
      </c>
      <c r="S549" s="77">
        <v>7414000005</v>
      </c>
      <c r="AB549"/>
      <c r="AC549"/>
    </row>
    <row r="550" spans="2:29" x14ac:dyDescent="0.25">
      <c r="B550">
        <v>0</v>
      </c>
      <c r="F550">
        <v>0</v>
      </c>
      <c r="P550" s="78">
        <v>15918</v>
      </c>
      <c r="Q550" s="79">
        <v>1307821.3996260001</v>
      </c>
      <c r="R550" s="77" t="s">
        <v>394</v>
      </c>
      <c r="S550" s="77">
        <v>7414000005</v>
      </c>
      <c r="AB550"/>
      <c r="AC550"/>
    </row>
    <row r="551" spans="2:29" x14ac:dyDescent="0.25">
      <c r="B551">
        <v>0</v>
      </c>
      <c r="F551">
        <v>0</v>
      </c>
      <c r="P551" s="78">
        <v>8580</v>
      </c>
      <c r="Q551" s="79">
        <v>840907.21571999998</v>
      </c>
      <c r="R551" s="77" t="s">
        <v>394</v>
      </c>
      <c r="S551" s="77">
        <v>7414000005</v>
      </c>
      <c r="AB551"/>
      <c r="AC551"/>
    </row>
    <row r="552" spans="2:29" x14ac:dyDescent="0.25">
      <c r="B552">
        <v>0</v>
      </c>
      <c r="F552">
        <v>0</v>
      </c>
      <c r="P552" s="78">
        <v>1231571</v>
      </c>
      <c r="Q552" s="79">
        <v>4183365.8888119999</v>
      </c>
      <c r="R552" s="77" t="s">
        <v>394</v>
      </c>
      <c r="S552" s="77">
        <v>7414000005</v>
      </c>
      <c r="AB552"/>
      <c r="AC552"/>
    </row>
    <row r="553" spans="2:29" x14ac:dyDescent="0.25">
      <c r="B553">
        <v>0</v>
      </c>
      <c r="F553">
        <v>0</v>
      </c>
      <c r="P553" s="78">
        <v>1572064</v>
      </c>
      <c r="Q553" s="79">
        <v>6104692.3749759998</v>
      </c>
      <c r="R553" s="77" t="s">
        <v>394</v>
      </c>
      <c r="S553" s="77">
        <v>7414000005</v>
      </c>
      <c r="AB553"/>
      <c r="AC553"/>
    </row>
    <row r="554" spans="2:29" x14ac:dyDescent="0.25">
      <c r="B554">
        <v>0</v>
      </c>
      <c r="F554">
        <v>0</v>
      </c>
      <c r="P554" s="78">
        <v>122</v>
      </c>
      <c r="Q554" s="79">
        <v>31238.114030000001</v>
      </c>
      <c r="R554" s="77" t="s">
        <v>394</v>
      </c>
      <c r="S554" s="77">
        <v>7414000005</v>
      </c>
      <c r="AB554"/>
      <c r="AC554"/>
    </row>
    <row r="555" spans="2:29" x14ac:dyDescent="0.25">
      <c r="B555">
        <v>0</v>
      </c>
      <c r="F555">
        <v>0</v>
      </c>
      <c r="P555" s="78">
        <v>704</v>
      </c>
      <c r="Q555" s="79">
        <v>546087.01804800006</v>
      </c>
      <c r="R555" s="77" t="s">
        <v>394</v>
      </c>
      <c r="S555" s="77">
        <v>7414000005</v>
      </c>
      <c r="AB555"/>
      <c r="AC555"/>
    </row>
    <row r="556" spans="2:29" x14ac:dyDescent="0.25">
      <c r="B556">
        <v>0</v>
      </c>
      <c r="F556">
        <v>0</v>
      </c>
      <c r="P556" s="78">
        <v>1080</v>
      </c>
      <c r="Q556" s="79">
        <v>806952.70655999996</v>
      </c>
      <c r="R556" s="77" t="s">
        <v>394</v>
      </c>
      <c r="S556" s="77">
        <v>7414000005</v>
      </c>
      <c r="AB556"/>
      <c r="AC556"/>
    </row>
    <row r="557" spans="2:29" x14ac:dyDescent="0.25">
      <c r="B557">
        <v>0</v>
      </c>
      <c r="F557">
        <v>0</v>
      </c>
      <c r="P557" s="78">
        <v>1134</v>
      </c>
      <c r="Q557" s="79">
        <v>868557.68332199997</v>
      </c>
      <c r="R557" s="77" t="s">
        <v>394</v>
      </c>
      <c r="S557" s="77">
        <v>7414000005</v>
      </c>
      <c r="AB557"/>
      <c r="AC557"/>
    </row>
    <row r="558" spans="2:29" x14ac:dyDescent="0.25">
      <c r="B558">
        <v>0</v>
      </c>
      <c r="F558">
        <v>0</v>
      </c>
      <c r="P558" s="78">
        <v>4695</v>
      </c>
      <c r="Q558" s="79">
        <v>3215554.59681</v>
      </c>
      <c r="R558" s="77" t="s">
        <v>394</v>
      </c>
      <c r="S558" s="77">
        <v>7414000005</v>
      </c>
      <c r="AB558"/>
      <c r="AC558"/>
    </row>
    <row r="559" spans="2:29" x14ac:dyDescent="0.25">
      <c r="B559">
        <v>0</v>
      </c>
      <c r="F559">
        <v>0</v>
      </c>
      <c r="P559" s="78">
        <v>473</v>
      </c>
      <c r="Q559" s="79">
        <v>365594.45444499998</v>
      </c>
      <c r="R559" s="77" t="s">
        <v>394</v>
      </c>
      <c r="S559" s="77">
        <v>7414000005</v>
      </c>
      <c r="AB559"/>
      <c r="AC559"/>
    </row>
    <row r="560" spans="2:29" x14ac:dyDescent="0.25">
      <c r="B560">
        <v>0</v>
      </c>
      <c r="F560">
        <v>0</v>
      </c>
      <c r="P560" s="78">
        <v>571</v>
      </c>
      <c r="Q560" s="79">
        <v>412030.53944000002</v>
      </c>
      <c r="R560" s="77" t="s">
        <v>394</v>
      </c>
      <c r="S560" s="77">
        <v>7414000005</v>
      </c>
      <c r="AB560"/>
      <c r="AC560"/>
    </row>
    <row r="561" spans="2:29" x14ac:dyDescent="0.25">
      <c r="B561">
        <v>0</v>
      </c>
      <c r="F561">
        <v>0</v>
      </c>
      <c r="P561" s="78">
        <v>469</v>
      </c>
      <c r="Q561" s="79">
        <v>298266.702811</v>
      </c>
      <c r="R561" s="77" t="s">
        <v>394</v>
      </c>
      <c r="S561" s="77">
        <v>7414000005</v>
      </c>
      <c r="AB561"/>
      <c r="AC561"/>
    </row>
    <row r="562" spans="2:29" x14ac:dyDescent="0.25">
      <c r="B562">
        <v>0</v>
      </c>
      <c r="F562">
        <v>0</v>
      </c>
      <c r="P562" s="78">
        <v>875</v>
      </c>
      <c r="Q562" s="79">
        <v>620698.52337499999</v>
      </c>
      <c r="R562" s="77" t="s">
        <v>394</v>
      </c>
      <c r="S562" s="77">
        <v>7414000005</v>
      </c>
      <c r="AB562"/>
      <c r="AC562"/>
    </row>
    <row r="563" spans="2:29" x14ac:dyDescent="0.25">
      <c r="B563">
        <v>0</v>
      </c>
      <c r="F563">
        <v>0</v>
      </c>
      <c r="P563" s="78">
        <v>2939</v>
      </c>
      <c r="Q563" s="79">
        <v>2040874.478593</v>
      </c>
      <c r="R563" s="77" t="s">
        <v>394</v>
      </c>
      <c r="S563" s="77">
        <v>7414000005</v>
      </c>
      <c r="AB563"/>
      <c r="AC563"/>
    </row>
    <row r="564" spans="2:29" x14ac:dyDescent="0.25">
      <c r="B564">
        <v>0</v>
      </c>
      <c r="F564">
        <v>0</v>
      </c>
      <c r="P564" s="78">
        <v>117241</v>
      </c>
      <c r="Q564" s="79">
        <v>1113037.750708</v>
      </c>
      <c r="R564" s="77" t="s">
        <v>394</v>
      </c>
      <c r="S564" s="77">
        <v>7414000005</v>
      </c>
      <c r="AB564"/>
      <c r="AC564"/>
    </row>
    <row r="565" spans="2:29" x14ac:dyDescent="0.25">
      <c r="B565">
        <v>0</v>
      </c>
      <c r="F565">
        <v>0</v>
      </c>
      <c r="P565" s="78">
        <v>159710</v>
      </c>
      <c r="Q565" s="79">
        <v>1491398.0127300001</v>
      </c>
      <c r="R565" s="77" t="s">
        <v>394</v>
      </c>
      <c r="S565" s="77">
        <v>7414000005</v>
      </c>
      <c r="AB565"/>
      <c r="AC565"/>
    </row>
    <row r="566" spans="2:29" x14ac:dyDescent="0.25">
      <c r="B566">
        <v>0</v>
      </c>
      <c r="F566">
        <v>0</v>
      </c>
      <c r="P566" s="78">
        <v>205170</v>
      </c>
      <c r="Q566" s="79">
        <v>1885540.4082899999</v>
      </c>
      <c r="R566" s="77" t="s">
        <v>394</v>
      </c>
      <c r="S566" s="77">
        <v>7414000005</v>
      </c>
      <c r="AB566"/>
      <c r="AC566"/>
    </row>
    <row r="567" spans="2:29" x14ac:dyDescent="0.25">
      <c r="B567">
        <v>0</v>
      </c>
      <c r="F567">
        <v>0</v>
      </c>
      <c r="P567" s="78">
        <v>56400</v>
      </c>
      <c r="Q567" s="79">
        <v>472708.19640000002</v>
      </c>
      <c r="R567" s="77" t="s">
        <v>394</v>
      </c>
      <c r="S567" s="77">
        <v>7414000005</v>
      </c>
      <c r="AB567"/>
      <c r="AC567"/>
    </row>
    <row r="568" spans="2:29" x14ac:dyDescent="0.25">
      <c r="B568">
        <v>0</v>
      </c>
      <c r="F568">
        <v>0</v>
      </c>
      <c r="P568" s="78">
        <v>115050</v>
      </c>
      <c r="Q568" s="79">
        <v>950090.37824999995</v>
      </c>
      <c r="R568" s="77" t="s">
        <v>394</v>
      </c>
      <c r="S568" s="77">
        <v>7414000005</v>
      </c>
      <c r="AB568"/>
      <c r="AC568"/>
    </row>
    <row r="569" spans="2:29" x14ac:dyDescent="0.25">
      <c r="B569">
        <v>0</v>
      </c>
      <c r="F569">
        <v>0</v>
      </c>
      <c r="P569" s="78">
        <v>3960</v>
      </c>
      <c r="Q569" s="79">
        <v>390972.18203999999</v>
      </c>
      <c r="R569" s="77" t="s">
        <v>394</v>
      </c>
      <c r="S569" s="77">
        <v>7414000005</v>
      </c>
      <c r="AB569"/>
      <c r="AC569"/>
    </row>
    <row r="570" spans="2:29" x14ac:dyDescent="0.25">
      <c r="B570">
        <v>0</v>
      </c>
      <c r="F570">
        <v>0</v>
      </c>
      <c r="P570" s="78">
        <v>7594</v>
      </c>
      <c r="Q570" s="79">
        <v>753685.49981199997</v>
      </c>
      <c r="R570" s="77" t="s">
        <v>394</v>
      </c>
      <c r="S570" s="77">
        <v>7414000005</v>
      </c>
      <c r="AB570"/>
      <c r="AC570"/>
    </row>
    <row r="571" spans="2:29" x14ac:dyDescent="0.25">
      <c r="B571">
        <v>0</v>
      </c>
      <c r="F571">
        <v>0</v>
      </c>
      <c r="P571" s="78">
        <v>9818</v>
      </c>
      <c r="Q571" s="79">
        <v>932446.35724599997</v>
      </c>
      <c r="R571" s="77" t="s">
        <v>394</v>
      </c>
      <c r="S571" s="77">
        <v>7414000005</v>
      </c>
      <c r="AB571"/>
      <c r="AC571"/>
    </row>
    <row r="572" spans="2:29" x14ac:dyDescent="0.25">
      <c r="B572">
        <v>0</v>
      </c>
      <c r="F572">
        <v>0</v>
      </c>
      <c r="P572" s="78">
        <v>5405</v>
      </c>
      <c r="Q572" s="79">
        <v>496783.392505</v>
      </c>
      <c r="R572" s="77" t="s">
        <v>394</v>
      </c>
      <c r="S572" s="77">
        <v>7414000005</v>
      </c>
      <c r="AB572"/>
      <c r="AC572"/>
    </row>
    <row r="573" spans="2:29" x14ac:dyDescent="0.25">
      <c r="B573">
        <v>0</v>
      </c>
      <c r="F573">
        <v>0</v>
      </c>
      <c r="P573" s="78">
        <v>9197</v>
      </c>
      <c r="Q573" s="79">
        <v>815756.637231</v>
      </c>
      <c r="R573" s="77" t="s">
        <v>394</v>
      </c>
      <c r="S573" s="77">
        <v>7414000005</v>
      </c>
      <c r="AB573"/>
      <c r="AC573"/>
    </row>
    <row r="574" spans="2:29" x14ac:dyDescent="0.25">
      <c r="B574">
        <v>0</v>
      </c>
      <c r="F574">
        <v>0</v>
      </c>
      <c r="P574" s="78">
        <v>6301</v>
      </c>
      <c r="Q574" s="79">
        <v>587972.72379199998</v>
      </c>
      <c r="R574" s="77" t="s">
        <v>394</v>
      </c>
      <c r="S574" s="77">
        <v>7414000005</v>
      </c>
      <c r="AB574"/>
      <c r="AC574"/>
    </row>
    <row r="575" spans="2:29" x14ac:dyDescent="0.25">
      <c r="B575">
        <v>0</v>
      </c>
      <c r="F575">
        <v>0</v>
      </c>
      <c r="P575" s="78">
        <v>5780</v>
      </c>
      <c r="Q575" s="79">
        <v>548314.89104000002</v>
      </c>
      <c r="R575" s="77" t="s">
        <v>394</v>
      </c>
      <c r="S575" s="77">
        <v>7414000005</v>
      </c>
      <c r="AB575"/>
      <c r="AC575"/>
    </row>
    <row r="576" spans="2:29" x14ac:dyDescent="0.25">
      <c r="B576">
        <v>0</v>
      </c>
      <c r="F576">
        <v>0</v>
      </c>
      <c r="P576" s="78">
        <v>2240</v>
      </c>
      <c r="Q576" s="79">
        <v>212509.15168000001</v>
      </c>
      <c r="R576" s="77" t="s">
        <v>394</v>
      </c>
      <c r="S576" s="77">
        <v>7414000005</v>
      </c>
      <c r="AB576"/>
      <c r="AC576"/>
    </row>
    <row r="577" spans="2:29" x14ac:dyDescent="0.25">
      <c r="B577">
        <v>0</v>
      </c>
      <c r="F577">
        <v>0</v>
      </c>
      <c r="P577" s="78">
        <v>9538</v>
      </c>
      <c r="Q577" s="79">
        <v>853550.51717000001</v>
      </c>
      <c r="R577" s="77" t="s">
        <v>394</v>
      </c>
      <c r="S577" s="77">
        <v>7414000005</v>
      </c>
      <c r="AB577"/>
      <c r="AC577"/>
    </row>
    <row r="578" spans="2:29" x14ac:dyDescent="0.25">
      <c r="B578">
        <v>0</v>
      </c>
      <c r="F578">
        <v>0</v>
      </c>
      <c r="P578" s="78">
        <v>6380</v>
      </c>
      <c r="Q578" s="79">
        <v>549937.67663999996</v>
      </c>
      <c r="R578" s="77" t="s">
        <v>394</v>
      </c>
      <c r="S578" s="77">
        <v>7414000005</v>
      </c>
      <c r="AB578"/>
      <c r="AC578"/>
    </row>
    <row r="579" spans="2:29" x14ac:dyDescent="0.25">
      <c r="B579">
        <v>0</v>
      </c>
      <c r="F579">
        <v>0</v>
      </c>
      <c r="P579" s="78">
        <v>30682</v>
      </c>
      <c r="Q579" s="79">
        <v>2653052.719428</v>
      </c>
      <c r="R579" s="77" t="s">
        <v>394</v>
      </c>
      <c r="S579" s="77">
        <v>7414000005</v>
      </c>
      <c r="AB579"/>
      <c r="AC579"/>
    </row>
    <row r="580" spans="2:29" x14ac:dyDescent="0.25">
      <c r="B580">
        <v>0</v>
      </c>
      <c r="F580">
        <v>0</v>
      </c>
      <c r="P580" s="78">
        <v>412</v>
      </c>
      <c r="Q580" s="79">
        <v>41797.797992</v>
      </c>
      <c r="R580" s="77" t="s">
        <v>394</v>
      </c>
      <c r="S580" s="77">
        <v>7414000005</v>
      </c>
      <c r="AB580"/>
      <c r="AC580"/>
    </row>
    <row r="581" spans="2:29" x14ac:dyDescent="0.25">
      <c r="B581">
        <v>0</v>
      </c>
      <c r="F581">
        <v>0</v>
      </c>
      <c r="P581" s="78">
        <v>442</v>
      </c>
      <c r="Q581" s="79">
        <v>39622.282024</v>
      </c>
      <c r="R581" s="77" t="s">
        <v>394</v>
      </c>
      <c r="S581" s="77">
        <v>7414000005</v>
      </c>
      <c r="AB581"/>
      <c r="AC581"/>
    </row>
    <row r="582" spans="2:29" x14ac:dyDescent="0.25">
      <c r="B582">
        <v>0</v>
      </c>
      <c r="F582">
        <v>0</v>
      </c>
      <c r="P582" s="78">
        <v>11371</v>
      </c>
      <c r="Q582" s="79">
        <v>929452.57706000004</v>
      </c>
      <c r="R582" s="77" t="s">
        <v>394</v>
      </c>
      <c r="S582" s="77">
        <v>7414000005</v>
      </c>
      <c r="AB582"/>
      <c r="AC582"/>
    </row>
    <row r="583" spans="2:29" x14ac:dyDescent="0.25">
      <c r="B583">
        <v>0</v>
      </c>
      <c r="F583">
        <v>0</v>
      </c>
      <c r="P583" s="78">
        <v>1576</v>
      </c>
      <c r="Q583" s="79">
        <v>131124.399336</v>
      </c>
      <c r="R583" s="77" t="s">
        <v>394</v>
      </c>
      <c r="S583" s="77">
        <v>7414000005</v>
      </c>
      <c r="AB583"/>
      <c r="AC583"/>
    </row>
    <row r="584" spans="2:29" x14ac:dyDescent="0.25">
      <c r="B584">
        <v>0</v>
      </c>
      <c r="F584">
        <v>0</v>
      </c>
      <c r="P584" s="78">
        <v>17408</v>
      </c>
      <c r="Q584" s="79">
        <v>1430239.661056</v>
      </c>
      <c r="R584" s="77" t="s">
        <v>394</v>
      </c>
      <c r="S584" s="77">
        <v>7414000005</v>
      </c>
      <c r="AB584"/>
      <c r="AC584"/>
    </row>
    <row r="585" spans="2:29" x14ac:dyDescent="0.25">
      <c r="B585">
        <v>0</v>
      </c>
      <c r="F585">
        <v>0</v>
      </c>
      <c r="P585" s="78">
        <v>7840</v>
      </c>
      <c r="Q585" s="79">
        <v>768381.41856000002</v>
      </c>
      <c r="R585" s="77" t="s">
        <v>394</v>
      </c>
      <c r="S585" s="77">
        <v>7414000005</v>
      </c>
      <c r="AB585"/>
      <c r="AC585"/>
    </row>
    <row r="586" spans="2:29" x14ac:dyDescent="0.25">
      <c r="B586">
        <v>0</v>
      </c>
      <c r="F586">
        <v>0</v>
      </c>
      <c r="P586" s="78">
        <v>1813682</v>
      </c>
      <c r="Q586" s="79">
        <v>6160664.2345040003</v>
      </c>
      <c r="R586" s="77" t="s">
        <v>394</v>
      </c>
      <c r="S586" s="77">
        <v>7414000005</v>
      </c>
      <c r="AB586"/>
      <c r="AC586"/>
    </row>
    <row r="587" spans="2:29" x14ac:dyDescent="0.25">
      <c r="B587">
        <v>0</v>
      </c>
      <c r="F587">
        <v>0</v>
      </c>
      <c r="P587" s="78">
        <v>1409220</v>
      </c>
      <c r="Q587" s="79">
        <v>5472331.0174799999</v>
      </c>
      <c r="R587" s="77" t="s">
        <v>394</v>
      </c>
      <c r="S587" s="77">
        <v>7414000005</v>
      </c>
      <c r="AB587"/>
      <c r="AC587"/>
    </row>
    <row r="588" spans="2:29" x14ac:dyDescent="0.25">
      <c r="B588">
        <v>0</v>
      </c>
      <c r="F588">
        <v>0</v>
      </c>
      <c r="P588" s="78">
        <v>103</v>
      </c>
      <c r="Q588" s="79">
        <v>26373.161844999999</v>
      </c>
      <c r="R588" s="77" t="s">
        <v>394</v>
      </c>
      <c r="S588" s="77">
        <v>7414000005</v>
      </c>
      <c r="AB588"/>
      <c r="AC588"/>
    </row>
    <row r="589" spans="2:29" x14ac:dyDescent="0.25">
      <c r="B589">
        <v>0</v>
      </c>
      <c r="F589">
        <v>0</v>
      </c>
      <c r="P589" s="78">
        <v>744</v>
      </c>
      <c r="Q589" s="79">
        <v>577114.68952799996</v>
      </c>
      <c r="R589" s="77" t="s">
        <v>394</v>
      </c>
      <c r="S589" s="77">
        <v>7414000005</v>
      </c>
      <c r="AB589"/>
      <c r="AC589"/>
    </row>
    <row r="590" spans="2:29" x14ac:dyDescent="0.25">
      <c r="B590">
        <v>0</v>
      </c>
      <c r="F590">
        <v>0</v>
      </c>
      <c r="P590" s="78">
        <v>1140</v>
      </c>
      <c r="Q590" s="79">
        <v>851783.41248000006</v>
      </c>
      <c r="R590" s="77" t="s">
        <v>394</v>
      </c>
      <c r="S590" s="77">
        <v>7414000005</v>
      </c>
      <c r="AB590"/>
      <c r="AC590"/>
    </row>
    <row r="591" spans="2:29" x14ac:dyDescent="0.25">
      <c r="B591">
        <v>0</v>
      </c>
      <c r="F591">
        <v>0</v>
      </c>
      <c r="P591" s="78">
        <v>1075</v>
      </c>
      <c r="Q591" s="79">
        <v>823368.17422499997</v>
      </c>
      <c r="R591" s="77" t="s">
        <v>394</v>
      </c>
      <c r="S591" s="77">
        <v>7414000005</v>
      </c>
      <c r="AB591"/>
      <c r="AC591"/>
    </row>
    <row r="592" spans="2:29" x14ac:dyDescent="0.25">
      <c r="B592">
        <v>0</v>
      </c>
      <c r="F592">
        <v>0</v>
      </c>
      <c r="P592" s="78">
        <v>5246</v>
      </c>
      <c r="Q592" s="79">
        <v>3592928.522868</v>
      </c>
      <c r="R592" s="77" t="s">
        <v>394</v>
      </c>
      <c r="S592" s="77">
        <v>7414000005</v>
      </c>
      <c r="AB592"/>
      <c r="AC592"/>
    </row>
    <row r="593" spans="2:29" x14ac:dyDescent="0.25">
      <c r="B593">
        <v>0</v>
      </c>
      <c r="F593">
        <v>0</v>
      </c>
      <c r="P593" s="78">
        <v>489</v>
      </c>
      <c r="Q593" s="79">
        <v>377961.28588500002</v>
      </c>
      <c r="R593" s="77" t="s">
        <v>394</v>
      </c>
      <c r="S593" s="77">
        <v>7414000005</v>
      </c>
      <c r="AB593"/>
      <c r="AC593"/>
    </row>
    <row r="594" spans="2:29" x14ac:dyDescent="0.25">
      <c r="B594">
        <v>0</v>
      </c>
      <c r="F594">
        <v>0</v>
      </c>
      <c r="P594" s="78">
        <v>549</v>
      </c>
      <c r="Q594" s="79">
        <v>396155.45736</v>
      </c>
      <c r="R594" s="77" t="s">
        <v>394</v>
      </c>
      <c r="S594" s="77">
        <v>7414000005</v>
      </c>
      <c r="AB594"/>
      <c r="AC594"/>
    </row>
    <row r="595" spans="2:29" x14ac:dyDescent="0.25">
      <c r="B595">
        <v>0</v>
      </c>
      <c r="F595">
        <v>0</v>
      </c>
      <c r="P595" s="78">
        <v>520</v>
      </c>
      <c r="Q595" s="79">
        <v>330700.82188</v>
      </c>
      <c r="R595" s="77" t="s">
        <v>394</v>
      </c>
      <c r="S595" s="77">
        <v>7414000005</v>
      </c>
      <c r="AB595"/>
      <c r="AC595"/>
    </row>
    <row r="596" spans="2:29" x14ac:dyDescent="0.25">
      <c r="B596">
        <v>0</v>
      </c>
      <c r="F596">
        <v>0</v>
      </c>
      <c r="P596" s="78">
        <v>853</v>
      </c>
      <c r="Q596" s="79">
        <v>605092.38907300006</v>
      </c>
      <c r="R596" s="77" t="s">
        <v>394</v>
      </c>
      <c r="S596" s="77">
        <v>7414000005</v>
      </c>
      <c r="AB596"/>
      <c r="AC596"/>
    </row>
    <row r="597" spans="2:29" x14ac:dyDescent="0.25">
      <c r="B597">
        <v>0</v>
      </c>
      <c r="F597">
        <v>0</v>
      </c>
      <c r="P597" s="78">
        <v>3208</v>
      </c>
      <c r="Q597" s="79">
        <v>2227671.0878960001</v>
      </c>
      <c r="R597" s="77" t="s">
        <v>394</v>
      </c>
      <c r="S597" s="77">
        <v>7414000005</v>
      </c>
      <c r="AB597"/>
      <c r="AC597"/>
    </row>
    <row r="598" spans="2:29" x14ac:dyDescent="0.25">
      <c r="B598">
        <v>0</v>
      </c>
      <c r="F598">
        <v>0</v>
      </c>
      <c r="P598" s="78">
        <v>2634000</v>
      </c>
      <c r="Q598" s="79">
        <v>12076563.384</v>
      </c>
      <c r="R598" s="77" t="s">
        <v>394</v>
      </c>
      <c r="S598" s="77">
        <v>7414000005</v>
      </c>
      <c r="AB598"/>
      <c r="AC598"/>
    </row>
    <row r="599" spans="2:29" x14ac:dyDescent="0.25">
      <c r="B599">
        <v>0</v>
      </c>
      <c r="F599">
        <v>0</v>
      </c>
      <c r="P599" s="78">
        <v>126592</v>
      </c>
      <c r="Q599" s="79">
        <v>430004.16102399997</v>
      </c>
      <c r="R599" s="77" t="s">
        <v>394</v>
      </c>
      <c r="S599" s="77">
        <v>7414000005</v>
      </c>
      <c r="AB599"/>
      <c r="AC599"/>
    </row>
    <row r="600" spans="2:29" x14ac:dyDescent="0.25">
      <c r="B600">
        <v>0</v>
      </c>
      <c r="F600">
        <v>0</v>
      </c>
      <c r="P600" s="78">
        <v>3579</v>
      </c>
      <c r="Q600" s="79">
        <v>13898.094486</v>
      </c>
      <c r="R600" s="77" t="s">
        <v>394</v>
      </c>
      <c r="S600" s="77">
        <v>7414000005</v>
      </c>
      <c r="AB600"/>
      <c r="AC600"/>
    </row>
    <row r="601" spans="2:29" x14ac:dyDescent="0.25">
      <c r="B601">
        <v>0</v>
      </c>
      <c r="F601">
        <v>0</v>
      </c>
      <c r="P601" s="78">
        <v>2810000</v>
      </c>
      <c r="Q601" s="79">
        <v>12883501.560000001</v>
      </c>
      <c r="R601" s="77" t="s">
        <v>394</v>
      </c>
      <c r="S601" s="77">
        <v>7414000005</v>
      </c>
      <c r="AB601"/>
      <c r="AC601"/>
    </row>
    <row r="602" spans="2:29" x14ac:dyDescent="0.25">
      <c r="B602">
        <v>0</v>
      </c>
      <c r="F602">
        <v>0</v>
      </c>
      <c r="P602" s="78">
        <v>147007</v>
      </c>
      <c r="Q602" s="79">
        <v>499349.26140399999</v>
      </c>
      <c r="R602" s="77" t="s">
        <v>394</v>
      </c>
      <c r="S602" s="77">
        <v>7414000005</v>
      </c>
      <c r="AB602"/>
      <c r="AC602"/>
    </row>
    <row r="603" spans="2:29" x14ac:dyDescent="0.25">
      <c r="B603">
        <v>0</v>
      </c>
      <c r="F603">
        <v>0</v>
      </c>
      <c r="P603" s="78">
        <v>0</v>
      </c>
      <c r="Q603" s="79">
        <v>136726683.61000001</v>
      </c>
      <c r="R603" s="77" t="s">
        <v>394</v>
      </c>
      <c r="S603" s="77">
        <v>7414000005</v>
      </c>
      <c r="AB603"/>
      <c r="AC603"/>
    </row>
    <row r="604" spans="2:29" x14ac:dyDescent="0.25">
      <c r="B604">
        <v>0</v>
      </c>
      <c r="F604">
        <v>0</v>
      </c>
      <c r="P604" s="78">
        <v>0</v>
      </c>
      <c r="Q604" s="79">
        <v>0</v>
      </c>
      <c r="R604" s="77" t="s">
        <v>394</v>
      </c>
      <c r="S604" s="77">
        <v>7414000005</v>
      </c>
      <c r="AB604"/>
      <c r="AC604"/>
    </row>
    <row r="605" spans="2:29" x14ac:dyDescent="0.25">
      <c r="B605">
        <v>0</v>
      </c>
      <c r="F605">
        <v>0</v>
      </c>
      <c r="P605" s="78">
        <v>288941</v>
      </c>
      <c r="Q605" s="79">
        <v>981466.69845200004</v>
      </c>
      <c r="R605" s="77" t="s">
        <v>394</v>
      </c>
      <c r="S605" s="77">
        <v>7414000005</v>
      </c>
      <c r="AB605"/>
      <c r="AC605"/>
    </row>
    <row r="606" spans="2:29" x14ac:dyDescent="0.25">
      <c r="B606">
        <v>0</v>
      </c>
      <c r="F606">
        <v>0</v>
      </c>
      <c r="P606" s="78">
        <v>1266664</v>
      </c>
      <c r="Q606" s="79">
        <v>4302568.8086080002</v>
      </c>
      <c r="R606" s="77" t="s">
        <v>394</v>
      </c>
      <c r="S606" s="77">
        <v>7414000005</v>
      </c>
      <c r="AB606"/>
      <c r="AC606"/>
    </row>
    <row r="607" spans="2:29" x14ac:dyDescent="0.25">
      <c r="B607">
        <v>0</v>
      </c>
      <c r="F607">
        <v>0</v>
      </c>
      <c r="P607" s="78">
        <v>2766884</v>
      </c>
      <c r="Q607" s="79">
        <v>9398474.0984480008</v>
      </c>
      <c r="R607" s="77" t="s">
        <v>394</v>
      </c>
      <c r="S607" s="77">
        <v>7414000005</v>
      </c>
      <c r="AB607"/>
      <c r="AC607"/>
    </row>
    <row r="608" spans="2:29" x14ac:dyDescent="0.25">
      <c r="B608">
        <v>0</v>
      </c>
      <c r="F608">
        <v>0</v>
      </c>
      <c r="P608" s="78">
        <v>180276</v>
      </c>
      <c r="Q608" s="79">
        <v>613029.25910400006</v>
      </c>
      <c r="R608" s="77" t="s">
        <v>394</v>
      </c>
      <c r="S608" s="77">
        <v>7414000005</v>
      </c>
      <c r="AB608"/>
      <c r="AC608"/>
    </row>
    <row r="609" spans="2:29" x14ac:dyDescent="0.25">
      <c r="B609">
        <v>0</v>
      </c>
      <c r="F609">
        <v>0</v>
      </c>
      <c r="P609" s="78">
        <v>0</v>
      </c>
      <c r="Q609" s="79">
        <v>2066083.19</v>
      </c>
      <c r="R609" s="77" t="s">
        <v>394</v>
      </c>
      <c r="S609" s="77">
        <v>7414000005</v>
      </c>
      <c r="AB609"/>
      <c r="AC609"/>
    </row>
    <row r="610" spans="2:29" x14ac:dyDescent="0.25">
      <c r="B610">
        <v>0</v>
      </c>
      <c r="F610">
        <v>0</v>
      </c>
      <c r="P610" s="78">
        <v>11271177</v>
      </c>
      <c r="Q610" s="79">
        <v>38285618.440644003</v>
      </c>
      <c r="R610" s="77" t="s">
        <v>394</v>
      </c>
      <c r="S610" s="77">
        <v>7414000005</v>
      </c>
      <c r="AB610"/>
      <c r="AC610"/>
    </row>
    <row r="611" spans="2:29" x14ac:dyDescent="0.25">
      <c r="B611">
        <v>0</v>
      </c>
      <c r="F611">
        <v>0</v>
      </c>
      <c r="P611" s="78">
        <v>0</v>
      </c>
      <c r="Q611" s="79">
        <v>4816735.47</v>
      </c>
      <c r="R611" s="77" t="s">
        <v>394</v>
      </c>
      <c r="S611" s="77">
        <v>7414000005</v>
      </c>
      <c r="AB611"/>
      <c r="AC611"/>
    </row>
    <row r="612" spans="2:29" x14ac:dyDescent="0.25">
      <c r="B612">
        <v>0</v>
      </c>
      <c r="F612">
        <v>0</v>
      </c>
      <c r="P612" s="78">
        <v>14901298</v>
      </c>
      <c r="Q612" s="79">
        <v>50616311.810056001</v>
      </c>
      <c r="R612" s="77" t="s">
        <v>394</v>
      </c>
      <c r="S612" s="77">
        <v>7414000005</v>
      </c>
      <c r="AB612"/>
      <c r="AC612"/>
    </row>
    <row r="613" spans="2:29" x14ac:dyDescent="0.25">
      <c r="B613">
        <v>0</v>
      </c>
      <c r="F613">
        <v>0</v>
      </c>
      <c r="P613" s="78">
        <v>5399</v>
      </c>
      <c r="Q613" s="79">
        <v>18359.321096</v>
      </c>
      <c r="R613" s="77" t="s">
        <v>394</v>
      </c>
      <c r="S613" s="77">
        <v>7414000005</v>
      </c>
      <c r="AB613"/>
      <c r="AC613"/>
    </row>
    <row r="614" spans="2:29" x14ac:dyDescent="0.25">
      <c r="B614">
        <v>0</v>
      </c>
      <c r="F614">
        <v>0</v>
      </c>
      <c r="P614" s="78">
        <v>0</v>
      </c>
      <c r="Q614" s="79">
        <v>720199.81</v>
      </c>
      <c r="R614" s="77" t="s">
        <v>394</v>
      </c>
      <c r="S614" s="77">
        <v>7414000005</v>
      </c>
      <c r="AB614"/>
      <c r="AC614"/>
    </row>
    <row r="615" spans="2:29" x14ac:dyDescent="0.25">
      <c r="B615">
        <v>0</v>
      </c>
      <c r="F615">
        <v>0</v>
      </c>
      <c r="P615" s="78">
        <v>4700479</v>
      </c>
      <c r="Q615" s="79">
        <v>15983997.641416</v>
      </c>
      <c r="R615" s="77" t="s">
        <v>394</v>
      </c>
      <c r="S615" s="77">
        <v>7414000005</v>
      </c>
      <c r="AB615"/>
      <c r="AC615"/>
    </row>
    <row r="616" spans="2:29" x14ac:dyDescent="0.25">
      <c r="B616">
        <v>0</v>
      </c>
      <c r="F616">
        <v>0</v>
      </c>
      <c r="P616" s="78">
        <v>1364000</v>
      </c>
      <c r="Q616" s="79">
        <v>4638287.4560000002</v>
      </c>
      <c r="R616" s="77" t="s">
        <v>394</v>
      </c>
      <c r="S616" s="77">
        <v>7414000005</v>
      </c>
      <c r="AB616"/>
      <c r="AC616"/>
    </row>
    <row r="617" spans="2:29" x14ac:dyDescent="0.25">
      <c r="B617">
        <v>0</v>
      </c>
      <c r="F617">
        <v>0</v>
      </c>
      <c r="P617" s="78">
        <v>1874444</v>
      </c>
      <c r="Q617" s="79">
        <v>6374054.3197760005</v>
      </c>
      <c r="R617" s="77" t="s">
        <v>394</v>
      </c>
      <c r="S617" s="77">
        <v>7414000005</v>
      </c>
      <c r="AB617"/>
      <c r="AC617"/>
    </row>
    <row r="618" spans="2:29" x14ac:dyDescent="0.25">
      <c r="B618">
        <v>0</v>
      </c>
      <c r="F618">
        <v>0</v>
      </c>
      <c r="P618" s="78">
        <v>0</v>
      </c>
      <c r="Q618" s="79">
        <v>2496246.89</v>
      </c>
      <c r="R618" s="77" t="s">
        <v>394</v>
      </c>
      <c r="S618" s="77">
        <v>7414000005</v>
      </c>
      <c r="AB618"/>
      <c r="AC618"/>
    </row>
    <row r="619" spans="2:29" x14ac:dyDescent="0.25">
      <c r="B619">
        <v>0</v>
      </c>
      <c r="F619">
        <v>0</v>
      </c>
      <c r="P619" s="78">
        <v>1617132</v>
      </c>
      <c r="Q619" s="79">
        <v>5493028.6979040001</v>
      </c>
      <c r="R619" s="77" t="s">
        <v>394</v>
      </c>
      <c r="S619" s="77">
        <v>7414000005</v>
      </c>
      <c r="AB619"/>
      <c r="AC619"/>
    </row>
    <row r="620" spans="2:29" x14ac:dyDescent="0.25">
      <c r="B620">
        <v>0</v>
      </c>
      <c r="F620">
        <v>0</v>
      </c>
      <c r="P620" s="78">
        <v>1192887</v>
      </c>
      <c r="Q620" s="79">
        <v>4051965.1607639999</v>
      </c>
      <c r="R620" s="77" t="s">
        <v>394</v>
      </c>
      <c r="S620" s="77">
        <v>7414000005</v>
      </c>
      <c r="AB620"/>
      <c r="AC620"/>
    </row>
    <row r="621" spans="2:29" x14ac:dyDescent="0.25">
      <c r="B621">
        <v>0</v>
      </c>
      <c r="F621">
        <v>0</v>
      </c>
      <c r="P621" s="78">
        <v>597515</v>
      </c>
      <c r="Q621" s="79">
        <v>2320290.5635099998</v>
      </c>
      <c r="R621" s="77" t="s">
        <v>394</v>
      </c>
      <c r="S621" s="77">
        <v>7414000005</v>
      </c>
      <c r="AB621"/>
      <c r="AC621"/>
    </row>
    <row r="622" spans="2:29" x14ac:dyDescent="0.25">
      <c r="B622">
        <v>0</v>
      </c>
      <c r="F622">
        <v>0</v>
      </c>
      <c r="P622" s="78">
        <v>1762362</v>
      </c>
      <c r="Q622" s="79">
        <v>4876247.6952839997</v>
      </c>
      <c r="R622" s="77" t="s">
        <v>394</v>
      </c>
      <c r="S622" s="77">
        <v>7414000005</v>
      </c>
      <c r="AB622"/>
      <c r="AC622"/>
    </row>
    <row r="623" spans="2:29" x14ac:dyDescent="0.25">
      <c r="B623">
        <v>0</v>
      </c>
      <c r="F623">
        <v>0</v>
      </c>
      <c r="P623" s="78">
        <v>0</v>
      </c>
      <c r="Q623" s="79">
        <v>411999.01</v>
      </c>
      <c r="R623" s="77" t="s">
        <v>394</v>
      </c>
      <c r="S623" s="77">
        <v>7414000005</v>
      </c>
      <c r="AB623"/>
      <c r="AC623"/>
    </row>
    <row r="624" spans="2:29" x14ac:dyDescent="0.25">
      <c r="B624">
        <v>0</v>
      </c>
      <c r="F624">
        <v>0</v>
      </c>
      <c r="P624" s="78">
        <v>2496183</v>
      </c>
      <c r="Q624" s="79">
        <v>8478964.5212760009</v>
      </c>
      <c r="R624" s="77" t="s">
        <v>394</v>
      </c>
      <c r="S624" s="77">
        <v>7414000005</v>
      </c>
      <c r="AB624"/>
      <c r="AC624"/>
    </row>
    <row r="625" spans="2:29" x14ac:dyDescent="0.25">
      <c r="B625">
        <v>0</v>
      </c>
      <c r="F625">
        <v>0</v>
      </c>
      <c r="P625" s="78">
        <v>0</v>
      </c>
      <c r="Q625" s="79">
        <v>1350374.65</v>
      </c>
      <c r="R625" s="77" t="s">
        <v>394</v>
      </c>
      <c r="S625" s="77">
        <v>7414000005</v>
      </c>
      <c r="AB625"/>
      <c r="AC625"/>
    </row>
    <row r="626" spans="2:29" x14ac:dyDescent="0.25">
      <c r="B626">
        <v>0</v>
      </c>
      <c r="F626">
        <v>0</v>
      </c>
      <c r="P626" s="78">
        <v>3941087</v>
      </c>
      <c r="Q626" s="79">
        <v>13386973.971163999</v>
      </c>
      <c r="R626" s="77" t="s">
        <v>394</v>
      </c>
      <c r="S626" s="77">
        <v>7414000005</v>
      </c>
      <c r="AB626"/>
      <c r="AC626"/>
    </row>
    <row r="627" spans="2:29" x14ac:dyDescent="0.25">
      <c r="B627">
        <v>0</v>
      </c>
      <c r="F627">
        <v>0</v>
      </c>
      <c r="P627" s="78">
        <v>916623</v>
      </c>
      <c r="Q627" s="79">
        <v>2875696.5890790001</v>
      </c>
      <c r="R627" s="77" t="s">
        <v>394</v>
      </c>
      <c r="S627" s="77">
        <v>7414000005</v>
      </c>
      <c r="AB627"/>
      <c r="AC627"/>
    </row>
    <row r="628" spans="2:29" x14ac:dyDescent="0.25">
      <c r="B628">
        <v>0</v>
      </c>
      <c r="F628">
        <v>0</v>
      </c>
      <c r="P628" s="78">
        <v>2500000</v>
      </c>
      <c r="Q628" s="79">
        <v>24656807.5</v>
      </c>
      <c r="R628" s="77" t="s">
        <v>394</v>
      </c>
      <c r="S628" s="77">
        <v>7414000005</v>
      </c>
      <c r="AB628"/>
      <c r="AC628"/>
    </row>
    <row r="629" spans="2:29" x14ac:dyDescent="0.25">
      <c r="B629">
        <v>0</v>
      </c>
      <c r="F629">
        <v>0</v>
      </c>
      <c r="P629" s="78">
        <v>1000000</v>
      </c>
      <c r="Q629" s="79">
        <v>9062164</v>
      </c>
      <c r="R629" s="77" t="s">
        <v>394</v>
      </c>
      <c r="S629" s="77">
        <v>7414000005</v>
      </c>
      <c r="AB629"/>
      <c r="AC629"/>
    </row>
    <row r="630" spans="2:29" x14ac:dyDescent="0.25">
      <c r="B630">
        <v>0</v>
      </c>
      <c r="F630">
        <v>0</v>
      </c>
      <c r="P630" s="78">
        <v>998432</v>
      </c>
      <c r="Q630" s="79">
        <v>3391445.8615040001</v>
      </c>
      <c r="R630" s="77" t="s">
        <v>394</v>
      </c>
      <c r="S630" s="77">
        <v>7414000005</v>
      </c>
      <c r="AB630"/>
      <c r="AC630"/>
    </row>
    <row r="631" spans="2:29" x14ac:dyDescent="0.25">
      <c r="B631">
        <v>0</v>
      </c>
      <c r="F631">
        <v>0</v>
      </c>
      <c r="P631" s="78">
        <v>140930</v>
      </c>
      <c r="Q631" s="79">
        <v>1316027.3115900001</v>
      </c>
      <c r="R631" s="77" t="s">
        <v>394</v>
      </c>
      <c r="S631" s="77">
        <v>7414000005</v>
      </c>
      <c r="AB631"/>
      <c r="AC631"/>
    </row>
    <row r="632" spans="2:29" x14ac:dyDescent="0.25">
      <c r="B632">
        <v>0</v>
      </c>
      <c r="F632">
        <v>0</v>
      </c>
      <c r="P632" s="78">
        <v>107960</v>
      </c>
      <c r="Q632" s="79">
        <v>992167.19051999995</v>
      </c>
      <c r="R632" s="77" t="s">
        <v>394</v>
      </c>
      <c r="S632" s="77">
        <v>7414000005</v>
      </c>
      <c r="AB632"/>
      <c r="AC632"/>
    </row>
    <row r="633" spans="2:29" x14ac:dyDescent="0.25">
      <c r="B633">
        <v>0</v>
      </c>
      <c r="F633">
        <v>0</v>
      </c>
      <c r="P633" s="78">
        <v>0</v>
      </c>
      <c r="Q633" s="79">
        <v>6761036.1500000004</v>
      </c>
      <c r="R633" s="77" t="s">
        <v>394</v>
      </c>
      <c r="S633" s="77">
        <v>7414000005</v>
      </c>
      <c r="AB633"/>
      <c r="AC633"/>
    </row>
    <row r="634" spans="2:29" x14ac:dyDescent="0.25">
      <c r="B634">
        <v>0</v>
      </c>
      <c r="F634">
        <v>0</v>
      </c>
      <c r="P634" s="78">
        <v>6330</v>
      </c>
      <c r="Q634" s="79">
        <v>624963.10916999995</v>
      </c>
      <c r="R634" s="77" t="s">
        <v>394</v>
      </c>
      <c r="S634" s="77">
        <v>7414000005</v>
      </c>
      <c r="AB634"/>
      <c r="AC634"/>
    </row>
    <row r="635" spans="2:29" x14ac:dyDescent="0.25">
      <c r="B635">
        <v>0</v>
      </c>
      <c r="F635">
        <v>0</v>
      </c>
      <c r="P635" s="78">
        <v>4639</v>
      </c>
      <c r="Q635" s="79">
        <v>460409.14322199998</v>
      </c>
      <c r="R635" s="77" t="s">
        <v>394</v>
      </c>
      <c r="S635" s="77">
        <v>7414000005</v>
      </c>
      <c r="AB635"/>
      <c r="AC635"/>
    </row>
    <row r="636" spans="2:29" x14ac:dyDescent="0.25">
      <c r="B636">
        <v>0</v>
      </c>
      <c r="F636">
        <v>0</v>
      </c>
      <c r="P636" s="78">
        <v>1360</v>
      </c>
      <c r="Q636" s="79">
        <v>129163.47992</v>
      </c>
      <c r="R636" s="77" t="s">
        <v>394</v>
      </c>
      <c r="S636" s="77">
        <v>7414000005</v>
      </c>
      <c r="AB636"/>
      <c r="AC636"/>
    </row>
    <row r="637" spans="2:29" x14ac:dyDescent="0.25">
      <c r="B637">
        <v>0</v>
      </c>
      <c r="F637">
        <v>0</v>
      </c>
      <c r="P637" s="78">
        <v>8055</v>
      </c>
      <c r="Q637" s="79">
        <v>740349.71815500001</v>
      </c>
      <c r="R637" s="77" t="s">
        <v>394</v>
      </c>
      <c r="S637" s="77">
        <v>7414000005</v>
      </c>
      <c r="AB637"/>
      <c r="AC637"/>
    </row>
    <row r="638" spans="2:29" x14ac:dyDescent="0.25">
      <c r="B638">
        <v>0</v>
      </c>
      <c r="F638">
        <v>0</v>
      </c>
      <c r="P638" s="78">
        <v>3380</v>
      </c>
      <c r="Q638" s="79">
        <v>299799.65574000002</v>
      </c>
      <c r="R638" s="77" t="s">
        <v>394</v>
      </c>
      <c r="S638" s="77">
        <v>7414000005</v>
      </c>
      <c r="AB638"/>
      <c r="AC638"/>
    </row>
    <row r="639" spans="2:29" x14ac:dyDescent="0.25">
      <c r="B639">
        <v>0</v>
      </c>
      <c r="F639">
        <v>0</v>
      </c>
      <c r="P639" s="78">
        <v>6880</v>
      </c>
      <c r="Q639" s="79">
        <v>642001.64095999999</v>
      </c>
      <c r="R639" s="77" t="s">
        <v>394</v>
      </c>
      <c r="S639" s="77">
        <v>7414000005</v>
      </c>
      <c r="AB639"/>
      <c r="AC639"/>
    </row>
    <row r="640" spans="2:29" x14ac:dyDescent="0.25">
      <c r="B640">
        <v>0</v>
      </c>
      <c r="F640">
        <v>0</v>
      </c>
      <c r="P640" s="78">
        <v>6256</v>
      </c>
      <c r="Q640" s="79">
        <v>593507.702192</v>
      </c>
      <c r="R640" s="77" t="s">
        <v>394</v>
      </c>
      <c r="S640" s="77">
        <v>7414000005</v>
      </c>
      <c r="AB640"/>
      <c r="AC640"/>
    </row>
    <row r="641" spans="2:29" x14ac:dyDescent="0.25">
      <c r="B641">
        <v>0</v>
      </c>
      <c r="F641">
        <v>0</v>
      </c>
      <c r="P641" s="78">
        <v>7471</v>
      </c>
      <c r="Q641" s="79">
        <v>668575.79301499994</v>
      </c>
      <c r="R641" s="77" t="s">
        <v>394</v>
      </c>
      <c r="S641" s="77">
        <v>7414000005</v>
      </c>
      <c r="AB641"/>
      <c r="AC641"/>
    </row>
    <row r="642" spans="2:29" x14ac:dyDescent="0.25">
      <c r="B642">
        <v>0</v>
      </c>
      <c r="F642">
        <v>0</v>
      </c>
      <c r="P642" s="78">
        <v>5030</v>
      </c>
      <c r="Q642" s="79">
        <v>433571.55384000001</v>
      </c>
      <c r="R642" s="77" t="s">
        <v>394</v>
      </c>
      <c r="S642" s="77">
        <v>7414000005</v>
      </c>
      <c r="AB642"/>
      <c r="AC642"/>
    </row>
    <row r="643" spans="2:29" x14ac:dyDescent="0.25">
      <c r="B643">
        <v>0</v>
      </c>
      <c r="F643">
        <v>0</v>
      </c>
      <c r="P643" s="78">
        <v>1960</v>
      </c>
      <c r="Q643" s="79">
        <v>169479.93384000001</v>
      </c>
      <c r="R643" s="77" t="s">
        <v>394</v>
      </c>
      <c r="S643" s="77">
        <v>7414000005</v>
      </c>
      <c r="AB643"/>
      <c r="AC643"/>
    </row>
    <row r="644" spans="2:29" x14ac:dyDescent="0.25">
      <c r="B644">
        <v>0</v>
      </c>
      <c r="F644">
        <v>0</v>
      </c>
      <c r="P644" s="78">
        <v>1050</v>
      </c>
      <c r="Q644" s="79">
        <v>106523.5143</v>
      </c>
      <c r="R644" s="77" t="s">
        <v>394</v>
      </c>
      <c r="S644" s="77">
        <v>7414000005</v>
      </c>
      <c r="AB644"/>
      <c r="AC644"/>
    </row>
    <row r="645" spans="2:29" x14ac:dyDescent="0.25">
      <c r="B645">
        <v>0</v>
      </c>
      <c r="F645">
        <v>0</v>
      </c>
      <c r="P645" s="78">
        <v>2717</v>
      </c>
      <c r="Q645" s="79">
        <v>243560.49832399999</v>
      </c>
      <c r="R645" s="77" t="s">
        <v>394</v>
      </c>
      <c r="S645" s="77">
        <v>7414000005</v>
      </c>
      <c r="AB645"/>
      <c r="AC645"/>
    </row>
    <row r="646" spans="2:29" x14ac:dyDescent="0.25">
      <c r="B646">
        <v>0</v>
      </c>
      <c r="F646">
        <v>0</v>
      </c>
      <c r="P646" s="78">
        <v>1980</v>
      </c>
      <c r="Q646" s="79">
        <v>164737.50678</v>
      </c>
      <c r="R646" s="77" t="s">
        <v>394</v>
      </c>
      <c r="S646" s="77">
        <v>7414000005</v>
      </c>
      <c r="AB646"/>
      <c r="AC646"/>
    </row>
    <row r="647" spans="2:29" x14ac:dyDescent="0.25">
      <c r="B647">
        <v>0</v>
      </c>
      <c r="F647">
        <v>0</v>
      </c>
      <c r="P647" s="78">
        <v>2255</v>
      </c>
      <c r="Q647" s="79">
        <v>185270.59028500001</v>
      </c>
      <c r="R647" s="77" t="s">
        <v>394</v>
      </c>
      <c r="S647" s="77">
        <v>7414000005</v>
      </c>
      <c r="AB647"/>
      <c r="AC647"/>
    </row>
    <row r="648" spans="2:29" x14ac:dyDescent="0.25">
      <c r="B648">
        <v>0</v>
      </c>
      <c r="F648">
        <v>0</v>
      </c>
      <c r="P648" s="78">
        <v>11638</v>
      </c>
      <c r="Q648" s="79">
        <v>1140615.172092</v>
      </c>
      <c r="R648" s="77" t="s">
        <v>394</v>
      </c>
      <c r="S648" s="77">
        <v>7414000005</v>
      </c>
      <c r="AB648"/>
      <c r="AC648"/>
    </row>
    <row r="649" spans="2:29" x14ac:dyDescent="0.25">
      <c r="B649">
        <v>0</v>
      </c>
      <c r="F649">
        <v>0</v>
      </c>
      <c r="P649" s="78">
        <v>970000</v>
      </c>
      <c r="Q649" s="79">
        <v>4418876.71</v>
      </c>
      <c r="R649" s="77" t="s">
        <v>394</v>
      </c>
      <c r="S649" s="77">
        <v>7414000005</v>
      </c>
      <c r="AB649"/>
      <c r="AC649"/>
    </row>
    <row r="650" spans="2:29" x14ac:dyDescent="0.25">
      <c r="B650">
        <v>0</v>
      </c>
      <c r="F650">
        <v>0</v>
      </c>
      <c r="P650" s="78">
        <v>1078</v>
      </c>
      <c r="Q650" s="79">
        <v>836195.74638599996</v>
      </c>
      <c r="R650" s="77" t="s">
        <v>394</v>
      </c>
      <c r="S650" s="77">
        <v>7414000005</v>
      </c>
      <c r="AB650"/>
      <c r="AC650"/>
    </row>
    <row r="651" spans="2:29" x14ac:dyDescent="0.25">
      <c r="B651">
        <v>0</v>
      </c>
      <c r="F651">
        <v>0</v>
      </c>
      <c r="P651" s="78">
        <v>710</v>
      </c>
      <c r="Q651" s="79">
        <v>530496.68672</v>
      </c>
      <c r="R651" s="77" t="s">
        <v>394</v>
      </c>
      <c r="S651" s="77">
        <v>7414000005</v>
      </c>
      <c r="AB651"/>
      <c r="AC651"/>
    </row>
    <row r="652" spans="2:29" x14ac:dyDescent="0.25">
      <c r="B652">
        <v>0</v>
      </c>
      <c r="F652">
        <v>0</v>
      </c>
      <c r="P652" s="78">
        <v>1548</v>
      </c>
      <c r="Q652" s="79">
        <v>1185650.1708839999</v>
      </c>
      <c r="R652" s="77" t="s">
        <v>394</v>
      </c>
      <c r="S652" s="77">
        <v>7414000005</v>
      </c>
      <c r="AB652"/>
      <c r="AC652"/>
    </row>
    <row r="653" spans="2:29" x14ac:dyDescent="0.25">
      <c r="B653">
        <v>0</v>
      </c>
      <c r="F653">
        <v>0</v>
      </c>
      <c r="P653" s="78">
        <v>910</v>
      </c>
      <c r="Q653" s="79">
        <v>623249.13378000003</v>
      </c>
      <c r="R653" s="77" t="s">
        <v>394</v>
      </c>
      <c r="S653" s="77">
        <v>7414000005</v>
      </c>
      <c r="AB653"/>
      <c r="AC653"/>
    </row>
    <row r="654" spans="2:29" x14ac:dyDescent="0.25">
      <c r="B654">
        <v>0</v>
      </c>
      <c r="F654">
        <v>0</v>
      </c>
      <c r="P654" s="78">
        <v>348</v>
      </c>
      <c r="Q654" s="79">
        <v>268978.58382</v>
      </c>
      <c r="R654" s="77" t="s">
        <v>394</v>
      </c>
      <c r="S654" s="77">
        <v>7414000005</v>
      </c>
      <c r="AB654"/>
      <c r="AC654"/>
    </row>
    <row r="655" spans="2:29" x14ac:dyDescent="0.25">
      <c r="B655">
        <v>0</v>
      </c>
      <c r="F655">
        <v>0</v>
      </c>
      <c r="P655" s="78">
        <v>1327</v>
      </c>
      <c r="Q655" s="79">
        <v>957556.08727999998</v>
      </c>
      <c r="R655" s="77" t="s">
        <v>394</v>
      </c>
      <c r="S655" s="77">
        <v>7414000005</v>
      </c>
      <c r="AB655"/>
      <c r="AC655"/>
    </row>
    <row r="656" spans="2:29" x14ac:dyDescent="0.25">
      <c r="B656">
        <v>0</v>
      </c>
      <c r="F656">
        <v>0</v>
      </c>
      <c r="P656" s="78">
        <v>383</v>
      </c>
      <c r="Q656" s="79">
        <v>243573.87457700001</v>
      </c>
      <c r="R656" s="77" t="s">
        <v>394</v>
      </c>
      <c r="S656" s="77">
        <v>7414000005</v>
      </c>
      <c r="AB656"/>
      <c r="AC656"/>
    </row>
    <row r="657" spans="2:29" x14ac:dyDescent="0.25">
      <c r="B657">
        <v>0</v>
      </c>
      <c r="F657">
        <v>0</v>
      </c>
      <c r="P657" s="78">
        <v>711</v>
      </c>
      <c r="Q657" s="79">
        <v>504361.88585100003</v>
      </c>
      <c r="R657" s="77" t="s">
        <v>394</v>
      </c>
      <c r="S657" s="77">
        <v>7414000005</v>
      </c>
      <c r="AB657"/>
      <c r="AC657"/>
    </row>
    <row r="658" spans="2:29" x14ac:dyDescent="0.25">
      <c r="B658">
        <v>0</v>
      </c>
      <c r="F658">
        <v>0</v>
      </c>
      <c r="P658" s="78">
        <v>2619</v>
      </c>
      <c r="Q658" s="79">
        <v>1818662.898753</v>
      </c>
      <c r="R658" s="77" t="s">
        <v>394</v>
      </c>
      <c r="S658" s="77">
        <v>7414000005</v>
      </c>
      <c r="AB658"/>
      <c r="AC658"/>
    </row>
    <row r="659" spans="2:29" x14ac:dyDescent="0.25">
      <c r="B659">
        <v>0</v>
      </c>
      <c r="F659">
        <v>0</v>
      </c>
      <c r="P659" s="78">
        <v>441341</v>
      </c>
      <c r="Q659" s="79">
        <v>1499134.751252</v>
      </c>
      <c r="R659" s="77" t="s">
        <v>394</v>
      </c>
      <c r="S659" s="77">
        <v>7414000005</v>
      </c>
      <c r="AB659"/>
      <c r="AC659"/>
    </row>
    <row r="660" spans="2:29" x14ac:dyDescent="0.25">
      <c r="B660">
        <v>0</v>
      </c>
      <c r="F660">
        <v>0</v>
      </c>
      <c r="P660" s="78">
        <v>450953</v>
      </c>
      <c r="Q660" s="79">
        <v>1531784.5237159999</v>
      </c>
      <c r="R660" s="77" t="s">
        <v>394</v>
      </c>
      <c r="S660" s="77">
        <v>7414000005</v>
      </c>
      <c r="AB660"/>
      <c r="AC660"/>
    </row>
    <row r="661" spans="2:29" x14ac:dyDescent="0.25">
      <c r="B661">
        <v>0</v>
      </c>
      <c r="F661">
        <v>0</v>
      </c>
      <c r="P661" s="78">
        <v>288953</v>
      </c>
      <c r="Q661" s="79">
        <v>982585.83231199998</v>
      </c>
      <c r="R661" s="77" t="s">
        <v>394</v>
      </c>
      <c r="S661" s="77">
        <v>7414000005</v>
      </c>
      <c r="AB661"/>
      <c r="AC661"/>
    </row>
    <row r="662" spans="2:29" x14ac:dyDescent="0.25">
      <c r="B662">
        <v>0</v>
      </c>
      <c r="F662">
        <v>0</v>
      </c>
      <c r="P662" s="78">
        <v>0</v>
      </c>
      <c r="Q662" s="79">
        <v>0</v>
      </c>
      <c r="R662" s="77" t="s">
        <v>394</v>
      </c>
      <c r="S662" s="77">
        <v>7414000005</v>
      </c>
      <c r="AB662"/>
      <c r="AC662"/>
    </row>
    <row r="663" spans="2:29" x14ac:dyDescent="0.25">
      <c r="B663">
        <v>0</v>
      </c>
      <c r="F663">
        <v>0</v>
      </c>
      <c r="P663" s="78">
        <v>0</v>
      </c>
      <c r="Q663" s="79">
        <v>0</v>
      </c>
      <c r="R663" s="77" t="s">
        <v>394</v>
      </c>
      <c r="S663" s="77">
        <v>7414000005</v>
      </c>
      <c r="AB663"/>
      <c r="AC663"/>
    </row>
    <row r="664" spans="2:29" x14ac:dyDescent="0.25">
      <c r="B664">
        <v>0</v>
      </c>
      <c r="F664">
        <v>0</v>
      </c>
      <c r="P664" s="78">
        <v>0</v>
      </c>
      <c r="Q664" s="79">
        <v>0</v>
      </c>
      <c r="R664" s="77" t="s">
        <v>394</v>
      </c>
      <c r="S664" s="77">
        <v>7414000005</v>
      </c>
      <c r="AB664"/>
      <c r="AC664"/>
    </row>
    <row r="665" spans="2:29" x14ac:dyDescent="0.25">
      <c r="B665">
        <v>0</v>
      </c>
      <c r="F665">
        <v>0</v>
      </c>
      <c r="P665" s="78">
        <v>31790</v>
      </c>
      <c r="Q665" s="79">
        <v>3179015.3863599999</v>
      </c>
      <c r="R665" s="77" t="s">
        <v>394</v>
      </c>
      <c r="S665" s="77">
        <v>7414000005</v>
      </c>
      <c r="AB665"/>
      <c r="AC665"/>
    </row>
    <row r="666" spans="2:29" x14ac:dyDescent="0.25">
      <c r="B666">
        <v>0</v>
      </c>
      <c r="F666">
        <v>0</v>
      </c>
      <c r="P666" s="78">
        <v>0</v>
      </c>
      <c r="Q666" s="79">
        <v>0</v>
      </c>
      <c r="R666" s="77" t="s">
        <v>394</v>
      </c>
      <c r="S666" s="77">
        <v>7414000005</v>
      </c>
      <c r="AB666"/>
      <c r="AC666"/>
    </row>
    <row r="667" spans="2:29" x14ac:dyDescent="0.25">
      <c r="B667">
        <v>0</v>
      </c>
      <c r="F667">
        <v>0</v>
      </c>
      <c r="P667" s="78">
        <v>1626153</v>
      </c>
      <c r="Q667" s="79">
        <v>13829486.470107</v>
      </c>
      <c r="R667" s="77" t="s">
        <v>394</v>
      </c>
      <c r="S667" s="77">
        <v>7414000005</v>
      </c>
      <c r="AB667"/>
      <c r="AC667"/>
    </row>
    <row r="668" spans="2:29" x14ac:dyDescent="0.25">
      <c r="B668">
        <v>0</v>
      </c>
      <c r="F668">
        <v>0</v>
      </c>
      <c r="P668" s="78">
        <v>2668910</v>
      </c>
      <c r="Q668" s="79">
        <v>22369071.497409999</v>
      </c>
      <c r="R668" s="77" t="s">
        <v>394</v>
      </c>
      <c r="S668" s="77">
        <v>7414000005</v>
      </c>
      <c r="AB668"/>
      <c r="AC668"/>
    </row>
    <row r="669" spans="2:29" x14ac:dyDescent="0.25">
      <c r="B669">
        <v>0</v>
      </c>
      <c r="F669">
        <v>0</v>
      </c>
      <c r="P669" s="78">
        <v>3337377</v>
      </c>
      <c r="Q669" s="79">
        <v>27560276.195505001</v>
      </c>
      <c r="R669" s="77" t="s">
        <v>394</v>
      </c>
      <c r="S669" s="77">
        <v>7414000005</v>
      </c>
      <c r="AB669"/>
      <c r="AC669"/>
    </row>
    <row r="670" spans="2:29" x14ac:dyDescent="0.25">
      <c r="B670">
        <v>0</v>
      </c>
      <c r="F670">
        <v>0</v>
      </c>
      <c r="P670" s="78">
        <v>0</v>
      </c>
      <c r="Q670" s="79">
        <v>1098894.58</v>
      </c>
      <c r="R670" s="77" t="s">
        <v>394</v>
      </c>
      <c r="S670" s="77">
        <v>7414000005</v>
      </c>
      <c r="AB670"/>
      <c r="AC670"/>
    </row>
    <row r="671" spans="2:29" x14ac:dyDescent="0.25">
      <c r="B671">
        <v>0</v>
      </c>
      <c r="F671">
        <v>0</v>
      </c>
      <c r="P671" s="78">
        <v>56480</v>
      </c>
      <c r="Q671" s="79">
        <v>5576290.1115199998</v>
      </c>
      <c r="R671" s="77" t="s">
        <v>394</v>
      </c>
      <c r="S671" s="77">
        <v>7414000005</v>
      </c>
      <c r="AB671"/>
      <c r="AC671"/>
    </row>
    <row r="672" spans="2:29" x14ac:dyDescent="0.25">
      <c r="B672">
        <v>0</v>
      </c>
      <c r="F672">
        <v>0</v>
      </c>
      <c r="P672" s="78">
        <v>213840</v>
      </c>
      <c r="Q672" s="79">
        <v>21223084.972320002</v>
      </c>
      <c r="R672" s="77" t="s">
        <v>394</v>
      </c>
      <c r="S672" s="77">
        <v>7414000005</v>
      </c>
      <c r="AB672"/>
      <c r="AC672"/>
    </row>
    <row r="673" spans="2:29" x14ac:dyDescent="0.25">
      <c r="B673">
        <v>0</v>
      </c>
      <c r="F673">
        <v>0</v>
      </c>
      <c r="P673" s="78">
        <v>211730</v>
      </c>
      <c r="Q673" s="79">
        <v>20108664.414310001</v>
      </c>
      <c r="R673" s="77" t="s">
        <v>394</v>
      </c>
      <c r="S673" s="77">
        <v>7414000005</v>
      </c>
      <c r="AB673"/>
      <c r="AC673"/>
    </row>
    <row r="674" spans="2:29" x14ac:dyDescent="0.25">
      <c r="B674">
        <v>0</v>
      </c>
      <c r="F674">
        <v>0</v>
      </c>
      <c r="P674" s="78">
        <v>400098</v>
      </c>
      <c r="Q674" s="79">
        <v>36773735.758458003</v>
      </c>
      <c r="R674" s="77" t="s">
        <v>394</v>
      </c>
      <c r="S674" s="77">
        <v>7414000005</v>
      </c>
      <c r="AB674"/>
      <c r="AC674"/>
    </row>
    <row r="675" spans="2:29" x14ac:dyDescent="0.25">
      <c r="B675">
        <v>0</v>
      </c>
      <c r="F675">
        <v>0</v>
      </c>
      <c r="P675" s="78">
        <v>725550</v>
      </c>
      <c r="Q675" s="79">
        <v>67443139.651649997</v>
      </c>
      <c r="R675" s="77" t="s">
        <v>394</v>
      </c>
      <c r="S675" s="77">
        <v>7414000005</v>
      </c>
      <c r="AB675"/>
      <c r="AC675"/>
    </row>
    <row r="676" spans="2:29" x14ac:dyDescent="0.25">
      <c r="B676">
        <v>0</v>
      </c>
      <c r="F676">
        <v>0</v>
      </c>
      <c r="P676" s="78">
        <v>266639</v>
      </c>
      <c r="Q676" s="79">
        <v>23650378.818597</v>
      </c>
      <c r="R676" s="77" t="s">
        <v>394</v>
      </c>
      <c r="S676" s="77">
        <v>7414000005</v>
      </c>
      <c r="AB676"/>
      <c r="AC676"/>
    </row>
    <row r="677" spans="2:29" x14ac:dyDescent="0.25">
      <c r="B677">
        <v>0</v>
      </c>
      <c r="F677">
        <v>0</v>
      </c>
      <c r="P677" s="78">
        <v>260500</v>
      </c>
      <c r="Q677" s="79">
        <v>24308347.015999999</v>
      </c>
      <c r="R677" s="77" t="s">
        <v>394</v>
      </c>
      <c r="S677" s="77">
        <v>7414000005</v>
      </c>
      <c r="AB677"/>
      <c r="AC677"/>
    </row>
    <row r="678" spans="2:29" x14ac:dyDescent="0.25">
      <c r="B678">
        <v>0</v>
      </c>
      <c r="F678">
        <v>0</v>
      </c>
      <c r="P678" s="78">
        <v>0</v>
      </c>
      <c r="Q678" s="79">
        <v>0</v>
      </c>
      <c r="R678" s="77" t="s">
        <v>394</v>
      </c>
      <c r="S678" s="77">
        <v>7414000005</v>
      </c>
      <c r="AB678"/>
      <c r="AC678"/>
    </row>
    <row r="679" spans="2:29" x14ac:dyDescent="0.25">
      <c r="B679">
        <v>0</v>
      </c>
      <c r="F679">
        <v>0</v>
      </c>
      <c r="P679" s="78">
        <v>20560</v>
      </c>
      <c r="Q679" s="79">
        <v>2015041.0670400001</v>
      </c>
      <c r="R679" s="77" t="s">
        <v>394</v>
      </c>
      <c r="S679" s="77">
        <v>7414000005</v>
      </c>
      <c r="AB679"/>
      <c r="AC679"/>
    </row>
    <row r="680" spans="2:29" x14ac:dyDescent="0.25">
      <c r="B680">
        <v>0</v>
      </c>
      <c r="F680">
        <v>0</v>
      </c>
      <c r="P680" s="78">
        <v>57960</v>
      </c>
      <c r="Q680" s="79">
        <v>5818540.9337999998</v>
      </c>
      <c r="R680" s="77" t="s">
        <v>394</v>
      </c>
      <c r="S680" s="77">
        <v>7414000005</v>
      </c>
      <c r="AB680"/>
      <c r="AC680"/>
    </row>
    <row r="681" spans="2:29" x14ac:dyDescent="0.25">
      <c r="B681">
        <v>0</v>
      </c>
      <c r="F681">
        <v>0</v>
      </c>
      <c r="P681" s="78">
        <v>11820000</v>
      </c>
      <c r="Q681" s="79">
        <v>48544267.200000003</v>
      </c>
      <c r="R681" s="77" t="s">
        <v>394</v>
      </c>
      <c r="S681" s="77">
        <v>7414000005</v>
      </c>
      <c r="AB681"/>
      <c r="AC681"/>
    </row>
    <row r="682" spans="2:29" x14ac:dyDescent="0.25">
      <c r="B682">
        <v>0</v>
      </c>
      <c r="F682">
        <v>0</v>
      </c>
      <c r="P682" s="78">
        <v>50</v>
      </c>
      <c r="Q682" s="79">
        <v>38784.589350000002</v>
      </c>
      <c r="R682" s="77" t="s">
        <v>394</v>
      </c>
      <c r="S682" s="77">
        <v>7414000005</v>
      </c>
      <c r="AB682"/>
      <c r="AC682"/>
    </row>
    <row r="683" spans="2:29" x14ac:dyDescent="0.25">
      <c r="B683">
        <v>0</v>
      </c>
      <c r="F683">
        <v>0</v>
      </c>
      <c r="P683" s="78">
        <v>15230</v>
      </c>
      <c r="Q683" s="79">
        <v>1523007.3713199999</v>
      </c>
      <c r="R683" s="77" t="s">
        <v>394</v>
      </c>
      <c r="S683" s="77">
        <v>7414000005</v>
      </c>
      <c r="AB683"/>
      <c r="AC683"/>
    </row>
    <row r="684" spans="2:29" x14ac:dyDescent="0.25">
      <c r="B684">
        <v>0</v>
      </c>
      <c r="F684">
        <v>0</v>
      </c>
      <c r="P684" s="78">
        <v>0</v>
      </c>
      <c r="Q684" s="79">
        <v>0</v>
      </c>
      <c r="R684" s="77" t="s">
        <v>394</v>
      </c>
      <c r="S684" s="77">
        <v>7414000005</v>
      </c>
      <c r="AB684"/>
      <c r="AC684"/>
    </row>
    <row r="685" spans="2:29" x14ac:dyDescent="0.25">
      <c r="B685">
        <v>0</v>
      </c>
      <c r="F685">
        <v>0</v>
      </c>
      <c r="P685" s="78">
        <v>469515</v>
      </c>
      <c r="Q685" s="79">
        <v>3992952.286785</v>
      </c>
      <c r="R685" s="77" t="s">
        <v>394</v>
      </c>
      <c r="S685" s="77">
        <v>7414000005</v>
      </c>
      <c r="AB685"/>
      <c r="AC685"/>
    </row>
    <row r="686" spans="2:29" x14ac:dyDescent="0.25">
      <c r="B686">
        <v>0</v>
      </c>
      <c r="F686">
        <v>0</v>
      </c>
      <c r="P686" s="78">
        <v>1299030</v>
      </c>
      <c r="Q686" s="79">
        <v>10887626.389529999</v>
      </c>
      <c r="R686" s="77" t="s">
        <v>394</v>
      </c>
      <c r="S686" s="77">
        <v>7414000005</v>
      </c>
      <c r="AB686"/>
      <c r="AC686"/>
    </row>
    <row r="687" spans="2:29" x14ac:dyDescent="0.25">
      <c r="B687">
        <v>0</v>
      </c>
      <c r="F687">
        <v>0</v>
      </c>
      <c r="P687" s="78">
        <v>1627532</v>
      </c>
      <c r="Q687" s="79">
        <v>13440265.04558</v>
      </c>
      <c r="R687" s="77" t="s">
        <v>394</v>
      </c>
      <c r="S687" s="77">
        <v>7414000005</v>
      </c>
      <c r="AB687"/>
      <c r="AC687"/>
    </row>
    <row r="688" spans="2:29" x14ac:dyDescent="0.25">
      <c r="B688">
        <v>0</v>
      </c>
      <c r="F688">
        <v>0</v>
      </c>
      <c r="P688" s="78">
        <v>0</v>
      </c>
      <c r="Q688" s="79">
        <v>1625075.07</v>
      </c>
      <c r="R688" s="77" t="s">
        <v>394</v>
      </c>
      <c r="S688" s="77">
        <v>7414000005</v>
      </c>
      <c r="AB688"/>
      <c r="AC688"/>
    </row>
    <row r="689" spans="2:29" x14ac:dyDescent="0.25">
      <c r="B689">
        <v>0</v>
      </c>
      <c r="F689">
        <v>0</v>
      </c>
      <c r="P689" s="78">
        <v>24937</v>
      </c>
      <c r="Q689" s="79">
        <v>2462038.7130129999</v>
      </c>
      <c r="R689" s="77" t="s">
        <v>394</v>
      </c>
      <c r="S689" s="77">
        <v>7414000005</v>
      </c>
      <c r="AB689"/>
      <c r="AC689"/>
    </row>
    <row r="690" spans="2:29" x14ac:dyDescent="0.25">
      <c r="B690">
        <v>0</v>
      </c>
      <c r="F690">
        <v>0</v>
      </c>
      <c r="P690" s="78">
        <v>42820</v>
      </c>
      <c r="Q690" s="79">
        <v>4249777.86436</v>
      </c>
      <c r="R690" s="77" t="s">
        <v>394</v>
      </c>
      <c r="S690" s="77">
        <v>7414000005</v>
      </c>
      <c r="AB690"/>
      <c r="AC690"/>
    </row>
    <row r="691" spans="2:29" x14ac:dyDescent="0.25">
      <c r="B691">
        <v>0</v>
      </c>
      <c r="F691">
        <v>0</v>
      </c>
      <c r="P691" s="78">
        <v>112281</v>
      </c>
      <c r="Q691" s="79">
        <v>10663679.918307001</v>
      </c>
      <c r="R691" s="77" t="s">
        <v>394</v>
      </c>
      <c r="S691" s="77">
        <v>7414000005</v>
      </c>
      <c r="AB691"/>
      <c r="AC691"/>
    </row>
    <row r="692" spans="2:29" x14ac:dyDescent="0.25">
      <c r="B692">
        <v>0</v>
      </c>
      <c r="F692">
        <v>0</v>
      </c>
      <c r="P692" s="78">
        <v>191488</v>
      </c>
      <c r="Q692" s="79">
        <v>17600010.779647999</v>
      </c>
      <c r="R692" s="77" t="s">
        <v>394</v>
      </c>
      <c r="S692" s="77">
        <v>7414000005</v>
      </c>
      <c r="AB692"/>
      <c r="AC692"/>
    </row>
    <row r="693" spans="2:29" x14ac:dyDescent="0.25">
      <c r="B693">
        <v>0</v>
      </c>
      <c r="F693">
        <v>0</v>
      </c>
      <c r="P693" s="78">
        <v>375550</v>
      </c>
      <c r="Q693" s="79">
        <v>34909063.60165</v>
      </c>
      <c r="R693" s="77" t="s">
        <v>394</v>
      </c>
      <c r="S693" s="77">
        <v>7414000005</v>
      </c>
      <c r="AB693"/>
      <c r="AC693"/>
    </row>
    <row r="694" spans="2:29" x14ac:dyDescent="0.25">
      <c r="B694">
        <v>0</v>
      </c>
      <c r="F694">
        <v>0</v>
      </c>
      <c r="P694" s="78">
        <v>140261</v>
      </c>
      <c r="Q694" s="79">
        <v>12440887.430103</v>
      </c>
      <c r="R694" s="77" t="s">
        <v>394</v>
      </c>
      <c r="S694" s="77">
        <v>7414000005</v>
      </c>
      <c r="AB694"/>
      <c r="AC694"/>
    </row>
    <row r="695" spans="2:29" x14ac:dyDescent="0.25">
      <c r="B695">
        <v>0</v>
      </c>
      <c r="F695">
        <v>0</v>
      </c>
      <c r="P695" s="78">
        <v>111630</v>
      </c>
      <c r="Q695" s="79">
        <v>10416663.25296</v>
      </c>
      <c r="R695" s="77" t="s">
        <v>394</v>
      </c>
      <c r="S695" s="77">
        <v>7414000005</v>
      </c>
      <c r="AB695"/>
      <c r="AC695"/>
    </row>
    <row r="696" spans="2:29" x14ac:dyDescent="0.25">
      <c r="B696">
        <v>0</v>
      </c>
      <c r="F696">
        <v>0</v>
      </c>
      <c r="P696" s="78">
        <v>0</v>
      </c>
      <c r="Q696" s="79">
        <v>0</v>
      </c>
      <c r="R696" s="77" t="s">
        <v>394</v>
      </c>
      <c r="S696" s="77">
        <v>7414000005</v>
      </c>
      <c r="AB696"/>
      <c r="AC696"/>
    </row>
    <row r="697" spans="2:29" x14ac:dyDescent="0.25">
      <c r="B697">
        <v>0</v>
      </c>
      <c r="F697">
        <v>0</v>
      </c>
      <c r="P697" s="78">
        <v>9590</v>
      </c>
      <c r="Q697" s="79">
        <v>939895.12806000002</v>
      </c>
      <c r="R697" s="77" t="s">
        <v>394</v>
      </c>
      <c r="S697" s="77">
        <v>7414000005</v>
      </c>
      <c r="AB697"/>
      <c r="AC697"/>
    </row>
    <row r="698" spans="2:29" x14ac:dyDescent="0.25">
      <c r="B698">
        <v>0</v>
      </c>
      <c r="F698">
        <v>0</v>
      </c>
      <c r="P698" s="78">
        <v>22830</v>
      </c>
      <c r="Q698" s="79">
        <v>2291878.7011500001</v>
      </c>
      <c r="R698" s="77" t="s">
        <v>394</v>
      </c>
      <c r="S698" s="77">
        <v>7414000005</v>
      </c>
      <c r="AB698"/>
      <c r="AC698"/>
    </row>
    <row r="699" spans="2:29" x14ac:dyDescent="0.25">
      <c r="B699">
        <v>0</v>
      </c>
      <c r="F699">
        <v>0</v>
      </c>
      <c r="P699" s="78">
        <v>5670000</v>
      </c>
      <c r="Q699" s="79">
        <v>23286463.199999999</v>
      </c>
      <c r="R699" s="77" t="s">
        <v>394</v>
      </c>
      <c r="S699" s="77">
        <v>7414000005</v>
      </c>
      <c r="AB699"/>
      <c r="AC699"/>
    </row>
    <row r="700" spans="2:29" x14ac:dyDescent="0.25">
      <c r="B700">
        <v>0</v>
      </c>
      <c r="F700">
        <v>0</v>
      </c>
      <c r="P700" s="78">
        <v>4</v>
      </c>
      <c r="Q700" s="79">
        <v>3102.7671479999999</v>
      </c>
      <c r="R700" s="77" t="s">
        <v>394</v>
      </c>
      <c r="S700" s="77">
        <v>7414000005</v>
      </c>
      <c r="AB700"/>
      <c r="AC700"/>
    </row>
    <row r="701" spans="2:29" x14ac:dyDescent="0.25">
      <c r="B701">
        <v>0</v>
      </c>
      <c r="F701">
        <v>0</v>
      </c>
      <c r="P701" s="78">
        <v>3</v>
      </c>
      <c r="Q701" s="79">
        <v>2241.535296</v>
      </c>
      <c r="R701" s="77" t="s">
        <v>394</v>
      </c>
      <c r="S701" s="77">
        <v>7414000005</v>
      </c>
      <c r="AB701"/>
      <c r="AC701"/>
    </row>
    <row r="702" spans="2:29" x14ac:dyDescent="0.25">
      <c r="B702">
        <v>0</v>
      </c>
      <c r="F702">
        <v>0</v>
      </c>
      <c r="P702" s="78">
        <v>21230</v>
      </c>
      <c r="Q702" s="79">
        <v>2123010.27532</v>
      </c>
      <c r="R702" s="77" t="s">
        <v>394</v>
      </c>
      <c r="S702" s="77">
        <v>7414000005</v>
      </c>
      <c r="AB702"/>
      <c r="AC702"/>
    </row>
    <row r="703" spans="2:29" x14ac:dyDescent="0.25">
      <c r="B703">
        <v>0</v>
      </c>
      <c r="F703">
        <v>0</v>
      </c>
      <c r="P703" s="78">
        <v>1700000</v>
      </c>
      <c r="Q703" s="79">
        <v>15560890.5</v>
      </c>
      <c r="R703" s="77" t="s">
        <v>394</v>
      </c>
      <c r="S703" s="77">
        <v>7414000005</v>
      </c>
      <c r="AB703"/>
      <c r="AC703"/>
    </row>
    <row r="704" spans="2:29" x14ac:dyDescent="0.25">
      <c r="B704">
        <v>0</v>
      </c>
      <c r="F704">
        <v>0</v>
      </c>
      <c r="P704" s="78">
        <v>140000</v>
      </c>
      <c r="Q704" s="79">
        <v>1173389.1399999999</v>
      </c>
      <c r="R704" s="77" t="s">
        <v>394</v>
      </c>
      <c r="S704" s="77">
        <v>7414000005</v>
      </c>
      <c r="AB704"/>
      <c r="AC704"/>
    </row>
    <row r="705" spans="2:29" x14ac:dyDescent="0.25">
      <c r="B705">
        <v>0</v>
      </c>
      <c r="F705">
        <v>0</v>
      </c>
      <c r="P705" s="78">
        <v>206800</v>
      </c>
      <c r="Q705" s="79">
        <v>1707767.8419999999</v>
      </c>
      <c r="R705" s="77" t="s">
        <v>394</v>
      </c>
      <c r="S705" s="77">
        <v>7414000005</v>
      </c>
      <c r="AB705"/>
      <c r="AC705"/>
    </row>
    <row r="706" spans="2:29" x14ac:dyDescent="0.25">
      <c r="B706">
        <v>0</v>
      </c>
      <c r="F706">
        <v>0</v>
      </c>
      <c r="P706" s="78">
        <v>6160</v>
      </c>
      <c r="Q706" s="79">
        <v>574410.30416000006</v>
      </c>
      <c r="R706" s="77" t="s">
        <v>394</v>
      </c>
      <c r="S706" s="77">
        <v>7414000005</v>
      </c>
      <c r="AB706"/>
      <c r="AC706"/>
    </row>
    <row r="707" spans="2:29" x14ac:dyDescent="0.25">
      <c r="B707">
        <v>0</v>
      </c>
      <c r="F707">
        <v>0</v>
      </c>
      <c r="P707" s="78">
        <v>0</v>
      </c>
      <c r="Q707" s="79">
        <v>61019763.859999999</v>
      </c>
      <c r="R707" s="77" t="s">
        <v>394</v>
      </c>
      <c r="S707" s="77">
        <v>7414000005</v>
      </c>
      <c r="AB707"/>
      <c r="AC707"/>
    </row>
    <row r="708" spans="2:29" x14ac:dyDescent="0.25">
      <c r="B708">
        <v>0</v>
      </c>
      <c r="F708">
        <v>0</v>
      </c>
      <c r="P708" s="78">
        <v>10923</v>
      </c>
      <c r="Q708" s="79">
        <v>1003952.820783</v>
      </c>
      <c r="R708" s="77" t="s">
        <v>394</v>
      </c>
      <c r="S708" s="77">
        <v>7414000005</v>
      </c>
      <c r="AB708"/>
      <c r="AC708"/>
    </row>
    <row r="709" spans="2:29" x14ac:dyDescent="0.25">
      <c r="B709">
        <v>0</v>
      </c>
      <c r="F709">
        <v>0</v>
      </c>
      <c r="P709" s="78">
        <v>51482</v>
      </c>
      <c r="Q709" s="79">
        <v>4566356.768286</v>
      </c>
      <c r="R709" s="77" t="s">
        <v>394</v>
      </c>
      <c r="S709" s="77">
        <v>7414000005</v>
      </c>
      <c r="AB709"/>
      <c r="AC709"/>
    </row>
    <row r="710" spans="2:29" x14ac:dyDescent="0.25">
      <c r="B710">
        <v>0</v>
      </c>
      <c r="F710">
        <v>0</v>
      </c>
      <c r="P710" s="78">
        <v>87876</v>
      </c>
      <c r="Q710" s="79">
        <v>8200077.9361920003</v>
      </c>
      <c r="R710" s="77" t="s">
        <v>394</v>
      </c>
      <c r="S710" s="77">
        <v>7414000005</v>
      </c>
      <c r="AB710"/>
      <c r="AC710"/>
    </row>
    <row r="711" spans="2:29" x14ac:dyDescent="0.25">
      <c r="B711">
        <v>0</v>
      </c>
      <c r="F711">
        <v>0</v>
      </c>
      <c r="P711" s="78">
        <v>35860</v>
      </c>
      <c r="Q711" s="79">
        <v>3401829.0644800002</v>
      </c>
      <c r="R711" s="77" t="s">
        <v>394</v>
      </c>
      <c r="S711" s="77">
        <v>7414000005</v>
      </c>
      <c r="AB711"/>
      <c r="AC711"/>
    </row>
    <row r="712" spans="2:29" x14ac:dyDescent="0.25">
      <c r="B712">
        <v>0</v>
      </c>
      <c r="F712">
        <v>0</v>
      </c>
      <c r="P712" s="78">
        <v>151300</v>
      </c>
      <c r="Q712" s="79">
        <v>14353854.7541</v>
      </c>
      <c r="R712" s="77" t="s">
        <v>394</v>
      </c>
      <c r="S712" s="77">
        <v>7414000005</v>
      </c>
      <c r="AB712"/>
      <c r="AC712"/>
    </row>
    <row r="713" spans="2:29" x14ac:dyDescent="0.25">
      <c r="B713">
        <v>0</v>
      </c>
      <c r="F713">
        <v>0</v>
      </c>
      <c r="P713" s="78">
        <v>199144</v>
      </c>
      <c r="Q713" s="79">
        <v>17821290.017960001</v>
      </c>
      <c r="R713" s="77" t="s">
        <v>394</v>
      </c>
      <c r="S713" s="77">
        <v>7414000005</v>
      </c>
      <c r="AB713"/>
      <c r="AC713"/>
    </row>
    <row r="714" spans="2:29" x14ac:dyDescent="0.25">
      <c r="B714">
        <v>0</v>
      </c>
      <c r="F714">
        <v>0</v>
      </c>
      <c r="P714" s="78">
        <v>144987</v>
      </c>
      <c r="Q714" s="79">
        <v>12497462.997336</v>
      </c>
      <c r="R714" s="77" t="s">
        <v>394</v>
      </c>
      <c r="S714" s="77">
        <v>7414000005</v>
      </c>
      <c r="AB714"/>
      <c r="AC714"/>
    </row>
    <row r="715" spans="2:29" x14ac:dyDescent="0.25">
      <c r="B715">
        <v>0</v>
      </c>
      <c r="F715">
        <v>0</v>
      </c>
      <c r="P715" s="78">
        <v>55189</v>
      </c>
      <c r="Q715" s="79">
        <v>4772157.1779060001</v>
      </c>
      <c r="R715" s="77" t="s">
        <v>394</v>
      </c>
      <c r="S715" s="77">
        <v>7414000005</v>
      </c>
      <c r="AB715"/>
      <c r="AC715"/>
    </row>
    <row r="716" spans="2:29" x14ac:dyDescent="0.25">
      <c r="B716">
        <v>0</v>
      </c>
      <c r="F716">
        <v>0</v>
      </c>
      <c r="P716" s="78">
        <v>11200</v>
      </c>
      <c r="Q716" s="79">
        <v>1097687.7408</v>
      </c>
      <c r="R716" s="77" t="s">
        <v>394</v>
      </c>
      <c r="S716" s="77">
        <v>7414000005</v>
      </c>
      <c r="AB716"/>
      <c r="AC716"/>
    </row>
    <row r="717" spans="2:29" x14ac:dyDescent="0.25">
      <c r="B717">
        <v>0</v>
      </c>
      <c r="F717">
        <v>0</v>
      </c>
      <c r="P717" s="78">
        <v>5690</v>
      </c>
      <c r="Q717" s="79">
        <v>571212.86945</v>
      </c>
      <c r="R717" s="77" t="s">
        <v>394</v>
      </c>
      <c r="S717" s="77">
        <v>7414000005</v>
      </c>
      <c r="AB717"/>
      <c r="AC717"/>
    </row>
    <row r="718" spans="2:29" x14ac:dyDescent="0.25">
      <c r="B718">
        <v>0</v>
      </c>
      <c r="F718">
        <v>0</v>
      </c>
      <c r="P718" s="78">
        <v>13600000</v>
      </c>
      <c r="Q718" s="79">
        <v>62354313.600000001</v>
      </c>
      <c r="R718" s="77" t="s">
        <v>394</v>
      </c>
      <c r="S718" s="77">
        <v>7414000005</v>
      </c>
      <c r="AB718"/>
      <c r="AC718"/>
    </row>
    <row r="719" spans="2:29" x14ac:dyDescent="0.25">
      <c r="B719">
        <v>0</v>
      </c>
      <c r="F719">
        <v>0</v>
      </c>
      <c r="P719" s="78">
        <v>331</v>
      </c>
      <c r="Q719" s="79">
        <v>256753.981497</v>
      </c>
      <c r="R719" s="77" t="s">
        <v>394</v>
      </c>
      <c r="S719" s="77">
        <v>7414000005</v>
      </c>
      <c r="AB719"/>
      <c r="AC719"/>
    </row>
    <row r="720" spans="2:29" x14ac:dyDescent="0.25">
      <c r="B720">
        <v>0</v>
      </c>
      <c r="F720">
        <v>0</v>
      </c>
      <c r="P720" s="78">
        <v>5</v>
      </c>
      <c r="Q720" s="79">
        <v>3829.6194150000001</v>
      </c>
      <c r="R720" s="77" t="s">
        <v>394</v>
      </c>
      <c r="S720" s="77">
        <v>7414000005</v>
      </c>
      <c r="AB720"/>
      <c r="AC720"/>
    </row>
    <row r="721" spans="2:29" x14ac:dyDescent="0.25">
      <c r="B721">
        <v>0</v>
      </c>
      <c r="F721">
        <v>0</v>
      </c>
      <c r="P721" s="78">
        <v>1770</v>
      </c>
      <c r="Q721" s="79">
        <v>1212253.80966</v>
      </c>
      <c r="R721" s="77" t="s">
        <v>394</v>
      </c>
      <c r="S721" s="77">
        <v>7414000005</v>
      </c>
      <c r="AB721"/>
      <c r="AC721"/>
    </row>
    <row r="722" spans="2:29" x14ac:dyDescent="0.25">
      <c r="B722">
        <v>0</v>
      </c>
      <c r="F722">
        <v>0</v>
      </c>
      <c r="P722" s="78">
        <v>3880</v>
      </c>
      <c r="Q722" s="79">
        <v>388001.87792</v>
      </c>
      <c r="R722" s="77" t="s">
        <v>394</v>
      </c>
      <c r="S722" s="77">
        <v>7414000005</v>
      </c>
      <c r="AB722"/>
      <c r="AC722"/>
    </row>
    <row r="723" spans="2:29" x14ac:dyDescent="0.25">
      <c r="B723">
        <v>0</v>
      </c>
      <c r="F723">
        <v>0</v>
      </c>
      <c r="P723" s="78">
        <v>300000</v>
      </c>
      <c r="Q723" s="79">
        <v>2746039.5</v>
      </c>
      <c r="R723" s="77" t="s">
        <v>394</v>
      </c>
      <c r="S723" s="77">
        <v>7414000005</v>
      </c>
      <c r="AB723"/>
      <c r="AC723"/>
    </row>
    <row r="724" spans="2:29" x14ac:dyDescent="0.25">
      <c r="B724">
        <v>0</v>
      </c>
      <c r="F724">
        <v>0</v>
      </c>
      <c r="P724" s="78">
        <v>25000</v>
      </c>
      <c r="Q724" s="79">
        <v>209533.77499999999</v>
      </c>
      <c r="R724" s="77" t="s">
        <v>394</v>
      </c>
      <c r="S724" s="77">
        <v>7414000005</v>
      </c>
      <c r="AB724"/>
      <c r="AC724"/>
    </row>
    <row r="725" spans="2:29" x14ac:dyDescent="0.25">
      <c r="B725">
        <v>0</v>
      </c>
      <c r="F725">
        <v>0</v>
      </c>
      <c r="P725" s="78">
        <v>37900</v>
      </c>
      <c r="Q725" s="79">
        <v>312980.66350000002</v>
      </c>
      <c r="R725" s="77" t="s">
        <v>394</v>
      </c>
      <c r="S725" s="77">
        <v>7414000005</v>
      </c>
      <c r="AB725"/>
      <c r="AC725"/>
    </row>
    <row r="726" spans="2:29" x14ac:dyDescent="0.25">
      <c r="B726">
        <v>0</v>
      </c>
      <c r="F726">
        <v>0</v>
      </c>
      <c r="P726" s="78">
        <v>940</v>
      </c>
      <c r="Q726" s="79">
        <v>87653.520439999993</v>
      </c>
      <c r="R726" s="77" t="s">
        <v>394</v>
      </c>
      <c r="S726" s="77">
        <v>7414000005</v>
      </c>
      <c r="AB726"/>
      <c r="AC726"/>
    </row>
    <row r="727" spans="2:29" x14ac:dyDescent="0.25">
      <c r="B727">
        <v>0</v>
      </c>
      <c r="F727">
        <v>0</v>
      </c>
      <c r="P727" s="78">
        <v>0</v>
      </c>
      <c r="Q727" s="79">
        <v>9580196.5500000007</v>
      </c>
      <c r="R727" s="77" t="s">
        <v>394</v>
      </c>
      <c r="S727" s="77">
        <v>7414000005</v>
      </c>
      <c r="AB727"/>
      <c r="AC727"/>
    </row>
    <row r="728" spans="2:29" x14ac:dyDescent="0.25">
      <c r="B728">
        <v>0</v>
      </c>
      <c r="F728">
        <v>0</v>
      </c>
      <c r="P728" s="78">
        <v>2160</v>
      </c>
      <c r="Q728" s="79">
        <v>198529.53336</v>
      </c>
      <c r="R728" s="77" t="s">
        <v>394</v>
      </c>
      <c r="S728" s="77">
        <v>7414000005</v>
      </c>
      <c r="AB728"/>
      <c r="AC728"/>
    </row>
    <row r="729" spans="2:29" x14ac:dyDescent="0.25">
      <c r="B729">
        <v>0</v>
      </c>
      <c r="F729">
        <v>0</v>
      </c>
      <c r="P729" s="78">
        <v>7849</v>
      </c>
      <c r="Q729" s="79">
        <v>696191.56742700003</v>
      </c>
      <c r="R729" s="77" t="s">
        <v>394</v>
      </c>
      <c r="S729" s="77">
        <v>7414000005</v>
      </c>
      <c r="AB729"/>
      <c r="AC729"/>
    </row>
    <row r="730" spans="2:29" x14ac:dyDescent="0.25">
      <c r="B730">
        <v>0</v>
      </c>
      <c r="F730">
        <v>0</v>
      </c>
      <c r="P730" s="78">
        <v>20165</v>
      </c>
      <c r="Q730" s="79">
        <v>1881680.6816799999</v>
      </c>
      <c r="R730" s="77" t="s">
        <v>394</v>
      </c>
      <c r="S730" s="77">
        <v>7414000005</v>
      </c>
      <c r="AB730"/>
      <c r="AC730"/>
    </row>
    <row r="731" spans="2:29" x14ac:dyDescent="0.25">
      <c r="B731">
        <v>0</v>
      </c>
      <c r="F731">
        <v>0</v>
      </c>
      <c r="P731" s="78">
        <v>5590</v>
      </c>
      <c r="Q731" s="79">
        <v>530290.69912</v>
      </c>
      <c r="R731" s="77" t="s">
        <v>394</v>
      </c>
      <c r="S731" s="77">
        <v>7414000005</v>
      </c>
      <c r="AB731"/>
      <c r="AC731"/>
    </row>
    <row r="732" spans="2:29" x14ac:dyDescent="0.25">
      <c r="B732">
        <v>0</v>
      </c>
      <c r="F732">
        <v>0</v>
      </c>
      <c r="P732" s="78">
        <v>26794</v>
      </c>
      <c r="Q732" s="79">
        <v>2541950.9866579999</v>
      </c>
      <c r="R732" s="77" t="s">
        <v>394</v>
      </c>
      <c r="S732" s="77">
        <v>7414000005</v>
      </c>
      <c r="AB732"/>
      <c r="AC732"/>
    </row>
    <row r="733" spans="2:29" x14ac:dyDescent="0.25">
      <c r="B733">
        <v>0</v>
      </c>
      <c r="F733">
        <v>0</v>
      </c>
      <c r="P733" s="78">
        <v>36807</v>
      </c>
      <c r="Q733" s="79">
        <v>3293838.7382550002</v>
      </c>
      <c r="R733" s="77" t="s">
        <v>394</v>
      </c>
      <c r="S733" s="77">
        <v>7414000005</v>
      </c>
      <c r="T733" s="11"/>
      <c r="AB733"/>
      <c r="AC733"/>
    </row>
    <row r="734" spans="2:29" x14ac:dyDescent="0.25">
      <c r="B734">
        <v>0</v>
      </c>
      <c r="F734">
        <v>0</v>
      </c>
      <c r="P734" s="78">
        <v>27601</v>
      </c>
      <c r="Q734" s="79">
        <v>2379126.9299280001</v>
      </c>
      <c r="R734" s="77" t="s">
        <v>394</v>
      </c>
      <c r="S734" s="77">
        <v>7414000005</v>
      </c>
      <c r="T734" s="15"/>
      <c r="AB734"/>
      <c r="AC734"/>
    </row>
    <row r="735" spans="2:29" x14ac:dyDescent="0.25">
      <c r="B735">
        <v>0</v>
      </c>
      <c r="F735">
        <v>0</v>
      </c>
      <c r="P735" s="78">
        <v>7712</v>
      </c>
      <c r="Q735" s="79">
        <v>666851.65804799995</v>
      </c>
      <c r="R735" s="77" t="s">
        <v>394</v>
      </c>
      <c r="S735" s="77">
        <v>7414000005</v>
      </c>
      <c r="AB735"/>
      <c r="AC735"/>
    </row>
    <row r="736" spans="2:29" x14ac:dyDescent="0.25">
      <c r="B736">
        <v>0</v>
      </c>
      <c r="F736">
        <v>0</v>
      </c>
      <c r="P736" s="78">
        <v>2220</v>
      </c>
      <c r="Q736" s="79">
        <v>217577.39147999999</v>
      </c>
      <c r="R736" s="77" t="s">
        <v>394</v>
      </c>
      <c r="S736" s="77">
        <v>7414000005</v>
      </c>
      <c r="AB736"/>
      <c r="AC736"/>
    </row>
    <row r="737" spans="2:29" x14ac:dyDescent="0.25">
      <c r="B737">
        <v>0</v>
      </c>
      <c r="F737">
        <v>0</v>
      </c>
      <c r="P737" s="78">
        <v>860</v>
      </c>
      <c r="Q737" s="79">
        <v>86334.458299999998</v>
      </c>
      <c r="R737" s="77" t="s">
        <v>394</v>
      </c>
      <c r="S737" s="77">
        <v>7414000005</v>
      </c>
      <c r="T737" s="11"/>
      <c r="AB737"/>
      <c r="AC737"/>
    </row>
    <row r="738" spans="2:29" x14ac:dyDescent="0.25">
      <c r="B738">
        <v>0</v>
      </c>
      <c r="F738">
        <v>0</v>
      </c>
      <c r="P738" s="78">
        <v>2330000</v>
      </c>
      <c r="Q738" s="79">
        <v>10682761.08</v>
      </c>
      <c r="R738" s="77" t="s">
        <v>394</v>
      </c>
      <c r="S738" s="77">
        <v>7414000005</v>
      </c>
      <c r="T738" s="11"/>
      <c r="AB738"/>
      <c r="AC738"/>
    </row>
    <row r="739" spans="2:29" x14ac:dyDescent="0.25">
      <c r="B739">
        <v>0</v>
      </c>
      <c r="F739">
        <v>0</v>
      </c>
      <c r="P739" s="78">
        <v>26</v>
      </c>
      <c r="Q739" s="79">
        <v>20167.986462000001</v>
      </c>
      <c r="R739" s="77" t="s">
        <v>394</v>
      </c>
      <c r="S739" s="77">
        <v>7414000005</v>
      </c>
      <c r="T739" s="11"/>
      <c r="AB739"/>
      <c r="AC739"/>
    </row>
    <row r="740" spans="2:29" x14ac:dyDescent="0.25">
      <c r="B740">
        <v>0</v>
      </c>
      <c r="F740">
        <v>0</v>
      </c>
      <c r="P740" s="78">
        <v>9</v>
      </c>
      <c r="Q740" s="79">
        <v>6893.3149469999998</v>
      </c>
      <c r="R740" s="77" t="s">
        <v>394</v>
      </c>
      <c r="S740" s="77">
        <v>7414000005</v>
      </c>
      <c r="T740" s="11"/>
      <c r="AB740"/>
      <c r="AC740"/>
    </row>
    <row r="741" spans="2:29" x14ac:dyDescent="0.25">
      <c r="B741">
        <v>0</v>
      </c>
      <c r="F741">
        <v>0</v>
      </c>
      <c r="P741" s="78">
        <v>320</v>
      </c>
      <c r="Q741" s="79">
        <v>219164.53056000001</v>
      </c>
      <c r="R741" s="77" t="s">
        <v>394</v>
      </c>
      <c r="S741" s="77">
        <v>7414000005</v>
      </c>
      <c r="AB741"/>
      <c r="AC741"/>
    </row>
    <row r="742" spans="2:29" x14ac:dyDescent="0.25">
      <c r="B742">
        <v>0</v>
      </c>
      <c r="F742">
        <v>0</v>
      </c>
      <c r="P742" s="78">
        <v>2820</v>
      </c>
      <c r="Q742" s="79">
        <v>282001.36488000001</v>
      </c>
      <c r="R742" s="77" t="s">
        <v>394</v>
      </c>
      <c r="S742" s="77">
        <v>7414000005</v>
      </c>
      <c r="AB742"/>
      <c r="AC742"/>
    </row>
    <row r="743" spans="2:29" x14ac:dyDescent="0.25">
      <c r="B743">
        <v>0</v>
      </c>
      <c r="F743">
        <v>0</v>
      </c>
      <c r="P743" s="78">
        <v>0</v>
      </c>
      <c r="Q743" s="79">
        <v>0</v>
      </c>
      <c r="R743" s="77" t="s">
        <v>394</v>
      </c>
      <c r="S743" s="77">
        <v>7414000005</v>
      </c>
      <c r="T743" s="11"/>
      <c r="AB743"/>
      <c r="AC743"/>
    </row>
    <row r="744" spans="2:29" x14ac:dyDescent="0.25">
      <c r="B744">
        <v>0</v>
      </c>
      <c r="F744">
        <v>0</v>
      </c>
      <c r="P744" s="78">
        <v>171975</v>
      </c>
      <c r="Q744" s="79">
        <v>1462547.457525</v>
      </c>
      <c r="R744" s="77" t="s">
        <v>394</v>
      </c>
      <c r="S744" s="77">
        <v>7414000005</v>
      </c>
      <c r="T744" s="11"/>
      <c r="AB744"/>
      <c r="AC744"/>
    </row>
    <row r="745" spans="2:29" x14ac:dyDescent="0.25">
      <c r="B745">
        <v>0</v>
      </c>
      <c r="F745">
        <v>0</v>
      </c>
      <c r="P745" s="78">
        <v>237940</v>
      </c>
      <c r="Q745" s="79">
        <v>1994258.6569399999</v>
      </c>
      <c r="R745" s="77" t="s">
        <v>394</v>
      </c>
      <c r="S745" s="77">
        <v>7414000005</v>
      </c>
      <c r="T745" s="11"/>
      <c r="AB745"/>
      <c r="AC745"/>
    </row>
    <row r="746" spans="2:29" x14ac:dyDescent="0.25">
      <c r="B746">
        <v>0</v>
      </c>
      <c r="F746">
        <v>0</v>
      </c>
      <c r="P746" s="78">
        <v>133000</v>
      </c>
      <c r="Q746" s="79">
        <v>1098322.645</v>
      </c>
      <c r="R746" s="77" t="s">
        <v>394</v>
      </c>
      <c r="S746" s="77">
        <v>7414000005</v>
      </c>
      <c r="T746" s="11"/>
      <c r="AB746"/>
      <c r="AC746"/>
    </row>
    <row r="747" spans="2:29" x14ac:dyDescent="0.25">
      <c r="B747">
        <v>0</v>
      </c>
      <c r="F747">
        <v>0</v>
      </c>
      <c r="P747" s="78">
        <v>0</v>
      </c>
      <c r="Q747" s="79">
        <v>488325.78</v>
      </c>
      <c r="R747" s="77" t="s">
        <v>394</v>
      </c>
      <c r="S747" s="77">
        <v>7414000005</v>
      </c>
      <c r="AB747"/>
      <c r="AC747"/>
    </row>
    <row r="748" spans="2:29" x14ac:dyDescent="0.25">
      <c r="B748">
        <v>0</v>
      </c>
      <c r="F748">
        <v>0</v>
      </c>
      <c r="P748" s="78">
        <v>2736</v>
      </c>
      <c r="Q748" s="79">
        <v>270126.234864</v>
      </c>
      <c r="R748" s="77" t="s">
        <v>394</v>
      </c>
      <c r="S748" s="77">
        <v>7414000005</v>
      </c>
      <c r="AB748"/>
      <c r="AC748"/>
    </row>
    <row r="749" spans="2:29" x14ac:dyDescent="0.25">
      <c r="B749">
        <v>0</v>
      </c>
      <c r="F749">
        <v>0</v>
      </c>
      <c r="P749" s="78">
        <v>17830</v>
      </c>
      <c r="Q749" s="79">
        <v>1769582.88934</v>
      </c>
      <c r="R749" s="77" t="s">
        <v>394</v>
      </c>
      <c r="S749" s="77">
        <v>7414000005</v>
      </c>
      <c r="T749" s="11"/>
      <c r="AB749"/>
      <c r="AC749"/>
    </row>
    <row r="750" spans="2:29" x14ac:dyDescent="0.25">
      <c r="B750">
        <v>0</v>
      </c>
      <c r="F750">
        <v>0</v>
      </c>
      <c r="P750" s="78">
        <v>7071</v>
      </c>
      <c r="Q750" s="79">
        <v>671555.12243700004</v>
      </c>
      <c r="R750" s="77" t="s">
        <v>394</v>
      </c>
      <c r="S750" s="77">
        <v>7414000005</v>
      </c>
      <c r="AB750"/>
      <c r="AC750"/>
    </row>
    <row r="751" spans="2:29" x14ac:dyDescent="0.25">
      <c r="B751">
        <v>0</v>
      </c>
      <c r="F751">
        <v>0</v>
      </c>
      <c r="P751" s="78">
        <v>37048</v>
      </c>
      <c r="Q751" s="79">
        <v>3405149.1444080002</v>
      </c>
      <c r="R751" s="77" t="s">
        <v>394</v>
      </c>
      <c r="S751" s="77">
        <v>7414000005</v>
      </c>
      <c r="AB751"/>
      <c r="AC751"/>
    </row>
    <row r="752" spans="2:29" x14ac:dyDescent="0.25">
      <c r="B752">
        <v>0</v>
      </c>
      <c r="F752">
        <v>0</v>
      </c>
      <c r="P752" s="78">
        <v>69530</v>
      </c>
      <c r="Q752" s="79">
        <v>6463126.5935899997</v>
      </c>
      <c r="R752" s="77" t="s">
        <v>394</v>
      </c>
      <c r="S752" s="77">
        <v>7414000005</v>
      </c>
      <c r="AB752"/>
      <c r="AC752"/>
    </row>
    <row r="753" spans="2:29" x14ac:dyDescent="0.25">
      <c r="B753">
        <v>0</v>
      </c>
      <c r="F753">
        <v>0</v>
      </c>
      <c r="P753" s="78">
        <v>26275</v>
      </c>
      <c r="Q753" s="79">
        <v>2330543.1818249999</v>
      </c>
      <c r="R753" s="77" t="s">
        <v>394</v>
      </c>
      <c r="S753" s="77">
        <v>7414000005</v>
      </c>
      <c r="T753" s="11"/>
      <c r="AB753"/>
      <c r="AC753"/>
    </row>
    <row r="754" spans="2:29" x14ac:dyDescent="0.25">
      <c r="B754">
        <v>0</v>
      </c>
      <c r="F754">
        <v>0</v>
      </c>
      <c r="P754" s="78">
        <v>23960</v>
      </c>
      <c r="Q754" s="79">
        <v>2235808.0403200001</v>
      </c>
      <c r="R754" s="77" t="s">
        <v>394</v>
      </c>
      <c r="S754" s="77">
        <v>7414000005</v>
      </c>
      <c r="AB754"/>
      <c r="AC754"/>
    </row>
    <row r="755" spans="2:29" x14ac:dyDescent="0.25">
      <c r="B755">
        <v>0</v>
      </c>
      <c r="F755">
        <v>0</v>
      </c>
      <c r="P755" s="78">
        <v>0</v>
      </c>
      <c r="Q755" s="79">
        <v>0</v>
      </c>
      <c r="R755" s="77" t="s">
        <v>394</v>
      </c>
      <c r="S755" s="77">
        <v>7414000005</v>
      </c>
      <c r="AB755"/>
      <c r="AC755"/>
    </row>
    <row r="756" spans="2:29" x14ac:dyDescent="0.25">
      <c r="B756">
        <v>0</v>
      </c>
      <c r="F756">
        <v>0</v>
      </c>
      <c r="P756" s="78">
        <v>1530</v>
      </c>
      <c r="Q756" s="79">
        <v>149951.98602000001</v>
      </c>
      <c r="R756" s="77" t="s">
        <v>394</v>
      </c>
      <c r="S756" s="77">
        <v>7414000005</v>
      </c>
      <c r="AB756"/>
      <c r="AC756"/>
    </row>
    <row r="757" spans="2:29" x14ac:dyDescent="0.25">
      <c r="B757">
        <v>0</v>
      </c>
      <c r="F757">
        <v>0</v>
      </c>
      <c r="P757" s="78">
        <v>6200</v>
      </c>
      <c r="Q757" s="79">
        <v>622411.21100000001</v>
      </c>
      <c r="R757" s="77" t="s">
        <v>394</v>
      </c>
      <c r="S757" s="77">
        <v>7414000005</v>
      </c>
      <c r="T757" s="11"/>
      <c r="X757" s="12"/>
      <c r="AB757"/>
      <c r="AC757"/>
    </row>
    <row r="758" spans="2:29" x14ac:dyDescent="0.25">
      <c r="B758">
        <v>0</v>
      </c>
      <c r="F758">
        <v>0</v>
      </c>
      <c r="P758" s="78">
        <v>1050000</v>
      </c>
      <c r="Q758" s="79">
        <v>4312308</v>
      </c>
      <c r="R758" s="77" t="s">
        <v>394</v>
      </c>
      <c r="S758" s="77">
        <v>7414000005</v>
      </c>
      <c r="X758" s="12"/>
      <c r="AB758"/>
      <c r="AC758"/>
    </row>
    <row r="759" spans="2:29" x14ac:dyDescent="0.25">
      <c r="B759">
        <v>0</v>
      </c>
      <c r="F759">
        <v>0</v>
      </c>
      <c r="P759" s="78">
        <v>3</v>
      </c>
      <c r="Q759" s="79">
        <v>2241.535296</v>
      </c>
      <c r="R759" s="77" t="s">
        <v>394</v>
      </c>
      <c r="S759" s="77">
        <v>7414000005</v>
      </c>
      <c r="T759" s="11"/>
      <c r="AB759"/>
      <c r="AC759"/>
    </row>
    <row r="760" spans="2:29" x14ac:dyDescent="0.25">
      <c r="B760">
        <v>0</v>
      </c>
      <c r="F760">
        <v>0</v>
      </c>
      <c r="P760" s="78">
        <v>147110</v>
      </c>
      <c r="Q760" s="79">
        <v>14711071.201239999</v>
      </c>
      <c r="R760" s="77" t="s">
        <v>394</v>
      </c>
      <c r="S760" s="77">
        <v>7414000005</v>
      </c>
      <c r="T760" s="11"/>
      <c r="AB760"/>
      <c r="AC760"/>
    </row>
    <row r="761" spans="2:29" x14ac:dyDescent="0.25">
      <c r="B761">
        <v>0</v>
      </c>
      <c r="F761">
        <v>0</v>
      </c>
      <c r="P761" s="78">
        <v>0</v>
      </c>
      <c r="Q761" s="79">
        <v>0</v>
      </c>
      <c r="R761" s="77" t="s">
        <v>394</v>
      </c>
      <c r="S761" s="77">
        <v>7414000005</v>
      </c>
      <c r="AB761"/>
      <c r="AC761"/>
    </row>
    <row r="762" spans="2:29" x14ac:dyDescent="0.25">
      <c r="B762">
        <v>0</v>
      </c>
      <c r="F762">
        <v>0</v>
      </c>
      <c r="P762" s="78">
        <v>5348712</v>
      </c>
      <c r="Q762" s="79">
        <v>45487687.958328001</v>
      </c>
      <c r="R762" s="77" t="s">
        <v>394</v>
      </c>
      <c r="S762" s="77">
        <v>7414000005</v>
      </c>
      <c r="AB762"/>
      <c r="AC762"/>
    </row>
    <row r="763" spans="2:29" x14ac:dyDescent="0.25">
      <c r="B763">
        <v>0</v>
      </c>
      <c r="F763">
        <v>0</v>
      </c>
      <c r="P763" s="78">
        <v>9698110</v>
      </c>
      <c r="Q763" s="79">
        <v>81283263.946610004</v>
      </c>
      <c r="R763" s="77" t="s">
        <v>394</v>
      </c>
      <c r="S763" s="77">
        <v>7414000005</v>
      </c>
      <c r="T763" s="11"/>
      <c r="AB763"/>
      <c r="AC763"/>
    </row>
    <row r="764" spans="2:29" x14ac:dyDescent="0.25">
      <c r="B764">
        <v>0</v>
      </c>
      <c r="F764">
        <v>0</v>
      </c>
      <c r="P764" s="78">
        <v>19087857</v>
      </c>
      <c r="Q764" s="79">
        <v>157628763.81670499</v>
      </c>
      <c r="R764" s="77" t="s">
        <v>394</v>
      </c>
      <c r="S764" s="77">
        <v>7414000005</v>
      </c>
      <c r="T764" s="11"/>
      <c r="AB764"/>
      <c r="AC764"/>
    </row>
    <row r="765" spans="2:29" x14ac:dyDescent="0.25">
      <c r="B765">
        <v>0</v>
      </c>
      <c r="F765">
        <v>0</v>
      </c>
      <c r="P765" s="78">
        <v>0</v>
      </c>
      <c r="Q765" s="79">
        <v>6899159.6799999997</v>
      </c>
      <c r="R765" s="77" t="s">
        <v>394</v>
      </c>
      <c r="S765" s="77">
        <v>7414000005</v>
      </c>
      <c r="AB765"/>
      <c r="AC765"/>
    </row>
    <row r="766" spans="2:29" x14ac:dyDescent="0.25">
      <c r="B766">
        <v>0</v>
      </c>
      <c r="F766">
        <v>0</v>
      </c>
      <c r="P766" s="78">
        <v>186808</v>
      </c>
      <c r="Q766" s="79">
        <v>18443619.035992</v>
      </c>
      <c r="R766" s="77" t="s">
        <v>394</v>
      </c>
      <c r="S766" s="77">
        <v>7414000005</v>
      </c>
      <c r="T766" s="11"/>
      <c r="AB766"/>
      <c r="AC766"/>
    </row>
    <row r="767" spans="2:29" x14ac:dyDescent="0.25">
      <c r="B767">
        <v>0</v>
      </c>
      <c r="F767">
        <v>0</v>
      </c>
      <c r="P767" s="78">
        <v>1036770</v>
      </c>
      <c r="Q767" s="79">
        <v>102896828.50146</v>
      </c>
      <c r="R767" s="77" t="s">
        <v>394</v>
      </c>
      <c r="S767" s="77">
        <v>7414000005</v>
      </c>
      <c r="AB767"/>
      <c r="AC767"/>
    </row>
    <row r="768" spans="2:29" x14ac:dyDescent="0.25">
      <c r="B768">
        <v>0</v>
      </c>
      <c r="F768">
        <v>0</v>
      </c>
      <c r="P768" s="78">
        <v>1004142</v>
      </c>
      <c r="Q768" s="79">
        <v>95366525.774874002</v>
      </c>
      <c r="R768" s="77" t="s">
        <v>394</v>
      </c>
      <c r="S768" s="77">
        <v>7414000005</v>
      </c>
      <c r="AB768"/>
      <c r="AC768"/>
    </row>
    <row r="769" spans="2:29" x14ac:dyDescent="0.25">
      <c r="B769">
        <v>0</v>
      </c>
      <c r="F769">
        <v>0</v>
      </c>
      <c r="P769" s="78">
        <v>1855916</v>
      </c>
      <c r="Q769" s="79">
        <v>170580619.183036</v>
      </c>
      <c r="R769" s="77" t="s">
        <v>394</v>
      </c>
      <c r="S769" s="77">
        <v>7414000005</v>
      </c>
      <c r="AB769"/>
      <c r="AC769"/>
    </row>
    <row r="770" spans="2:29" x14ac:dyDescent="0.25">
      <c r="B770">
        <v>0</v>
      </c>
      <c r="F770">
        <v>0</v>
      </c>
      <c r="P770" s="78">
        <v>3388950</v>
      </c>
      <c r="Q770" s="79">
        <v>315018162.94185001</v>
      </c>
      <c r="R770" s="77" t="s">
        <v>394</v>
      </c>
      <c r="S770" s="77">
        <v>7414000005</v>
      </c>
      <c r="AB770"/>
      <c r="AC770"/>
    </row>
    <row r="771" spans="2:29" x14ac:dyDescent="0.25">
      <c r="B771">
        <v>0</v>
      </c>
      <c r="F771">
        <v>0</v>
      </c>
      <c r="P771" s="78">
        <v>1246014</v>
      </c>
      <c r="Q771" s="79">
        <v>110519103.03172199</v>
      </c>
      <c r="R771" s="77" t="s">
        <v>394</v>
      </c>
      <c r="S771" s="77">
        <v>7414000005</v>
      </c>
      <c r="AB771"/>
      <c r="AC771"/>
    </row>
    <row r="772" spans="2:29" x14ac:dyDescent="0.25">
      <c r="B772">
        <v>0</v>
      </c>
      <c r="F772">
        <v>0</v>
      </c>
      <c r="P772" s="78">
        <v>1252910</v>
      </c>
      <c r="Q772" s="79">
        <v>116914284.29872</v>
      </c>
      <c r="R772" s="77" t="s">
        <v>394</v>
      </c>
      <c r="S772" s="77">
        <v>7414000005</v>
      </c>
      <c r="AB772"/>
      <c r="AC772"/>
    </row>
    <row r="773" spans="2:29" x14ac:dyDescent="0.25">
      <c r="B773">
        <v>0</v>
      </c>
      <c r="F773">
        <v>0</v>
      </c>
      <c r="P773" s="78">
        <v>0</v>
      </c>
      <c r="Q773" s="79">
        <v>0</v>
      </c>
      <c r="R773" s="77" t="s">
        <v>394</v>
      </c>
      <c r="S773" s="77">
        <v>7414000005</v>
      </c>
      <c r="T773" s="11"/>
      <c r="AB773"/>
      <c r="AC773"/>
    </row>
    <row r="774" spans="2:29" x14ac:dyDescent="0.25">
      <c r="B774">
        <v>0</v>
      </c>
      <c r="F774">
        <v>0</v>
      </c>
      <c r="P774" s="78">
        <v>70103</v>
      </c>
      <c r="Q774" s="79">
        <v>6870643.1869019996</v>
      </c>
      <c r="R774" s="77" t="s">
        <v>394</v>
      </c>
      <c r="S774" s="77">
        <v>7414000005</v>
      </c>
      <c r="AB774"/>
      <c r="AC774"/>
    </row>
    <row r="775" spans="2:29" x14ac:dyDescent="0.25">
      <c r="B775">
        <v>0</v>
      </c>
      <c r="F775">
        <v>0</v>
      </c>
      <c r="P775" s="78">
        <v>291840</v>
      </c>
      <c r="Q775" s="79">
        <v>29297498.0352</v>
      </c>
      <c r="R775" s="77" t="s">
        <v>394</v>
      </c>
      <c r="S775" s="77">
        <v>7414000005</v>
      </c>
      <c r="AB775"/>
      <c r="AC775"/>
    </row>
    <row r="776" spans="2:29" x14ac:dyDescent="0.25">
      <c r="B776">
        <v>0</v>
      </c>
      <c r="F776">
        <v>0</v>
      </c>
      <c r="P776" s="78">
        <v>54700000</v>
      </c>
      <c r="Q776" s="79">
        <v>224650712</v>
      </c>
      <c r="R776" s="77" t="s">
        <v>394</v>
      </c>
      <c r="S776" s="77">
        <v>7414000005</v>
      </c>
      <c r="AB776"/>
      <c r="AC776"/>
    </row>
    <row r="777" spans="2:29" x14ac:dyDescent="0.25">
      <c r="B777">
        <v>0</v>
      </c>
      <c r="F777">
        <v>0</v>
      </c>
      <c r="P777" s="78">
        <v>90</v>
      </c>
      <c r="Q777" s="79">
        <v>69812.260829999999</v>
      </c>
      <c r="R777" s="77" t="s">
        <v>394</v>
      </c>
      <c r="S777" s="77">
        <v>7414000005</v>
      </c>
      <c r="AB777"/>
      <c r="AC777"/>
    </row>
    <row r="778" spans="2:29" x14ac:dyDescent="0.25">
      <c r="B778">
        <v>0</v>
      </c>
      <c r="F778">
        <v>0</v>
      </c>
      <c r="P778" s="78">
        <v>564</v>
      </c>
      <c r="Q778" s="79">
        <v>421408.635648</v>
      </c>
      <c r="R778" s="77" t="s">
        <v>394</v>
      </c>
      <c r="S778" s="77">
        <v>7414000005</v>
      </c>
      <c r="AB778"/>
      <c r="AC778"/>
    </row>
    <row r="779" spans="2:29" x14ac:dyDescent="0.25">
      <c r="B779">
        <v>0</v>
      </c>
      <c r="F779">
        <v>0</v>
      </c>
      <c r="P779" s="78">
        <v>510092</v>
      </c>
      <c r="Q779" s="79">
        <v>1600297.8591159999</v>
      </c>
      <c r="R779" s="77" t="s">
        <v>394</v>
      </c>
      <c r="S779" s="77">
        <v>7414000005</v>
      </c>
      <c r="AB779"/>
      <c r="AC779"/>
    </row>
    <row r="780" spans="2:29" x14ac:dyDescent="0.25">
      <c r="B780">
        <v>0</v>
      </c>
      <c r="F780">
        <v>0</v>
      </c>
      <c r="P780" s="78">
        <v>0</v>
      </c>
      <c r="Q780" s="79">
        <v>0</v>
      </c>
      <c r="R780" s="77" t="s">
        <v>394</v>
      </c>
      <c r="S780" s="77">
        <v>7414000005</v>
      </c>
      <c r="AB780"/>
      <c r="AC780"/>
    </row>
    <row r="781" spans="2:29" x14ac:dyDescent="0.25">
      <c r="B781">
        <v>0</v>
      </c>
      <c r="F781">
        <v>0</v>
      </c>
      <c r="P781" s="78">
        <v>196371</v>
      </c>
      <c r="Q781" s="79">
        <v>616069.43628300005</v>
      </c>
      <c r="R781" s="77" t="s">
        <v>394</v>
      </c>
      <c r="S781" s="77">
        <v>7414000005</v>
      </c>
      <c r="AB781"/>
      <c r="AC781"/>
    </row>
    <row r="782" spans="2:29" x14ac:dyDescent="0.25">
      <c r="B782">
        <v>0</v>
      </c>
      <c r="F782">
        <v>0</v>
      </c>
      <c r="P782" s="78">
        <v>10703021</v>
      </c>
      <c r="Q782" s="79">
        <v>41810752.167323999</v>
      </c>
      <c r="R782" s="77" t="s">
        <v>394</v>
      </c>
      <c r="S782" s="77">
        <v>7414000005</v>
      </c>
      <c r="AB782"/>
      <c r="AC782"/>
    </row>
    <row r="783" spans="2:29" x14ac:dyDescent="0.25">
      <c r="B783">
        <v>0</v>
      </c>
      <c r="F783">
        <v>0</v>
      </c>
      <c r="P783" s="78">
        <v>7091577</v>
      </c>
      <c r="Q783" s="79">
        <v>21394557.376568999</v>
      </c>
      <c r="R783" s="77" t="s">
        <v>394</v>
      </c>
      <c r="S783" s="77">
        <v>7414000005</v>
      </c>
      <c r="AB783"/>
      <c r="AC783"/>
    </row>
    <row r="784" spans="2:29" x14ac:dyDescent="0.25">
      <c r="B784">
        <v>0</v>
      </c>
      <c r="F784">
        <v>0</v>
      </c>
      <c r="P784" s="78">
        <v>0</v>
      </c>
      <c r="Q784" s="79">
        <v>0</v>
      </c>
      <c r="R784" s="77" t="s">
        <v>394</v>
      </c>
      <c r="S784" s="77">
        <v>7414000005</v>
      </c>
      <c r="AB784"/>
      <c r="AC784"/>
    </row>
    <row r="785" spans="2:29" x14ac:dyDescent="0.25">
      <c r="B785">
        <v>0</v>
      </c>
      <c r="F785">
        <v>0</v>
      </c>
      <c r="P785" s="78">
        <v>146155</v>
      </c>
      <c r="Q785" s="79">
        <v>1387535.35414</v>
      </c>
      <c r="R785" s="77" t="s">
        <v>394</v>
      </c>
      <c r="S785" s="77">
        <v>7414000005</v>
      </c>
      <c r="AB785"/>
      <c r="AC785"/>
    </row>
    <row r="786" spans="2:29" x14ac:dyDescent="0.25">
      <c r="B786">
        <v>0</v>
      </c>
      <c r="F786">
        <v>0</v>
      </c>
      <c r="P786" s="78">
        <v>199060</v>
      </c>
      <c r="Q786" s="79">
        <v>1858854.7267799999</v>
      </c>
      <c r="R786" s="77" t="s">
        <v>394</v>
      </c>
      <c r="S786" s="77">
        <v>7414000005</v>
      </c>
      <c r="AB786"/>
      <c r="AC786"/>
    </row>
    <row r="787" spans="2:29" x14ac:dyDescent="0.25">
      <c r="B787">
        <v>0</v>
      </c>
      <c r="F787">
        <v>0</v>
      </c>
      <c r="P787" s="78">
        <v>249960</v>
      </c>
      <c r="Q787" s="79">
        <v>2297166.6445200001</v>
      </c>
      <c r="R787" s="77" t="s">
        <v>394</v>
      </c>
      <c r="S787" s="77">
        <v>7414000005</v>
      </c>
      <c r="AB787"/>
      <c r="AC787"/>
    </row>
    <row r="788" spans="2:29" x14ac:dyDescent="0.25">
      <c r="B788">
        <v>0</v>
      </c>
      <c r="F788">
        <v>0</v>
      </c>
      <c r="P788" s="78">
        <v>69270</v>
      </c>
      <c r="Q788" s="79">
        <v>580576.18377</v>
      </c>
      <c r="R788" s="77" t="s">
        <v>394</v>
      </c>
      <c r="S788" s="77">
        <v>7414000005</v>
      </c>
      <c r="AB788"/>
      <c r="AC788"/>
    </row>
    <row r="789" spans="2:29" x14ac:dyDescent="0.25">
      <c r="B789">
        <v>0</v>
      </c>
      <c r="F789">
        <v>0</v>
      </c>
      <c r="P789" s="78">
        <v>141260</v>
      </c>
      <c r="Q789" s="79">
        <v>1166534.2619</v>
      </c>
      <c r="R789" s="77" t="s">
        <v>394</v>
      </c>
      <c r="S789" s="77">
        <v>7414000005</v>
      </c>
      <c r="AB789"/>
      <c r="AC789"/>
    </row>
    <row r="790" spans="2:29" x14ac:dyDescent="0.25">
      <c r="B790">
        <v>0</v>
      </c>
      <c r="F790">
        <v>0</v>
      </c>
      <c r="P790" s="78">
        <v>5490</v>
      </c>
      <c r="Q790" s="79">
        <v>542029.61601</v>
      </c>
      <c r="R790" s="77" t="s">
        <v>394</v>
      </c>
      <c r="S790" s="77">
        <v>7414000005</v>
      </c>
      <c r="AB790"/>
      <c r="AC790"/>
    </row>
    <row r="791" spans="2:29" x14ac:dyDescent="0.25">
      <c r="B791">
        <v>0</v>
      </c>
      <c r="F791">
        <v>0</v>
      </c>
      <c r="P791" s="78">
        <v>9056</v>
      </c>
      <c r="Q791" s="79">
        <v>898785.34188800002</v>
      </c>
      <c r="R791" s="77" t="s">
        <v>394</v>
      </c>
      <c r="S791" s="77">
        <v>7414000005</v>
      </c>
      <c r="AB791"/>
      <c r="AC791"/>
    </row>
    <row r="792" spans="2:29" x14ac:dyDescent="0.25">
      <c r="B792">
        <v>0</v>
      </c>
      <c r="F792">
        <v>0</v>
      </c>
      <c r="P792" s="78">
        <v>11816</v>
      </c>
      <c r="Q792" s="79">
        <v>1122202.7049519999</v>
      </c>
      <c r="R792" s="77" t="s">
        <v>394</v>
      </c>
      <c r="S792" s="77">
        <v>7414000005</v>
      </c>
      <c r="AB792"/>
      <c r="AC792"/>
    </row>
    <row r="793" spans="2:29" x14ac:dyDescent="0.25">
      <c r="B793">
        <v>0</v>
      </c>
      <c r="F793">
        <v>0</v>
      </c>
      <c r="P793" s="78">
        <v>6578</v>
      </c>
      <c r="Q793" s="79">
        <v>604595.95853800001</v>
      </c>
      <c r="R793" s="77" t="s">
        <v>394</v>
      </c>
      <c r="S793" s="77">
        <v>7414000005</v>
      </c>
      <c r="AB793"/>
      <c r="AC793"/>
    </row>
    <row r="794" spans="2:29" x14ac:dyDescent="0.25">
      <c r="B794">
        <v>0</v>
      </c>
      <c r="F794">
        <v>0</v>
      </c>
      <c r="P794" s="78">
        <v>9566</v>
      </c>
      <c r="Q794" s="79">
        <v>848486.244618</v>
      </c>
      <c r="R794" s="77" t="s">
        <v>394</v>
      </c>
      <c r="S794" s="77">
        <v>7414000005</v>
      </c>
      <c r="AB794"/>
      <c r="AC794"/>
    </row>
    <row r="795" spans="2:29" x14ac:dyDescent="0.25">
      <c r="B795">
        <v>0</v>
      </c>
      <c r="F795">
        <v>0</v>
      </c>
      <c r="P795" s="78">
        <v>8296</v>
      </c>
      <c r="Q795" s="79">
        <v>774134.53683200001</v>
      </c>
      <c r="R795" s="77" t="s">
        <v>394</v>
      </c>
      <c r="S795" s="77">
        <v>7414000005</v>
      </c>
      <c r="T795" s="11"/>
      <c r="AB795"/>
      <c r="AC795"/>
    </row>
    <row r="796" spans="2:29" x14ac:dyDescent="0.25">
      <c r="B796">
        <v>0</v>
      </c>
      <c r="F796">
        <v>0</v>
      </c>
      <c r="P796" s="78">
        <v>7200</v>
      </c>
      <c r="Q796" s="79">
        <v>683022.00959999999</v>
      </c>
      <c r="R796" s="77" t="s">
        <v>394</v>
      </c>
      <c r="S796" s="77">
        <v>7414000005</v>
      </c>
      <c r="T796" s="11"/>
      <c r="AB796"/>
      <c r="AC796"/>
    </row>
    <row r="797" spans="2:29" x14ac:dyDescent="0.25">
      <c r="B797">
        <v>0</v>
      </c>
      <c r="F797">
        <v>0</v>
      </c>
      <c r="P797" s="78">
        <v>2953</v>
      </c>
      <c r="Q797" s="79">
        <v>280151.57362099999</v>
      </c>
      <c r="R797" s="77" t="s">
        <v>394</v>
      </c>
      <c r="S797" s="77">
        <v>7414000005</v>
      </c>
      <c r="T797" s="11"/>
      <c r="AB797"/>
      <c r="AC797"/>
    </row>
    <row r="798" spans="2:29" x14ac:dyDescent="0.25">
      <c r="B798">
        <v>0</v>
      </c>
      <c r="F798">
        <v>0</v>
      </c>
      <c r="P798" s="78">
        <v>11334</v>
      </c>
      <c r="Q798" s="79">
        <v>1014273.5963100001</v>
      </c>
      <c r="R798" s="77" t="s">
        <v>394</v>
      </c>
      <c r="S798" s="77">
        <v>7414000005</v>
      </c>
      <c r="T798" s="11"/>
      <c r="AB798"/>
      <c r="AC798"/>
    </row>
    <row r="799" spans="2:29" x14ac:dyDescent="0.25">
      <c r="B799">
        <v>0</v>
      </c>
      <c r="F799">
        <v>0</v>
      </c>
      <c r="P799" s="78">
        <v>7760</v>
      </c>
      <c r="Q799" s="79">
        <v>668889.71328000003</v>
      </c>
      <c r="R799" s="77" t="s">
        <v>394</v>
      </c>
      <c r="S799" s="77">
        <v>7414000005</v>
      </c>
      <c r="AB799"/>
      <c r="AC799"/>
    </row>
    <row r="800" spans="2:29" x14ac:dyDescent="0.25">
      <c r="B800">
        <v>0</v>
      </c>
      <c r="F800">
        <v>0</v>
      </c>
      <c r="P800" s="78">
        <v>39629</v>
      </c>
      <c r="Q800" s="79">
        <v>3426694.029666</v>
      </c>
      <c r="R800" s="77" t="s">
        <v>394</v>
      </c>
      <c r="S800" s="77">
        <v>7414000005</v>
      </c>
      <c r="T800" s="11"/>
      <c r="AB800"/>
      <c r="AC800"/>
    </row>
    <row r="801" spans="2:29" x14ac:dyDescent="0.25">
      <c r="B801">
        <v>0</v>
      </c>
      <c r="F801">
        <v>0</v>
      </c>
      <c r="P801" s="78">
        <v>507</v>
      </c>
      <c r="Q801" s="79">
        <v>51435.639761999999</v>
      </c>
      <c r="R801" s="77" t="s">
        <v>394</v>
      </c>
      <c r="S801" s="77">
        <v>7414000005</v>
      </c>
      <c r="AB801"/>
      <c r="AC801"/>
    </row>
    <row r="802" spans="2:29" x14ac:dyDescent="0.25">
      <c r="B802">
        <v>0</v>
      </c>
      <c r="F802">
        <v>0</v>
      </c>
      <c r="P802" s="78">
        <v>657</v>
      </c>
      <c r="Q802" s="79">
        <v>58895.564004</v>
      </c>
      <c r="R802" s="77" t="s">
        <v>394</v>
      </c>
      <c r="S802" s="77">
        <v>7414000005</v>
      </c>
      <c r="AB802"/>
      <c r="AC802"/>
    </row>
    <row r="803" spans="2:29" x14ac:dyDescent="0.25">
      <c r="B803">
        <v>0</v>
      </c>
      <c r="F803">
        <v>0</v>
      </c>
      <c r="P803" s="78">
        <v>14007</v>
      </c>
      <c r="Q803" s="79">
        <v>1144916.21202</v>
      </c>
      <c r="R803" s="77" t="s">
        <v>394</v>
      </c>
      <c r="S803" s="77">
        <v>7414000005</v>
      </c>
      <c r="AB803"/>
      <c r="AC803"/>
    </row>
    <row r="804" spans="2:29" x14ac:dyDescent="0.25">
      <c r="B804">
        <v>0</v>
      </c>
      <c r="F804">
        <v>0</v>
      </c>
      <c r="P804" s="78">
        <v>2080</v>
      </c>
      <c r="Q804" s="79">
        <v>173057.58288</v>
      </c>
      <c r="R804" s="77" t="s">
        <v>394</v>
      </c>
      <c r="S804" s="77">
        <v>7414000005</v>
      </c>
      <c r="T804" s="11"/>
      <c r="AB804"/>
      <c r="AC804"/>
    </row>
    <row r="805" spans="2:29" x14ac:dyDescent="0.25">
      <c r="B805">
        <v>0</v>
      </c>
      <c r="F805">
        <v>0</v>
      </c>
      <c r="P805" s="78">
        <v>21201</v>
      </c>
      <c r="Q805" s="79">
        <v>1741872.1883070001</v>
      </c>
      <c r="R805" s="77" t="s">
        <v>394</v>
      </c>
      <c r="S805" s="77">
        <v>7414000005</v>
      </c>
      <c r="AB805"/>
      <c r="AC805"/>
    </row>
    <row r="806" spans="2:29" x14ac:dyDescent="0.25">
      <c r="B806">
        <v>0</v>
      </c>
      <c r="F806">
        <v>0</v>
      </c>
      <c r="P806" s="78">
        <v>10290</v>
      </c>
      <c r="Q806" s="79">
        <v>1008500.6118599999</v>
      </c>
      <c r="R806" s="77" t="s">
        <v>394</v>
      </c>
      <c r="S806" s="77">
        <v>7414000005</v>
      </c>
      <c r="AB806"/>
      <c r="AC806"/>
    </row>
    <row r="807" spans="2:29" x14ac:dyDescent="0.25">
      <c r="B807">
        <v>0</v>
      </c>
      <c r="F807">
        <v>0</v>
      </c>
      <c r="P807" s="78">
        <v>2085150</v>
      </c>
      <c r="Q807" s="79">
        <v>7082779.1358000003</v>
      </c>
      <c r="R807" s="77" t="s">
        <v>394</v>
      </c>
      <c r="S807" s="77">
        <v>7414000005</v>
      </c>
      <c r="AB807"/>
      <c r="AC807"/>
    </row>
    <row r="808" spans="2:29" x14ac:dyDescent="0.25">
      <c r="B808">
        <v>0</v>
      </c>
      <c r="F808">
        <v>0</v>
      </c>
      <c r="P808" s="78">
        <v>1858513</v>
      </c>
      <c r="Q808" s="79">
        <v>7217040.8710420001</v>
      </c>
      <c r="R808" s="77" t="s">
        <v>394</v>
      </c>
      <c r="S808" s="77">
        <v>7414000005</v>
      </c>
      <c r="AB808"/>
      <c r="AC808"/>
    </row>
    <row r="809" spans="2:29" x14ac:dyDescent="0.25">
      <c r="B809">
        <v>0</v>
      </c>
      <c r="F809">
        <v>0</v>
      </c>
      <c r="P809" s="78">
        <v>152</v>
      </c>
      <c r="Q809" s="79">
        <v>38919.617480000001</v>
      </c>
      <c r="R809" s="77" t="s">
        <v>394</v>
      </c>
      <c r="S809" s="77">
        <v>7414000005</v>
      </c>
      <c r="AB809"/>
      <c r="AC809"/>
    </row>
    <row r="810" spans="2:29" x14ac:dyDescent="0.25">
      <c r="B810">
        <v>0</v>
      </c>
      <c r="F810">
        <v>0</v>
      </c>
      <c r="P810" s="78">
        <v>0</v>
      </c>
      <c r="Q810" s="79">
        <v>0</v>
      </c>
      <c r="R810" s="77" t="s">
        <v>394</v>
      </c>
      <c r="S810" s="77">
        <v>7414000005</v>
      </c>
      <c r="AB810"/>
      <c r="AC810"/>
    </row>
    <row r="811" spans="2:29" x14ac:dyDescent="0.25">
      <c r="B811">
        <v>0</v>
      </c>
      <c r="F811">
        <v>0</v>
      </c>
      <c r="P811" s="78">
        <v>878</v>
      </c>
      <c r="Q811" s="79">
        <v>681057.38898599998</v>
      </c>
      <c r="R811" s="77" t="s">
        <v>394</v>
      </c>
      <c r="S811" s="77">
        <v>7414000005</v>
      </c>
      <c r="AB811"/>
      <c r="AC811"/>
    </row>
    <row r="812" spans="2:29" x14ac:dyDescent="0.25">
      <c r="B812">
        <v>0</v>
      </c>
      <c r="F812">
        <v>0</v>
      </c>
      <c r="P812" s="78">
        <v>1360</v>
      </c>
      <c r="Q812" s="79">
        <v>1016162.66752</v>
      </c>
      <c r="R812" s="77" t="s">
        <v>394</v>
      </c>
      <c r="S812" s="77">
        <v>7414000005</v>
      </c>
      <c r="AB812"/>
      <c r="AC812"/>
    </row>
    <row r="813" spans="2:29" x14ac:dyDescent="0.25">
      <c r="B813">
        <v>0</v>
      </c>
      <c r="F813">
        <v>0</v>
      </c>
      <c r="P813" s="78">
        <v>1328</v>
      </c>
      <c r="Q813" s="79">
        <v>1017146.9166239999</v>
      </c>
      <c r="R813" s="77" t="s">
        <v>394</v>
      </c>
      <c r="S813" s="77">
        <v>7414000005</v>
      </c>
      <c r="AB813"/>
      <c r="AC813"/>
    </row>
    <row r="814" spans="2:29" x14ac:dyDescent="0.25">
      <c r="B814">
        <v>0</v>
      </c>
      <c r="F814">
        <v>0</v>
      </c>
      <c r="P814" s="78">
        <v>6375</v>
      </c>
      <c r="Q814" s="79">
        <v>4366168.3822499998</v>
      </c>
      <c r="R814" s="77" t="s">
        <v>394</v>
      </c>
      <c r="S814" s="77">
        <v>7414000005</v>
      </c>
      <c r="T814" s="11"/>
      <c r="AB814"/>
      <c r="AC814"/>
    </row>
    <row r="815" spans="2:29" x14ac:dyDescent="0.25">
      <c r="B815">
        <v>0</v>
      </c>
      <c r="F815">
        <v>0</v>
      </c>
      <c r="P815" s="78">
        <v>616</v>
      </c>
      <c r="Q815" s="79">
        <v>476123.01043999998</v>
      </c>
      <c r="R815" s="77" t="s">
        <v>394</v>
      </c>
      <c r="S815" s="77">
        <v>7414000005</v>
      </c>
      <c r="AB815"/>
      <c r="AC815"/>
    </row>
    <row r="816" spans="2:29" x14ac:dyDescent="0.25">
      <c r="B816">
        <v>0</v>
      </c>
      <c r="F816">
        <v>0</v>
      </c>
      <c r="P816" s="78">
        <v>679</v>
      </c>
      <c r="Q816" s="79">
        <v>489962.76056000002</v>
      </c>
      <c r="R816" s="77" t="s">
        <v>394</v>
      </c>
      <c r="S816" s="77">
        <v>7414000005</v>
      </c>
      <c r="AB816"/>
      <c r="AC816"/>
    </row>
    <row r="817" spans="2:29" x14ac:dyDescent="0.25">
      <c r="B817">
        <v>0</v>
      </c>
      <c r="F817">
        <v>0</v>
      </c>
      <c r="P817" s="78">
        <v>638</v>
      </c>
      <c r="Q817" s="79">
        <v>405744.46992200002</v>
      </c>
      <c r="R817" s="77" t="s">
        <v>394</v>
      </c>
      <c r="S817" s="77">
        <v>7414000005</v>
      </c>
      <c r="AB817"/>
      <c r="AC817"/>
    </row>
    <row r="818" spans="2:29" x14ac:dyDescent="0.25">
      <c r="B818">
        <v>0</v>
      </c>
      <c r="F818">
        <v>0</v>
      </c>
      <c r="P818" s="78">
        <v>1046</v>
      </c>
      <c r="Q818" s="79">
        <v>742000.74908600003</v>
      </c>
      <c r="R818" s="77" t="s">
        <v>394</v>
      </c>
      <c r="S818" s="77">
        <v>7414000005</v>
      </c>
      <c r="AB818"/>
      <c r="AC818"/>
    </row>
    <row r="819" spans="2:29" x14ac:dyDescent="0.25">
      <c r="B819">
        <v>0</v>
      </c>
      <c r="F819">
        <v>0</v>
      </c>
      <c r="P819" s="78">
        <v>3818</v>
      </c>
      <c r="Q819" s="79">
        <v>2651261.9119660002</v>
      </c>
      <c r="R819" s="77" t="s">
        <v>394</v>
      </c>
      <c r="S819" s="77">
        <v>7414000005</v>
      </c>
      <c r="AB819"/>
      <c r="AC819"/>
    </row>
    <row r="820" spans="2:29" x14ac:dyDescent="0.25">
      <c r="B820">
        <v>0</v>
      </c>
      <c r="F820">
        <v>0</v>
      </c>
      <c r="P820" s="78">
        <v>136379</v>
      </c>
      <c r="Q820" s="79">
        <v>1294726.037852</v>
      </c>
      <c r="R820" s="77" t="s">
        <v>394</v>
      </c>
      <c r="S820" s="77">
        <v>7414000005</v>
      </c>
      <c r="AB820"/>
      <c r="AC820"/>
    </row>
    <row r="821" spans="2:29" x14ac:dyDescent="0.25">
      <c r="B821">
        <v>0</v>
      </c>
      <c r="F821">
        <v>0</v>
      </c>
      <c r="P821" s="78">
        <v>185740</v>
      </c>
      <c r="Q821" s="79">
        <v>1734470.3956200001</v>
      </c>
      <c r="R821" s="77" t="s">
        <v>394</v>
      </c>
      <c r="S821" s="77">
        <v>7414000005</v>
      </c>
      <c r="AB821"/>
      <c r="AC821"/>
    </row>
    <row r="822" spans="2:29" x14ac:dyDescent="0.25">
      <c r="B822">
        <v>0</v>
      </c>
      <c r="F822">
        <v>0</v>
      </c>
      <c r="P822" s="78">
        <v>234160</v>
      </c>
      <c r="Q822" s="79">
        <v>2151962.4799199998</v>
      </c>
      <c r="R822" s="77" t="s">
        <v>394</v>
      </c>
      <c r="S822" s="77">
        <v>7414000005</v>
      </c>
      <c r="AB822"/>
      <c r="AC822"/>
    </row>
    <row r="823" spans="2:29" x14ac:dyDescent="0.25">
      <c r="B823">
        <v>0</v>
      </c>
      <c r="F823">
        <v>0</v>
      </c>
      <c r="P823" s="78">
        <v>64920</v>
      </c>
      <c r="Q823" s="79">
        <v>544117.30692</v>
      </c>
      <c r="R823" s="77" t="s">
        <v>394</v>
      </c>
      <c r="S823" s="77">
        <v>7414000005</v>
      </c>
      <c r="AB823"/>
      <c r="AC823"/>
    </row>
    <row r="824" spans="2:29" x14ac:dyDescent="0.25">
      <c r="B824">
        <v>0</v>
      </c>
      <c r="F824">
        <v>0</v>
      </c>
      <c r="P824" s="78">
        <v>132650</v>
      </c>
      <c r="Q824" s="79">
        <v>1095432.32225</v>
      </c>
      <c r="R824" s="77" t="s">
        <v>394</v>
      </c>
      <c r="S824" s="77">
        <v>7414000005</v>
      </c>
      <c r="AB824"/>
      <c r="AC824"/>
    </row>
    <row r="825" spans="2:29" x14ac:dyDescent="0.25">
      <c r="B825">
        <v>0</v>
      </c>
      <c r="F825">
        <v>0</v>
      </c>
      <c r="P825" s="78">
        <v>4530</v>
      </c>
      <c r="Q825" s="79">
        <v>447248.48096999998</v>
      </c>
      <c r="R825" s="77" t="s">
        <v>394</v>
      </c>
      <c r="S825" s="77">
        <v>7414000005</v>
      </c>
      <c r="AB825"/>
      <c r="AC825"/>
    </row>
    <row r="826" spans="2:29" x14ac:dyDescent="0.25">
      <c r="B826">
        <v>0</v>
      </c>
      <c r="F826">
        <v>0</v>
      </c>
      <c r="P826" s="78">
        <v>7978</v>
      </c>
      <c r="Q826" s="79">
        <v>791796.53904399998</v>
      </c>
      <c r="R826" s="77" t="s">
        <v>394</v>
      </c>
      <c r="S826" s="77">
        <v>7414000005</v>
      </c>
      <c r="AB826"/>
      <c r="AC826"/>
    </row>
    <row r="827" spans="2:29" x14ac:dyDescent="0.25">
      <c r="B827">
        <v>0</v>
      </c>
      <c r="F827">
        <v>0</v>
      </c>
      <c r="P827" s="78">
        <v>11009</v>
      </c>
      <c r="Q827" s="79">
        <v>1045559.375323</v>
      </c>
      <c r="R827" s="77" t="s">
        <v>394</v>
      </c>
      <c r="S827" s="77">
        <v>7414000005</v>
      </c>
      <c r="AB827"/>
      <c r="AC827"/>
    </row>
    <row r="828" spans="2:29" x14ac:dyDescent="0.25">
      <c r="B828">
        <v>0</v>
      </c>
      <c r="F828">
        <v>0</v>
      </c>
      <c r="P828" s="78">
        <v>6022</v>
      </c>
      <c r="Q828" s="79">
        <v>553492.98606200004</v>
      </c>
      <c r="R828" s="77" t="s">
        <v>394</v>
      </c>
      <c r="S828" s="77">
        <v>7414000005</v>
      </c>
      <c r="AB828"/>
      <c r="AC828"/>
    </row>
    <row r="829" spans="2:29" x14ac:dyDescent="0.25">
      <c r="B829">
        <v>0</v>
      </c>
      <c r="F829">
        <v>0</v>
      </c>
      <c r="P829" s="78">
        <v>8895</v>
      </c>
      <c r="Q829" s="79">
        <v>788969.80408499995</v>
      </c>
      <c r="R829" s="77" t="s">
        <v>394</v>
      </c>
      <c r="S829" s="77">
        <v>7414000005</v>
      </c>
      <c r="AB829"/>
      <c r="AC829"/>
    </row>
    <row r="830" spans="2:29" x14ac:dyDescent="0.25">
      <c r="B830">
        <v>0</v>
      </c>
      <c r="F830">
        <v>0</v>
      </c>
      <c r="P830" s="78">
        <v>7218</v>
      </c>
      <c r="Q830" s="79">
        <v>673541.83785600006</v>
      </c>
      <c r="R830" s="77" t="s">
        <v>394</v>
      </c>
      <c r="S830" s="77">
        <v>7414000005</v>
      </c>
      <c r="AB830"/>
      <c r="AC830"/>
    </row>
    <row r="831" spans="2:29" x14ac:dyDescent="0.25">
      <c r="B831">
        <v>0</v>
      </c>
      <c r="F831">
        <v>0</v>
      </c>
      <c r="P831" s="78">
        <v>6710</v>
      </c>
      <c r="Q831" s="79">
        <v>636538.56727999996</v>
      </c>
      <c r="R831" s="77" t="s">
        <v>394</v>
      </c>
      <c r="S831" s="77">
        <v>7414000005</v>
      </c>
      <c r="AB831"/>
      <c r="AC831"/>
    </row>
    <row r="832" spans="2:29" x14ac:dyDescent="0.25">
      <c r="B832">
        <v>0</v>
      </c>
      <c r="F832">
        <v>0</v>
      </c>
      <c r="P832" s="78">
        <v>2625</v>
      </c>
      <c r="Q832" s="79">
        <v>249034.162125</v>
      </c>
      <c r="R832" s="77" t="s">
        <v>394</v>
      </c>
      <c r="S832" s="77">
        <v>7414000005</v>
      </c>
      <c r="AB832"/>
      <c r="AC832"/>
    </row>
    <row r="833" spans="2:29" x14ac:dyDescent="0.25">
      <c r="B833">
        <v>0</v>
      </c>
      <c r="F833">
        <v>0</v>
      </c>
      <c r="P833" s="78">
        <v>10540</v>
      </c>
      <c r="Q833" s="79">
        <v>943218.96109999996</v>
      </c>
      <c r="R833" s="77" t="s">
        <v>394</v>
      </c>
      <c r="S833" s="77">
        <v>7414000005</v>
      </c>
      <c r="AB833"/>
      <c r="AC833"/>
    </row>
    <row r="834" spans="2:29" x14ac:dyDescent="0.25">
      <c r="B834">
        <v>0</v>
      </c>
      <c r="F834">
        <v>0</v>
      </c>
      <c r="P834" s="78">
        <v>7270</v>
      </c>
      <c r="Q834" s="79">
        <v>626653.12055999995</v>
      </c>
      <c r="R834" s="77" t="s">
        <v>394</v>
      </c>
      <c r="S834" s="77">
        <v>7414000005</v>
      </c>
      <c r="AB834"/>
      <c r="AC834"/>
    </row>
    <row r="835" spans="2:29" x14ac:dyDescent="0.25">
      <c r="B835">
        <v>0</v>
      </c>
      <c r="F835">
        <v>0</v>
      </c>
      <c r="P835" s="78">
        <v>41347</v>
      </c>
      <c r="Q835" s="79">
        <v>3575248.3798380001</v>
      </c>
      <c r="R835" s="77" t="s">
        <v>394</v>
      </c>
      <c r="S835" s="77">
        <v>7414000005</v>
      </c>
      <c r="AB835"/>
      <c r="AC835"/>
    </row>
    <row r="836" spans="2:29" x14ac:dyDescent="0.25">
      <c r="B836">
        <v>0</v>
      </c>
      <c r="F836">
        <v>0</v>
      </c>
      <c r="P836" s="78">
        <v>468</v>
      </c>
      <c r="Q836" s="79">
        <v>47479.052087999997</v>
      </c>
      <c r="R836" s="77" t="s">
        <v>394</v>
      </c>
      <c r="S836" s="77">
        <v>7414000005</v>
      </c>
      <c r="AB836"/>
      <c r="AC836"/>
    </row>
    <row r="837" spans="2:29" x14ac:dyDescent="0.25">
      <c r="B837">
        <v>0</v>
      </c>
      <c r="F837">
        <v>0</v>
      </c>
      <c r="P837" s="78">
        <v>568</v>
      </c>
      <c r="Q837" s="79">
        <v>50917.321695999999</v>
      </c>
      <c r="R837" s="77" t="s">
        <v>394</v>
      </c>
      <c r="S837" s="77">
        <v>7414000005</v>
      </c>
      <c r="AB837"/>
      <c r="AC837"/>
    </row>
    <row r="838" spans="2:29" x14ac:dyDescent="0.25">
      <c r="B838">
        <v>0</v>
      </c>
      <c r="F838">
        <v>0</v>
      </c>
      <c r="P838" s="78">
        <v>13071</v>
      </c>
      <c r="Q838" s="79">
        <v>1068408.63906</v>
      </c>
      <c r="R838" s="77" t="s">
        <v>394</v>
      </c>
      <c r="S838" s="77">
        <v>7414000005</v>
      </c>
      <c r="AB838"/>
      <c r="AC838"/>
    </row>
    <row r="839" spans="2:29" x14ac:dyDescent="0.25">
      <c r="B839">
        <v>0</v>
      </c>
      <c r="F839">
        <v>0</v>
      </c>
      <c r="P839" s="78">
        <v>1883</v>
      </c>
      <c r="Q839" s="79">
        <v>156667.03296300001</v>
      </c>
      <c r="R839" s="77" t="s">
        <v>394</v>
      </c>
      <c r="S839" s="77">
        <v>7414000005</v>
      </c>
      <c r="AB839"/>
      <c r="AC839"/>
    </row>
    <row r="840" spans="2:29" x14ac:dyDescent="0.25">
      <c r="B840">
        <v>0</v>
      </c>
      <c r="F840">
        <v>0</v>
      </c>
      <c r="P840" s="78">
        <v>19880</v>
      </c>
      <c r="Q840" s="79">
        <v>1633338.9511599999</v>
      </c>
      <c r="R840" s="77" t="s">
        <v>394</v>
      </c>
      <c r="S840" s="77">
        <v>7414000005</v>
      </c>
      <c r="AB840"/>
      <c r="AC840"/>
    </row>
    <row r="841" spans="2:29" x14ac:dyDescent="0.25">
      <c r="B841">
        <v>0</v>
      </c>
      <c r="F841">
        <v>0</v>
      </c>
      <c r="P841" s="78">
        <v>8710</v>
      </c>
      <c r="Q841" s="79">
        <v>853648.23413999996</v>
      </c>
      <c r="R841" s="77" t="s">
        <v>394</v>
      </c>
      <c r="S841" s="77">
        <v>7414000005</v>
      </c>
      <c r="AB841"/>
      <c r="AC841"/>
    </row>
    <row r="842" spans="2:29" x14ac:dyDescent="0.25">
      <c r="B842">
        <v>0</v>
      </c>
      <c r="F842">
        <v>0</v>
      </c>
      <c r="P842" s="78">
        <v>2175395</v>
      </c>
      <c r="Q842" s="79">
        <v>7389320.8249399997</v>
      </c>
      <c r="R842" s="77" t="s">
        <v>394</v>
      </c>
      <c r="S842" s="77">
        <v>7414000005</v>
      </c>
      <c r="AB842"/>
      <c r="AC842"/>
    </row>
    <row r="843" spans="2:29" x14ac:dyDescent="0.25">
      <c r="B843">
        <v>0</v>
      </c>
      <c r="F843">
        <v>0</v>
      </c>
      <c r="P843" s="78">
        <v>1618546</v>
      </c>
      <c r="Q843" s="79">
        <v>6285192.8577640001</v>
      </c>
      <c r="R843" s="77" t="s">
        <v>394</v>
      </c>
      <c r="S843" s="77">
        <v>7414000005</v>
      </c>
      <c r="AB843"/>
      <c r="AC843"/>
    </row>
    <row r="844" spans="2:29" x14ac:dyDescent="0.25">
      <c r="B844">
        <v>0</v>
      </c>
      <c r="F844">
        <v>0</v>
      </c>
      <c r="P844" s="78">
        <v>120</v>
      </c>
      <c r="Q844" s="79">
        <v>30726.013800000001</v>
      </c>
      <c r="R844" s="77" t="s">
        <v>394</v>
      </c>
      <c r="S844" s="77">
        <v>7414000005</v>
      </c>
      <c r="AB844"/>
      <c r="AC844"/>
    </row>
    <row r="845" spans="2:29" x14ac:dyDescent="0.25">
      <c r="B845">
        <v>0</v>
      </c>
      <c r="F845">
        <v>0</v>
      </c>
      <c r="P845" s="78">
        <v>0</v>
      </c>
      <c r="Q845" s="79">
        <v>0</v>
      </c>
      <c r="R845" s="77" t="s">
        <v>394</v>
      </c>
      <c r="S845" s="77">
        <v>7414000005</v>
      </c>
      <c r="AB845"/>
      <c r="AC845"/>
    </row>
    <row r="846" spans="2:29" x14ac:dyDescent="0.25">
      <c r="B846">
        <v>0</v>
      </c>
      <c r="F846">
        <v>0</v>
      </c>
      <c r="P846" s="78">
        <v>820</v>
      </c>
      <c r="Q846" s="79">
        <v>636067.26534000004</v>
      </c>
      <c r="R846" s="77" t="s">
        <v>394</v>
      </c>
      <c r="S846" s="77">
        <v>7414000005</v>
      </c>
      <c r="AB846"/>
      <c r="AC846"/>
    </row>
    <row r="847" spans="2:29" x14ac:dyDescent="0.25">
      <c r="B847">
        <v>0</v>
      </c>
      <c r="F847">
        <v>0</v>
      </c>
      <c r="P847" s="78">
        <v>1260</v>
      </c>
      <c r="Q847" s="79">
        <v>941444.82432000001</v>
      </c>
      <c r="R847" s="77" t="s">
        <v>394</v>
      </c>
      <c r="S847" s="77">
        <v>7414000005</v>
      </c>
      <c r="AB847"/>
      <c r="AC847"/>
    </row>
    <row r="848" spans="2:29" x14ac:dyDescent="0.25">
      <c r="B848">
        <v>0</v>
      </c>
      <c r="F848">
        <v>0</v>
      </c>
      <c r="P848" s="78">
        <v>1156</v>
      </c>
      <c r="Q848" s="79">
        <v>885408.00874800002</v>
      </c>
      <c r="R848" s="77" t="s">
        <v>394</v>
      </c>
      <c r="S848" s="77">
        <v>7414000005</v>
      </c>
      <c r="AB848"/>
      <c r="AC848"/>
    </row>
    <row r="849" spans="2:29" x14ac:dyDescent="0.25">
      <c r="B849">
        <v>0</v>
      </c>
      <c r="F849">
        <v>0</v>
      </c>
      <c r="P849" s="78">
        <v>5956</v>
      </c>
      <c r="Q849" s="79">
        <v>4079199.8250480001</v>
      </c>
      <c r="R849" s="77" t="s">
        <v>394</v>
      </c>
      <c r="S849" s="77">
        <v>7414000005</v>
      </c>
      <c r="AB849"/>
      <c r="AC849"/>
    </row>
    <row r="850" spans="2:29" x14ac:dyDescent="0.25">
      <c r="B850">
        <v>0</v>
      </c>
      <c r="F850">
        <v>0</v>
      </c>
      <c r="P850" s="78">
        <v>554</v>
      </c>
      <c r="Q850" s="79">
        <v>428201.53860999999</v>
      </c>
      <c r="R850" s="77" t="s">
        <v>394</v>
      </c>
      <c r="S850" s="77">
        <v>7414000005</v>
      </c>
      <c r="AB850"/>
      <c r="AC850"/>
    </row>
    <row r="851" spans="2:29" x14ac:dyDescent="0.25">
      <c r="B851">
        <v>0</v>
      </c>
      <c r="F851">
        <v>0</v>
      </c>
      <c r="P851" s="78">
        <v>575</v>
      </c>
      <c r="Q851" s="79">
        <v>414916.91800000001</v>
      </c>
      <c r="R851" s="77" t="s">
        <v>394</v>
      </c>
      <c r="S851" s="77">
        <v>7414000005</v>
      </c>
      <c r="AB851"/>
      <c r="AC851"/>
    </row>
    <row r="852" spans="2:29" x14ac:dyDescent="0.25">
      <c r="B852">
        <v>0</v>
      </c>
      <c r="F852">
        <v>0</v>
      </c>
      <c r="P852" s="78">
        <v>598</v>
      </c>
      <c r="Q852" s="79">
        <v>380305.94516200002</v>
      </c>
      <c r="R852" s="77" t="s">
        <v>394</v>
      </c>
      <c r="S852" s="77">
        <v>7414000005</v>
      </c>
      <c r="AB852"/>
      <c r="AC852"/>
    </row>
    <row r="853" spans="2:29" x14ac:dyDescent="0.25">
      <c r="B853">
        <v>0</v>
      </c>
      <c r="F853">
        <v>0</v>
      </c>
      <c r="P853" s="78">
        <v>909</v>
      </c>
      <c r="Q853" s="79">
        <v>644817.09456899995</v>
      </c>
      <c r="R853" s="77" t="s">
        <v>394</v>
      </c>
      <c r="S853" s="77">
        <v>7414000005</v>
      </c>
      <c r="AB853"/>
      <c r="AC853"/>
    </row>
    <row r="854" spans="2:29" x14ac:dyDescent="0.25">
      <c r="B854">
        <v>0</v>
      </c>
      <c r="F854">
        <v>0</v>
      </c>
      <c r="P854" s="78">
        <v>3577</v>
      </c>
      <c r="Q854" s="79">
        <v>2483908.815899</v>
      </c>
      <c r="R854" s="77" t="s">
        <v>394</v>
      </c>
      <c r="S854" s="77">
        <v>7414000005</v>
      </c>
      <c r="AB854"/>
      <c r="AC854"/>
    </row>
    <row r="855" spans="2:29" x14ac:dyDescent="0.25">
      <c r="B855">
        <v>0</v>
      </c>
      <c r="F855">
        <v>0</v>
      </c>
      <c r="P855" s="78">
        <v>0</v>
      </c>
      <c r="Q855" s="79">
        <v>0</v>
      </c>
      <c r="R855" s="77" t="s">
        <v>394</v>
      </c>
      <c r="S855" s="77">
        <v>7414000005</v>
      </c>
      <c r="AB855"/>
      <c r="AC855"/>
    </row>
    <row r="856" spans="2:29" x14ac:dyDescent="0.25">
      <c r="B856">
        <v>0</v>
      </c>
      <c r="F856">
        <v>0</v>
      </c>
      <c r="P856" s="78">
        <v>2930000</v>
      </c>
      <c r="Q856" s="79">
        <v>13433686.68</v>
      </c>
      <c r="R856" s="77" t="s">
        <v>394</v>
      </c>
      <c r="S856" s="77">
        <v>7414000005</v>
      </c>
      <c r="AB856"/>
      <c r="AC856"/>
    </row>
    <row r="857" spans="2:29" x14ac:dyDescent="0.25">
      <c r="B857">
        <v>0</v>
      </c>
      <c r="F857">
        <v>0</v>
      </c>
      <c r="P857" s="78">
        <v>158340</v>
      </c>
      <c r="Q857" s="79">
        <v>537844.87847999996</v>
      </c>
      <c r="R857" s="77" t="s">
        <v>394</v>
      </c>
      <c r="S857" s="77">
        <v>7414000005</v>
      </c>
      <c r="AB857"/>
      <c r="AC857"/>
    </row>
    <row r="858" spans="2:29" x14ac:dyDescent="0.25">
      <c r="B858">
        <v>0</v>
      </c>
      <c r="F858">
        <v>0</v>
      </c>
      <c r="P858" s="78">
        <v>0</v>
      </c>
      <c r="Q858" s="79">
        <v>0</v>
      </c>
      <c r="R858" s="77" t="s">
        <v>394</v>
      </c>
      <c r="S858" s="77">
        <v>7414000005</v>
      </c>
      <c r="AB858"/>
      <c r="AC858"/>
    </row>
    <row r="859" spans="2:29" x14ac:dyDescent="0.25">
      <c r="B859">
        <v>0</v>
      </c>
      <c r="F859">
        <v>0</v>
      </c>
      <c r="P859" s="78">
        <v>2977000</v>
      </c>
      <c r="Q859" s="79">
        <v>13649175.852</v>
      </c>
      <c r="R859" s="77" t="s">
        <v>394</v>
      </c>
      <c r="S859" s="77">
        <v>7414000005</v>
      </c>
      <c r="AB859"/>
      <c r="AC859"/>
    </row>
    <row r="860" spans="2:29" x14ac:dyDescent="0.25">
      <c r="B860">
        <v>0</v>
      </c>
      <c r="F860">
        <v>0</v>
      </c>
      <c r="P860" s="78">
        <v>170295</v>
      </c>
      <c r="Q860" s="79">
        <v>578453.28774000006</v>
      </c>
      <c r="R860" s="77" t="s">
        <v>394</v>
      </c>
      <c r="S860" s="77">
        <v>7414000005</v>
      </c>
      <c r="AB860"/>
      <c r="AC860"/>
    </row>
    <row r="861" spans="2:29" x14ac:dyDescent="0.25">
      <c r="B861">
        <v>0</v>
      </c>
      <c r="F861">
        <v>0</v>
      </c>
      <c r="P861" s="78">
        <v>0</v>
      </c>
      <c r="Q861" s="79">
        <v>0</v>
      </c>
      <c r="R861" s="77" t="s">
        <v>394</v>
      </c>
      <c r="S861" s="77">
        <v>7414000005</v>
      </c>
      <c r="AB861"/>
      <c r="AC861"/>
    </row>
    <row r="862" spans="2:29" x14ac:dyDescent="0.25">
      <c r="B862">
        <v>0</v>
      </c>
      <c r="F862">
        <v>0</v>
      </c>
      <c r="P862" s="78">
        <v>14681</v>
      </c>
      <c r="Q862" s="79">
        <v>139375.36542799999</v>
      </c>
      <c r="R862" s="77" t="s">
        <v>394</v>
      </c>
      <c r="S862" s="77">
        <v>7414000005</v>
      </c>
      <c r="AB862"/>
      <c r="AC862"/>
    </row>
    <row r="863" spans="2:29" x14ac:dyDescent="0.25">
      <c r="B863">
        <v>0</v>
      </c>
      <c r="F863">
        <v>0</v>
      </c>
      <c r="P863" s="78">
        <v>20030</v>
      </c>
      <c r="Q863" s="79">
        <v>187043.40489000001</v>
      </c>
      <c r="R863" s="77" t="s">
        <v>394</v>
      </c>
      <c r="S863" s="77">
        <v>7414000005</v>
      </c>
      <c r="AB863"/>
      <c r="AC863"/>
    </row>
    <row r="864" spans="2:29" x14ac:dyDescent="0.25">
      <c r="B864">
        <v>0</v>
      </c>
      <c r="F864">
        <v>0</v>
      </c>
      <c r="P864" s="78">
        <v>24750</v>
      </c>
      <c r="Q864" s="79">
        <v>227455.89074999999</v>
      </c>
      <c r="R864" s="77" t="s">
        <v>394</v>
      </c>
      <c r="S864" s="77">
        <v>7414000005</v>
      </c>
      <c r="AB864"/>
      <c r="AC864"/>
    </row>
    <row r="865" spans="2:29" x14ac:dyDescent="0.25">
      <c r="B865">
        <v>0</v>
      </c>
      <c r="F865">
        <v>0</v>
      </c>
      <c r="P865" s="78">
        <v>6270</v>
      </c>
      <c r="Q865" s="79">
        <v>52551.070769999998</v>
      </c>
      <c r="R865" s="77" t="s">
        <v>394</v>
      </c>
      <c r="S865" s="77">
        <v>7414000005</v>
      </c>
      <c r="AB865"/>
      <c r="AC865"/>
    </row>
    <row r="866" spans="2:29" x14ac:dyDescent="0.25">
      <c r="B866">
        <v>0</v>
      </c>
      <c r="F866">
        <v>0</v>
      </c>
      <c r="P866" s="78">
        <v>12680</v>
      </c>
      <c r="Q866" s="79">
        <v>104712.26420000001</v>
      </c>
      <c r="R866" s="77" t="s">
        <v>394</v>
      </c>
      <c r="S866" s="77">
        <v>7414000005</v>
      </c>
      <c r="AB866"/>
      <c r="AC866"/>
    </row>
    <row r="867" spans="2:29" x14ac:dyDescent="0.25">
      <c r="B867">
        <v>0</v>
      </c>
      <c r="F867">
        <v>0</v>
      </c>
      <c r="P867" s="78">
        <v>900</v>
      </c>
      <c r="Q867" s="79">
        <v>88857.314100000003</v>
      </c>
      <c r="R867" s="77" t="s">
        <v>394</v>
      </c>
      <c r="S867" s="77">
        <v>7414000005</v>
      </c>
      <c r="AB867"/>
      <c r="AC867"/>
    </row>
    <row r="868" spans="2:29" x14ac:dyDescent="0.25">
      <c r="B868">
        <v>0</v>
      </c>
      <c r="F868">
        <v>0</v>
      </c>
      <c r="P868" s="78">
        <v>800</v>
      </c>
      <c r="Q868" s="79">
        <v>79397.998399999997</v>
      </c>
      <c r="R868" s="77" t="s">
        <v>394</v>
      </c>
      <c r="S868" s="77">
        <v>7414000005</v>
      </c>
      <c r="AB868"/>
      <c r="AC868"/>
    </row>
    <row r="869" spans="2:29" x14ac:dyDescent="0.25">
      <c r="B869">
        <v>0</v>
      </c>
      <c r="F869">
        <v>0</v>
      </c>
      <c r="P869" s="78">
        <v>1251</v>
      </c>
      <c r="Q869" s="79">
        <v>118811.40689699999</v>
      </c>
      <c r="R869" s="77" t="s">
        <v>394</v>
      </c>
      <c r="S869" s="77">
        <v>7414000005</v>
      </c>
      <c r="AB869"/>
      <c r="AC869"/>
    </row>
    <row r="870" spans="2:29" x14ac:dyDescent="0.25">
      <c r="B870">
        <v>0</v>
      </c>
      <c r="F870">
        <v>0</v>
      </c>
      <c r="P870" s="78">
        <v>785</v>
      </c>
      <c r="Q870" s="79">
        <v>72150.779485000006</v>
      </c>
      <c r="R870" s="77" t="s">
        <v>394</v>
      </c>
      <c r="S870" s="77">
        <v>7414000005</v>
      </c>
      <c r="AB870"/>
      <c r="AC870"/>
    </row>
    <row r="871" spans="2:29" x14ac:dyDescent="0.25">
      <c r="B871">
        <v>0</v>
      </c>
      <c r="F871">
        <v>0</v>
      </c>
      <c r="P871" s="78">
        <v>1027</v>
      </c>
      <c r="Q871" s="79">
        <v>91092.972320999994</v>
      </c>
      <c r="R871" s="77" t="s">
        <v>394</v>
      </c>
      <c r="S871" s="77">
        <v>7414000005</v>
      </c>
      <c r="AB871"/>
      <c r="AC871"/>
    </row>
    <row r="872" spans="2:29" x14ac:dyDescent="0.25">
      <c r="B872">
        <v>0</v>
      </c>
      <c r="F872">
        <v>0</v>
      </c>
      <c r="P872" s="78">
        <v>1099</v>
      </c>
      <c r="Q872" s="79">
        <v>102552.29700799999</v>
      </c>
      <c r="R872" s="77" t="s">
        <v>394</v>
      </c>
      <c r="S872" s="77">
        <v>7414000005</v>
      </c>
      <c r="AB872"/>
      <c r="AC872"/>
    </row>
    <row r="873" spans="2:29" x14ac:dyDescent="0.25">
      <c r="B873">
        <v>0</v>
      </c>
      <c r="F873">
        <v>0</v>
      </c>
      <c r="P873" s="78">
        <v>730</v>
      </c>
      <c r="Q873" s="79">
        <v>69250.842640000003</v>
      </c>
      <c r="R873" s="77" t="s">
        <v>394</v>
      </c>
      <c r="S873" s="77">
        <v>7414000005</v>
      </c>
      <c r="AB873"/>
      <c r="AC873"/>
    </row>
    <row r="874" spans="2:29" x14ac:dyDescent="0.25">
      <c r="B874">
        <v>0</v>
      </c>
      <c r="F874">
        <v>0</v>
      </c>
      <c r="P874" s="78">
        <v>491</v>
      </c>
      <c r="Q874" s="79">
        <v>46581.247087000003</v>
      </c>
      <c r="R874" s="77" t="s">
        <v>394</v>
      </c>
      <c r="S874" s="77">
        <v>7414000005</v>
      </c>
      <c r="AB874"/>
      <c r="AC874"/>
    </row>
    <row r="875" spans="2:29" x14ac:dyDescent="0.25">
      <c r="B875">
        <v>0</v>
      </c>
      <c r="F875">
        <v>0</v>
      </c>
      <c r="P875" s="78">
        <v>1151</v>
      </c>
      <c r="Q875" s="79">
        <v>103002.374215</v>
      </c>
      <c r="R875" s="77" t="s">
        <v>394</v>
      </c>
      <c r="S875" s="77">
        <v>7414000005</v>
      </c>
      <c r="AB875"/>
      <c r="AC875"/>
    </row>
    <row r="876" spans="2:29" x14ac:dyDescent="0.25">
      <c r="B876">
        <v>0</v>
      </c>
      <c r="F876">
        <v>0</v>
      </c>
      <c r="P876" s="78">
        <v>740</v>
      </c>
      <c r="Q876" s="79">
        <v>63785.87472</v>
      </c>
      <c r="R876" s="77" t="s">
        <v>394</v>
      </c>
      <c r="S876" s="77">
        <v>7414000005</v>
      </c>
      <c r="AB876"/>
      <c r="AC876"/>
    </row>
    <row r="877" spans="2:29" x14ac:dyDescent="0.25">
      <c r="B877">
        <v>0</v>
      </c>
      <c r="F877">
        <v>0</v>
      </c>
      <c r="P877" s="78">
        <v>857</v>
      </c>
      <c r="Q877" s="79">
        <v>74104.236378000001</v>
      </c>
      <c r="R877" s="77" t="s">
        <v>394</v>
      </c>
      <c r="S877" s="77">
        <v>7414000005</v>
      </c>
      <c r="AB877"/>
      <c r="AC877"/>
    </row>
    <row r="878" spans="2:29" x14ac:dyDescent="0.25">
      <c r="B878">
        <v>0</v>
      </c>
      <c r="F878">
        <v>0</v>
      </c>
      <c r="P878" s="78">
        <v>51</v>
      </c>
      <c r="Q878" s="79">
        <v>5173.9992659999998</v>
      </c>
      <c r="R878" s="77" t="s">
        <v>394</v>
      </c>
      <c r="S878" s="77">
        <v>7414000005</v>
      </c>
      <c r="AB878"/>
      <c r="AC878"/>
    </row>
    <row r="879" spans="2:29" x14ac:dyDescent="0.25">
      <c r="B879">
        <v>0</v>
      </c>
      <c r="F879">
        <v>0</v>
      </c>
      <c r="P879" s="78">
        <v>61</v>
      </c>
      <c r="Q879" s="79">
        <v>5468.2334920000003</v>
      </c>
      <c r="R879" s="77" t="s">
        <v>394</v>
      </c>
      <c r="S879" s="77">
        <v>7414000005</v>
      </c>
      <c r="AB879"/>
      <c r="AC879"/>
    </row>
    <row r="880" spans="2:29" x14ac:dyDescent="0.25">
      <c r="B880">
        <v>0</v>
      </c>
      <c r="F880">
        <v>0</v>
      </c>
      <c r="P880" s="78">
        <v>1304</v>
      </c>
      <c r="Q880" s="79">
        <v>106587.47344</v>
      </c>
      <c r="R880" s="77" t="s">
        <v>394</v>
      </c>
      <c r="S880" s="77">
        <v>7414000005</v>
      </c>
      <c r="AB880"/>
      <c r="AC880"/>
    </row>
    <row r="881" spans="2:29" x14ac:dyDescent="0.25">
      <c r="B881">
        <v>0</v>
      </c>
      <c r="F881">
        <v>0</v>
      </c>
      <c r="P881" s="78">
        <v>344</v>
      </c>
      <c r="Q881" s="79">
        <v>28621.061784000001</v>
      </c>
      <c r="R881" s="77" t="s">
        <v>394</v>
      </c>
      <c r="S881" s="77">
        <v>7414000005</v>
      </c>
      <c r="AB881"/>
      <c r="AC881"/>
    </row>
    <row r="882" spans="2:29" x14ac:dyDescent="0.25">
      <c r="B882">
        <v>0</v>
      </c>
      <c r="F882">
        <v>0</v>
      </c>
      <c r="P882" s="78">
        <v>1952</v>
      </c>
      <c r="Q882" s="79">
        <v>160376.13846399999</v>
      </c>
      <c r="R882" s="77" t="s">
        <v>394</v>
      </c>
      <c r="S882" s="77">
        <v>7414000005</v>
      </c>
      <c r="AB882"/>
      <c r="AC882"/>
    </row>
    <row r="883" spans="2:29" x14ac:dyDescent="0.25">
      <c r="B883">
        <v>0</v>
      </c>
      <c r="F883">
        <v>0</v>
      </c>
      <c r="P883" s="78">
        <v>1440</v>
      </c>
      <c r="Q883" s="79">
        <v>141131.28096</v>
      </c>
      <c r="R883" s="77" t="s">
        <v>394</v>
      </c>
      <c r="S883" s="77">
        <v>7414000005</v>
      </c>
      <c r="AB883"/>
      <c r="AC883"/>
    </row>
    <row r="884" spans="2:29" x14ac:dyDescent="0.25">
      <c r="B884">
        <v>0</v>
      </c>
      <c r="F884">
        <v>0</v>
      </c>
      <c r="P884" s="78">
        <v>211039</v>
      </c>
      <c r="Q884" s="79">
        <v>716851.36610800005</v>
      </c>
      <c r="R884" s="77" t="s">
        <v>394</v>
      </c>
      <c r="S884" s="77">
        <v>7414000005</v>
      </c>
      <c r="AB884"/>
      <c r="AC884"/>
    </row>
    <row r="885" spans="2:29" x14ac:dyDescent="0.25">
      <c r="B885">
        <v>0</v>
      </c>
      <c r="F885">
        <v>0</v>
      </c>
      <c r="P885" s="78">
        <v>80994</v>
      </c>
      <c r="Q885" s="79">
        <v>314518.65459599998</v>
      </c>
      <c r="R885" s="77" t="s">
        <v>394</v>
      </c>
      <c r="S885" s="77">
        <v>7414000005</v>
      </c>
      <c r="AB885"/>
      <c r="AC885"/>
    </row>
    <row r="886" spans="2:29" x14ac:dyDescent="0.25">
      <c r="B886">
        <v>0</v>
      </c>
      <c r="F886">
        <v>0</v>
      </c>
      <c r="P886" s="78">
        <v>38</v>
      </c>
      <c r="Q886" s="79">
        <v>9729.9043700000002</v>
      </c>
      <c r="R886" s="77" t="s">
        <v>394</v>
      </c>
      <c r="S886" s="77">
        <v>7414000005</v>
      </c>
      <c r="AB886"/>
      <c r="AC886"/>
    </row>
    <row r="887" spans="2:29" x14ac:dyDescent="0.25">
      <c r="B887">
        <v>0</v>
      </c>
      <c r="F887">
        <v>0</v>
      </c>
      <c r="P887" s="78">
        <v>0</v>
      </c>
      <c r="Q887" s="79">
        <v>0</v>
      </c>
      <c r="R887" s="77" t="s">
        <v>394</v>
      </c>
      <c r="S887" s="77">
        <v>7414000005</v>
      </c>
      <c r="AB887"/>
      <c r="AC887"/>
    </row>
    <row r="888" spans="2:29" x14ac:dyDescent="0.25">
      <c r="B888">
        <v>0</v>
      </c>
      <c r="F888">
        <v>0</v>
      </c>
      <c r="P888" s="78">
        <v>97</v>
      </c>
      <c r="Q888" s="79">
        <v>75242.103338999994</v>
      </c>
      <c r="R888" s="77" t="s">
        <v>394</v>
      </c>
      <c r="S888" s="77">
        <v>7414000005</v>
      </c>
      <c r="AB888"/>
      <c r="AC888"/>
    </row>
    <row r="889" spans="2:29" x14ac:dyDescent="0.25">
      <c r="B889">
        <v>0</v>
      </c>
      <c r="F889">
        <v>0</v>
      </c>
      <c r="P889" s="78">
        <v>150</v>
      </c>
      <c r="Q889" s="79">
        <v>112076.7648</v>
      </c>
      <c r="R889" s="77" t="s">
        <v>394</v>
      </c>
      <c r="S889" s="77">
        <v>7414000005</v>
      </c>
      <c r="AB889"/>
      <c r="AC889"/>
    </row>
    <row r="890" spans="2:29" x14ac:dyDescent="0.25">
      <c r="B890">
        <v>0</v>
      </c>
      <c r="F890">
        <v>0</v>
      </c>
      <c r="P890" s="78">
        <v>168</v>
      </c>
      <c r="Q890" s="79">
        <v>128675.212344</v>
      </c>
      <c r="R890" s="77" t="s">
        <v>394</v>
      </c>
      <c r="S890" s="77">
        <v>7414000005</v>
      </c>
      <c r="AB890"/>
      <c r="AC890"/>
    </row>
    <row r="891" spans="2:29" x14ac:dyDescent="0.25">
      <c r="B891">
        <v>0</v>
      </c>
      <c r="F891">
        <v>0</v>
      </c>
      <c r="P891" s="78">
        <v>584</v>
      </c>
      <c r="Q891" s="79">
        <v>399975.26827200002</v>
      </c>
      <c r="R891" s="77" t="s">
        <v>394</v>
      </c>
      <c r="S891" s="77">
        <v>7414000005</v>
      </c>
      <c r="AB891"/>
      <c r="AC891"/>
    </row>
    <row r="892" spans="2:29" x14ac:dyDescent="0.25">
      <c r="B892">
        <v>0</v>
      </c>
      <c r="F892">
        <v>0</v>
      </c>
      <c r="P892" s="78">
        <v>67</v>
      </c>
      <c r="Q892" s="79">
        <v>51786.106655000003</v>
      </c>
      <c r="R892" s="77" t="s">
        <v>394</v>
      </c>
      <c r="S892" s="77">
        <v>7414000005</v>
      </c>
      <c r="AB892"/>
      <c r="AC892"/>
    </row>
    <row r="893" spans="2:29" x14ac:dyDescent="0.25">
      <c r="B893">
        <v>0</v>
      </c>
      <c r="F893">
        <v>0</v>
      </c>
      <c r="P893" s="78">
        <v>90</v>
      </c>
      <c r="Q893" s="79">
        <v>64943.517599999999</v>
      </c>
      <c r="R893" s="77" t="s">
        <v>394</v>
      </c>
      <c r="S893" s="77">
        <v>7414000005</v>
      </c>
      <c r="AB893"/>
      <c r="AC893"/>
    </row>
    <row r="894" spans="2:29" x14ac:dyDescent="0.25">
      <c r="B894">
        <v>0</v>
      </c>
      <c r="F894">
        <v>0</v>
      </c>
      <c r="P894" s="78">
        <v>57</v>
      </c>
      <c r="Q894" s="79">
        <v>36249.897783</v>
      </c>
      <c r="R894" s="77" t="s">
        <v>394</v>
      </c>
      <c r="S894" s="77">
        <v>7414000005</v>
      </c>
      <c r="AB894"/>
      <c r="AC894"/>
    </row>
    <row r="895" spans="2:29" x14ac:dyDescent="0.25">
      <c r="B895">
        <v>0</v>
      </c>
      <c r="F895">
        <v>0</v>
      </c>
      <c r="P895" s="78">
        <v>110</v>
      </c>
      <c r="Q895" s="79">
        <v>78030.67151</v>
      </c>
      <c r="R895" s="77" t="s">
        <v>394</v>
      </c>
      <c r="S895" s="77">
        <v>7414000005</v>
      </c>
      <c r="AB895"/>
      <c r="AC895"/>
    </row>
    <row r="896" spans="2:29" x14ac:dyDescent="0.25">
      <c r="B896">
        <v>0</v>
      </c>
      <c r="F896">
        <v>0</v>
      </c>
      <c r="P896" s="78">
        <v>366</v>
      </c>
      <c r="Q896" s="79">
        <v>254154.494442</v>
      </c>
      <c r="R896" s="77" t="s">
        <v>394</v>
      </c>
      <c r="S896" s="77">
        <v>7414000005</v>
      </c>
      <c r="AB896"/>
      <c r="AC896"/>
    </row>
    <row r="897" spans="2:29" x14ac:dyDescent="0.25">
      <c r="B897">
        <v>0</v>
      </c>
      <c r="F897">
        <v>0</v>
      </c>
      <c r="P897" s="78">
        <v>0</v>
      </c>
      <c r="Q897" s="79">
        <v>0</v>
      </c>
      <c r="R897" s="77" t="s">
        <v>394</v>
      </c>
      <c r="S897" s="77">
        <v>7414000005</v>
      </c>
      <c r="AB897"/>
      <c r="AC897"/>
    </row>
    <row r="898" spans="2:29" x14ac:dyDescent="0.25">
      <c r="B898">
        <v>0</v>
      </c>
      <c r="F898">
        <v>0</v>
      </c>
      <c r="P898" s="78">
        <v>191000</v>
      </c>
      <c r="Q898" s="79">
        <v>875711.31599999999</v>
      </c>
      <c r="R898" s="77" t="s">
        <v>394</v>
      </c>
      <c r="S898" s="77">
        <v>7414000005</v>
      </c>
      <c r="AB898"/>
      <c r="AC898"/>
    </row>
    <row r="899" spans="2:29" x14ac:dyDescent="0.25">
      <c r="B899">
        <v>0</v>
      </c>
      <c r="F899">
        <v>0</v>
      </c>
      <c r="P899" s="78">
        <v>6844</v>
      </c>
      <c r="Q899" s="79">
        <v>23247.507568000001</v>
      </c>
      <c r="R899" s="77" t="s">
        <v>394</v>
      </c>
      <c r="S899" s="77">
        <v>7414000005</v>
      </c>
      <c r="AB899"/>
      <c r="AC899"/>
    </row>
    <row r="900" spans="2:29" x14ac:dyDescent="0.25">
      <c r="B900">
        <v>0</v>
      </c>
      <c r="F900">
        <v>0</v>
      </c>
      <c r="P900" s="78">
        <v>0</v>
      </c>
      <c r="Q900" s="79">
        <v>0</v>
      </c>
      <c r="R900" s="77" t="s">
        <v>394</v>
      </c>
      <c r="S900" s="77">
        <v>7414000005</v>
      </c>
      <c r="AB900"/>
      <c r="AC900"/>
    </row>
    <row r="901" spans="2:29" x14ac:dyDescent="0.25">
      <c r="B901">
        <v>0</v>
      </c>
      <c r="F901">
        <v>0</v>
      </c>
      <c r="P901" s="78">
        <v>57088534</v>
      </c>
      <c r="Q901" s="79">
        <v>203705476.38309199</v>
      </c>
      <c r="R901" s="77" t="s">
        <v>394</v>
      </c>
      <c r="S901" s="77">
        <v>7414000005</v>
      </c>
      <c r="AB901"/>
      <c r="AC901"/>
    </row>
    <row r="902" spans="2:29" x14ac:dyDescent="0.25">
      <c r="B902">
        <v>0</v>
      </c>
      <c r="F902">
        <v>0</v>
      </c>
      <c r="P902" s="78">
        <v>56295</v>
      </c>
      <c r="Q902" s="79">
        <v>176612.783535</v>
      </c>
      <c r="R902" s="77" t="s">
        <v>394</v>
      </c>
      <c r="S902" s="77">
        <v>7414000005</v>
      </c>
      <c r="AB902"/>
      <c r="AC902"/>
    </row>
    <row r="903" spans="2:29" x14ac:dyDescent="0.25">
      <c r="B903">
        <v>0</v>
      </c>
      <c r="F903">
        <v>0</v>
      </c>
      <c r="P903" s="78">
        <v>3734855</v>
      </c>
      <c r="Q903" s="79">
        <v>13498322.463395</v>
      </c>
      <c r="R903" s="77" t="s">
        <v>394</v>
      </c>
      <c r="S903" s="77">
        <v>7414000005</v>
      </c>
      <c r="AB903"/>
      <c r="AC903"/>
    </row>
    <row r="904" spans="2:29" x14ac:dyDescent="0.25">
      <c r="B904">
        <v>0</v>
      </c>
      <c r="F904">
        <v>0</v>
      </c>
      <c r="P904" s="78">
        <v>0</v>
      </c>
      <c r="Q904" s="79">
        <v>0</v>
      </c>
      <c r="R904" s="77" t="s">
        <v>394</v>
      </c>
      <c r="S904" s="77">
        <v>7414000005</v>
      </c>
      <c r="AB904"/>
      <c r="AC904"/>
    </row>
    <row r="905" spans="2:29" x14ac:dyDescent="0.25">
      <c r="B905">
        <v>0</v>
      </c>
      <c r="F905">
        <v>0</v>
      </c>
      <c r="P905" s="78">
        <v>0</v>
      </c>
      <c r="Q905" s="79">
        <v>0</v>
      </c>
      <c r="R905" s="77" t="s">
        <v>394</v>
      </c>
      <c r="S905" s="77">
        <v>7414000005</v>
      </c>
      <c r="AB905"/>
      <c r="AC905"/>
    </row>
    <row r="906" spans="2:29" x14ac:dyDescent="0.25">
      <c r="B906">
        <v>0</v>
      </c>
      <c r="F906">
        <v>0</v>
      </c>
      <c r="P906" s="78">
        <v>1743597</v>
      </c>
      <c r="Q906" s="79">
        <v>5922601.4688839996</v>
      </c>
      <c r="R906" s="77" t="s">
        <v>394</v>
      </c>
      <c r="S906" s="77">
        <v>7414000005</v>
      </c>
      <c r="AB906"/>
      <c r="AC906"/>
    </row>
    <row r="907" spans="2:29" x14ac:dyDescent="0.25">
      <c r="B907">
        <v>0</v>
      </c>
      <c r="F907">
        <v>0</v>
      </c>
      <c r="P907" s="78">
        <v>85100000</v>
      </c>
      <c r="Q907" s="79">
        <v>179300423.80000001</v>
      </c>
      <c r="R907" s="77" t="s">
        <v>394</v>
      </c>
      <c r="S907" s="77">
        <v>7414000005</v>
      </c>
      <c r="AB907"/>
      <c r="AC907"/>
    </row>
    <row r="908" spans="2:29" x14ac:dyDescent="0.25">
      <c r="B908">
        <v>0</v>
      </c>
      <c r="F908">
        <v>0</v>
      </c>
      <c r="P908" s="78">
        <v>6007055</v>
      </c>
      <c r="Q908" s="79">
        <v>20404596.226459999</v>
      </c>
      <c r="R908" s="77" t="s">
        <v>394</v>
      </c>
      <c r="S908" s="77">
        <v>7414000005</v>
      </c>
      <c r="AB908"/>
      <c r="AC908"/>
    </row>
    <row r="909" spans="2:29" x14ac:dyDescent="0.25">
      <c r="B909">
        <v>0</v>
      </c>
      <c r="F909">
        <v>0</v>
      </c>
      <c r="P909" s="78">
        <v>1003693</v>
      </c>
      <c r="Q909" s="79">
        <v>3897574.7831620001</v>
      </c>
      <c r="R909" s="77" t="s">
        <v>394</v>
      </c>
      <c r="S909" s="77">
        <v>7414000005</v>
      </c>
      <c r="AB909"/>
      <c r="AC909"/>
    </row>
    <row r="910" spans="2:29" x14ac:dyDescent="0.25">
      <c r="B910">
        <v>0</v>
      </c>
      <c r="F910">
        <v>0</v>
      </c>
      <c r="P910" s="78">
        <v>3046859</v>
      </c>
      <c r="Q910" s="79">
        <v>8430299.3236379996</v>
      </c>
      <c r="R910" s="77" t="s">
        <v>394</v>
      </c>
      <c r="S910" s="77">
        <v>7414000005</v>
      </c>
      <c r="AB910"/>
      <c r="AC910"/>
    </row>
    <row r="911" spans="2:29" x14ac:dyDescent="0.25">
      <c r="B911">
        <v>0</v>
      </c>
      <c r="F911">
        <v>0</v>
      </c>
      <c r="P911" s="78">
        <v>8733529</v>
      </c>
      <c r="Q911" s="79">
        <v>30554888.754117001</v>
      </c>
      <c r="R911" s="77" t="s">
        <v>394</v>
      </c>
      <c r="S911" s="77">
        <v>7414000005</v>
      </c>
      <c r="AB911"/>
      <c r="AC911"/>
    </row>
    <row r="912" spans="2:29" x14ac:dyDescent="0.25">
      <c r="B912">
        <v>0</v>
      </c>
      <c r="F912">
        <v>0</v>
      </c>
      <c r="P912" s="78">
        <v>31744931</v>
      </c>
      <c r="Q912" s="79">
        <v>114693832.549311</v>
      </c>
      <c r="R912" s="77" t="s">
        <v>394</v>
      </c>
      <c r="S912" s="77">
        <v>7414000005</v>
      </c>
      <c r="AB912"/>
      <c r="AC912"/>
    </row>
    <row r="913" spans="2:29" x14ac:dyDescent="0.25">
      <c r="B913">
        <v>0</v>
      </c>
      <c r="F913">
        <v>0</v>
      </c>
      <c r="P913" s="78">
        <v>8590349</v>
      </c>
      <c r="Q913" s="79">
        <v>29211516.135896001</v>
      </c>
      <c r="R913" s="77" t="s">
        <v>394</v>
      </c>
      <c r="S913" s="77">
        <v>7414000005</v>
      </c>
      <c r="AB913"/>
      <c r="AC913"/>
    </row>
    <row r="914" spans="2:29" x14ac:dyDescent="0.25">
      <c r="B914">
        <v>0</v>
      </c>
      <c r="F914">
        <v>0</v>
      </c>
      <c r="P914" s="78">
        <v>41156258</v>
      </c>
      <c r="Q914" s="79">
        <v>142354598.82729799</v>
      </c>
      <c r="R914" s="77" t="s">
        <v>394</v>
      </c>
      <c r="S914" s="77">
        <v>7414000005</v>
      </c>
      <c r="AB914"/>
      <c r="AC914"/>
    </row>
    <row r="915" spans="2:29" x14ac:dyDescent="0.25">
      <c r="B915">
        <v>0</v>
      </c>
      <c r="F915">
        <v>0</v>
      </c>
      <c r="P915" s="78">
        <v>7566899</v>
      </c>
      <c r="Q915" s="79">
        <v>25703030.650028002</v>
      </c>
      <c r="R915" s="77" t="s">
        <v>394</v>
      </c>
      <c r="S915" s="77">
        <v>7414000005</v>
      </c>
      <c r="AB915"/>
      <c r="AC915"/>
    </row>
    <row r="916" spans="2:29" x14ac:dyDescent="0.25">
      <c r="B916">
        <v>0</v>
      </c>
      <c r="F916">
        <v>0</v>
      </c>
      <c r="P916" s="78">
        <v>482045523</v>
      </c>
      <c r="Q916" s="79">
        <v>1667338100.6397631</v>
      </c>
      <c r="R916" s="77" t="s">
        <v>394</v>
      </c>
      <c r="S916" s="77">
        <v>7414000005</v>
      </c>
      <c r="AB916"/>
      <c r="AC916"/>
    </row>
    <row r="917" spans="2:29" x14ac:dyDescent="0.25">
      <c r="B917">
        <v>0</v>
      </c>
      <c r="F917">
        <v>0</v>
      </c>
      <c r="P917" s="78">
        <v>79330</v>
      </c>
      <c r="Q917" s="79">
        <v>7903647.6620100001</v>
      </c>
      <c r="R917" s="77" t="s">
        <v>394</v>
      </c>
      <c r="S917" s="77">
        <v>7414000005</v>
      </c>
      <c r="AB917"/>
      <c r="AC917"/>
    </row>
    <row r="918" spans="2:29" x14ac:dyDescent="0.25">
      <c r="B918">
        <v>0</v>
      </c>
      <c r="F918">
        <v>0</v>
      </c>
      <c r="P918" s="78">
        <v>101210</v>
      </c>
      <c r="Q918" s="79">
        <v>9992498.6222900003</v>
      </c>
      <c r="R918" s="77" t="s">
        <v>394</v>
      </c>
      <c r="S918" s="77">
        <v>7414000005</v>
      </c>
      <c r="AB918"/>
      <c r="AC918"/>
    </row>
    <row r="919" spans="2:29" x14ac:dyDescent="0.25">
      <c r="B919">
        <v>0</v>
      </c>
      <c r="F919">
        <v>0</v>
      </c>
      <c r="P919" s="78">
        <v>87888</v>
      </c>
      <c r="Q919" s="79">
        <v>8722664.1042240001</v>
      </c>
      <c r="R919" s="77" t="s">
        <v>394</v>
      </c>
      <c r="S919" s="77">
        <v>7414000005</v>
      </c>
      <c r="AB919"/>
      <c r="AC919"/>
    </row>
    <row r="920" spans="2:29" x14ac:dyDescent="0.25">
      <c r="B920">
        <v>0</v>
      </c>
      <c r="F920">
        <v>0</v>
      </c>
      <c r="P920" s="78">
        <v>39705</v>
      </c>
      <c r="Q920" s="79">
        <v>3649358.8528049998</v>
      </c>
      <c r="R920" s="77" t="s">
        <v>394</v>
      </c>
      <c r="S920" s="77">
        <v>7414000005</v>
      </c>
      <c r="AB920"/>
      <c r="AC920"/>
    </row>
    <row r="921" spans="2:29" x14ac:dyDescent="0.25">
      <c r="B921">
        <v>0</v>
      </c>
      <c r="F921">
        <v>0</v>
      </c>
      <c r="P921" s="78">
        <v>82833</v>
      </c>
      <c r="Q921" s="79">
        <v>7729494.4659360005</v>
      </c>
      <c r="R921" s="77" t="s">
        <v>394</v>
      </c>
      <c r="S921" s="77">
        <v>7414000005</v>
      </c>
      <c r="AB921"/>
      <c r="AC921"/>
    </row>
    <row r="922" spans="2:29" x14ac:dyDescent="0.25">
      <c r="B922">
        <v>0</v>
      </c>
      <c r="F922">
        <v>0</v>
      </c>
      <c r="P922" s="78">
        <v>251593</v>
      </c>
      <c r="Q922" s="79">
        <v>23868667.410101</v>
      </c>
      <c r="R922" s="77" t="s">
        <v>394</v>
      </c>
      <c r="S922" s="77">
        <v>7414000005</v>
      </c>
      <c r="AB922"/>
      <c r="AC922"/>
    </row>
    <row r="923" spans="2:29" x14ac:dyDescent="0.25">
      <c r="B923">
        <v>0</v>
      </c>
      <c r="F923">
        <v>0</v>
      </c>
      <c r="P923" s="78">
        <v>1396890</v>
      </c>
      <c r="Q923" s="79">
        <v>125006938.76385</v>
      </c>
      <c r="R923" s="77" t="s">
        <v>394</v>
      </c>
      <c r="S923" s="77">
        <v>7414000005</v>
      </c>
      <c r="AB923"/>
      <c r="AC923"/>
    </row>
    <row r="924" spans="2:29" x14ac:dyDescent="0.25">
      <c r="B924">
        <v>0</v>
      </c>
      <c r="F924">
        <v>0</v>
      </c>
      <c r="P924" s="78">
        <v>1215270</v>
      </c>
      <c r="Q924" s="79">
        <v>104752783.74456</v>
      </c>
      <c r="R924" s="77" t="s">
        <v>394</v>
      </c>
      <c r="S924" s="77">
        <v>7414000005</v>
      </c>
      <c r="AB924"/>
      <c r="AC924"/>
    </row>
    <row r="925" spans="2:29" x14ac:dyDescent="0.25">
      <c r="B925">
        <v>0</v>
      </c>
      <c r="F925">
        <v>0</v>
      </c>
      <c r="P925" s="78">
        <v>201516</v>
      </c>
      <c r="Q925" s="79">
        <v>17424958.340663999</v>
      </c>
      <c r="R925" s="77" t="s">
        <v>394</v>
      </c>
      <c r="S925" s="77">
        <v>7414000005</v>
      </c>
      <c r="AB925"/>
      <c r="AC925"/>
    </row>
    <row r="926" spans="2:29" x14ac:dyDescent="0.25">
      <c r="B926">
        <v>0</v>
      </c>
      <c r="F926">
        <v>0</v>
      </c>
      <c r="P926" s="78">
        <v>37130</v>
      </c>
      <c r="Q926" s="79">
        <v>3766874.3675799998</v>
      </c>
      <c r="R926" s="77" t="s">
        <v>394</v>
      </c>
      <c r="S926" s="77">
        <v>7414000005</v>
      </c>
      <c r="AB926"/>
      <c r="AC926"/>
    </row>
    <row r="927" spans="2:29" x14ac:dyDescent="0.25">
      <c r="B927">
        <v>0</v>
      </c>
      <c r="F927">
        <v>0</v>
      </c>
      <c r="P927" s="78">
        <v>109154</v>
      </c>
      <c r="Q927" s="79">
        <v>9784910.7964880001</v>
      </c>
      <c r="R927" s="77" t="s">
        <v>394</v>
      </c>
      <c r="S927" s="77">
        <v>7414000005</v>
      </c>
      <c r="AB927"/>
      <c r="AC927"/>
    </row>
    <row r="928" spans="2:29" x14ac:dyDescent="0.25">
      <c r="B928">
        <v>0</v>
      </c>
      <c r="F928">
        <v>0</v>
      </c>
      <c r="P928" s="78">
        <v>14461203</v>
      </c>
      <c r="Q928" s="79">
        <v>66302822.565828003</v>
      </c>
      <c r="R928" s="77" t="s">
        <v>394</v>
      </c>
      <c r="S928" s="77">
        <v>7414000005</v>
      </c>
      <c r="AB928"/>
      <c r="AC928"/>
    </row>
    <row r="929" spans="2:29" x14ac:dyDescent="0.25">
      <c r="B929">
        <v>0</v>
      </c>
      <c r="F929">
        <v>0</v>
      </c>
      <c r="P929" s="78">
        <v>3464902</v>
      </c>
      <c r="Q929" s="79">
        <v>11769482.096344</v>
      </c>
      <c r="R929" s="77" t="s">
        <v>394</v>
      </c>
      <c r="S929" s="77">
        <v>7414000005</v>
      </c>
      <c r="AB929"/>
      <c r="AC929"/>
    </row>
    <row r="930" spans="2:29" x14ac:dyDescent="0.25">
      <c r="B930">
        <v>0</v>
      </c>
      <c r="F930">
        <v>0</v>
      </c>
      <c r="P930" s="78">
        <v>27598227</v>
      </c>
      <c r="Q930" s="79">
        <v>107170373.426118</v>
      </c>
      <c r="R930" s="77" t="s">
        <v>394</v>
      </c>
      <c r="S930" s="77">
        <v>7414000005</v>
      </c>
      <c r="AB930"/>
      <c r="AC930"/>
    </row>
    <row r="931" spans="2:29" x14ac:dyDescent="0.25">
      <c r="B931">
        <v>0</v>
      </c>
      <c r="F931">
        <v>0</v>
      </c>
      <c r="P931" s="78">
        <v>27623</v>
      </c>
      <c r="Q931" s="79">
        <v>21426934.232301001</v>
      </c>
      <c r="R931" s="77" t="s">
        <v>394</v>
      </c>
      <c r="S931" s="77">
        <v>7414000005</v>
      </c>
      <c r="AB931"/>
      <c r="AC931"/>
    </row>
    <row r="932" spans="2:29" x14ac:dyDescent="0.25">
      <c r="B932">
        <v>0</v>
      </c>
      <c r="F932">
        <v>0</v>
      </c>
      <c r="P932" s="78">
        <v>27534</v>
      </c>
      <c r="Q932" s="79">
        <v>20572810.946688</v>
      </c>
      <c r="R932" s="77" t="s">
        <v>394</v>
      </c>
      <c r="S932" s="77">
        <v>7414000005</v>
      </c>
      <c r="AB932"/>
      <c r="AC932"/>
    </row>
    <row r="933" spans="2:29" x14ac:dyDescent="0.25">
      <c r="B933">
        <v>0</v>
      </c>
      <c r="F933">
        <v>0</v>
      </c>
      <c r="P933" s="78">
        <v>24410</v>
      </c>
      <c r="Q933" s="79">
        <v>18696201.984030001</v>
      </c>
      <c r="R933" s="77" t="s">
        <v>394</v>
      </c>
      <c r="S933" s="77">
        <v>7414000005</v>
      </c>
      <c r="AB933"/>
      <c r="AC933"/>
    </row>
    <row r="934" spans="2:29" x14ac:dyDescent="0.25">
      <c r="B934">
        <v>0</v>
      </c>
      <c r="F934">
        <v>0</v>
      </c>
      <c r="P934" s="78">
        <v>80570</v>
      </c>
      <c r="Q934" s="79">
        <v>55181519.46006</v>
      </c>
      <c r="R934" s="77" t="s">
        <v>394</v>
      </c>
      <c r="S934" s="77">
        <v>7414000005</v>
      </c>
      <c r="AB934"/>
      <c r="AC934"/>
    </row>
    <row r="935" spans="2:29" x14ac:dyDescent="0.25">
      <c r="B935">
        <v>0</v>
      </c>
      <c r="F935">
        <v>0</v>
      </c>
      <c r="P935" s="78">
        <v>15354</v>
      </c>
      <c r="Q935" s="79">
        <v>11867520.620610001</v>
      </c>
      <c r="R935" s="77" t="s">
        <v>394</v>
      </c>
      <c r="S935" s="77">
        <v>7414000005</v>
      </c>
      <c r="AB935"/>
      <c r="AC935"/>
    </row>
    <row r="936" spans="2:29" x14ac:dyDescent="0.25">
      <c r="B936">
        <v>0</v>
      </c>
      <c r="F936">
        <v>0</v>
      </c>
      <c r="P936" s="78">
        <v>34797</v>
      </c>
      <c r="Q936" s="79">
        <v>25109328.688080002</v>
      </c>
      <c r="R936" s="77" t="s">
        <v>394</v>
      </c>
      <c r="S936" s="77">
        <v>7414000005</v>
      </c>
      <c r="AB936"/>
      <c r="AC936"/>
    </row>
    <row r="937" spans="2:29" x14ac:dyDescent="0.25">
      <c r="B937">
        <v>0</v>
      </c>
      <c r="F937">
        <v>0</v>
      </c>
      <c r="P937" s="78">
        <v>9908</v>
      </c>
      <c r="Q937" s="79">
        <v>7028435.3938279999</v>
      </c>
      <c r="R937" s="77" t="s">
        <v>394</v>
      </c>
      <c r="S937" s="77">
        <v>7414000005</v>
      </c>
      <c r="AB937"/>
      <c r="AC937"/>
    </row>
    <row r="938" spans="2:29" x14ac:dyDescent="0.25">
      <c r="B938">
        <v>0</v>
      </c>
      <c r="F938">
        <v>0</v>
      </c>
      <c r="P938" s="78">
        <v>26173</v>
      </c>
      <c r="Q938" s="79">
        <v>18174823.997350998</v>
      </c>
      <c r="R938" s="77" t="s">
        <v>394</v>
      </c>
      <c r="S938" s="77">
        <v>7414000005</v>
      </c>
      <c r="AB938"/>
      <c r="AC938"/>
    </row>
    <row r="939" spans="2:29" x14ac:dyDescent="0.25">
      <c r="B939">
        <v>0</v>
      </c>
      <c r="F939">
        <v>0</v>
      </c>
      <c r="P939" s="78">
        <v>2655745</v>
      </c>
      <c r="Q939" s="79">
        <v>9020960.2551399991</v>
      </c>
      <c r="R939" s="77" t="s">
        <v>394</v>
      </c>
      <c r="S939" s="77">
        <v>7414000005</v>
      </c>
      <c r="AB939"/>
      <c r="AC939"/>
    </row>
    <row r="940" spans="2:29" x14ac:dyDescent="0.25">
      <c r="B940">
        <v>0</v>
      </c>
      <c r="F940">
        <v>0</v>
      </c>
      <c r="P940" s="78">
        <v>1056796</v>
      </c>
      <c r="Q940" s="79">
        <v>4103786.158264</v>
      </c>
      <c r="R940" s="77" t="s">
        <v>394</v>
      </c>
      <c r="S940" s="77">
        <v>7414000005</v>
      </c>
      <c r="AB940"/>
      <c r="AC940"/>
    </row>
    <row r="941" spans="2:29" x14ac:dyDescent="0.25">
      <c r="B941">
        <v>0</v>
      </c>
      <c r="F941">
        <v>0</v>
      </c>
      <c r="P941" s="78">
        <v>3111042</v>
      </c>
      <c r="Q941" s="79">
        <v>8607886.1110440008</v>
      </c>
      <c r="R941" s="77" t="s">
        <v>394</v>
      </c>
      <c r="S941" s="77">
        <v>7414000005</v>
      </c>
      <c r="AB941"/>
      <c r="AC941"/>
    </row>
    <row r="942" spans="2:29" x14ac:dyDescent="0.25">
      <c r="B942">
        <v>0</v>
      </c>
      <c r="F942">
        <v>0</v>
      </c>
      <c r="P942" s="78">
        <v>29051667</v>
      </c>
      <c r="Q942" s="79">
        <v>104963120.889327</v>
      </c>
      <c r="R942" s="77" t="s">
        <v>394</v>
      </c>
      <c r="S942" s="77">
        <v>7414000005</v>
      </c>
      <c r="AB942"/>
      <c r="AC942"/>
    </row>
    <row r="943" spans="2:29" x14ac:dyDescent="0.25">
      <c r="B943">
        <v>0</v>
      </c>
      <c r="F943">
        <v>0</v>
      </c>
      <c r="P943" s="78">
        <v>0</v>
      </c>
      <c r="Q943" s="79">
        <v>10978925.859999999</v>
      </c>
      <c r="R943" s="77" t="s">
        <v>394</v>
      </c>
      <c r="S943" s="77">
        <v>7414000005</v>
      </c>
      <c r="AB943"/>
      <c r="AC943"/>
    </row>
    <row r="944" spans="2:29" x14ac:dyDescent="0.25">
      <c r="B944">
        <v>0</v>
      </c>
      <c r="F944">
        <v>0</v>
      </c>
      <c r="P944" s="78">
        <v>51099</v>
      </c>
      <c r="Q944" s="79">
        <v>5008102.3095659995</v>
      </c>
      <c r="R944" s="77" t="s">
        <v>394</v>
      </c>
      <c r="S944" s="77">
        <v>7414000005</v>
      </c>
      <c r="AB944"/>
      <c r="AC944"/>
    </row>
    <row r="945" spans="2:29" x14ac:dyDescent="0.25">
      <c r="B945">
        <v>0</v>
      </c>
      <c r="F945">
        <v>0</v>
      </c>
      <c r="P945" s="78">
        <v>0</v>
      </c>
      <c r="Q945" s="79">
        <v>0</v>
      </c>
      <c r="R945" s="77" t="s">
        <v>394</v>
      </c>
      <c r="S945" s="77">
        <v>7414000005</v>
      </c>
      <c r="AB945"/>
      <c r="AC945"/>
    </row>
    <row r="946" spans="2:29" x14ac:dyDescent="0.25">
      <c r="B946">
        <v>0</v>
      </c>
      <c r="F946">
        <v>0</v>
      </c>
      <c r="P946" s="78">
        <v>0</v>
      </c>
      <c r="Q946" s="79">
        <v>0</v>
      </c>
      <c r="R946" s="77" t="s">
        <v>394</v>
      </c>
      <c r="S946" s="77">
        <v>7414000005</v>
      </c>
      <c r="AB946"/>
      <c r="AC946"/>
    </row>
    <row r="947" spans="2:29" x14ac:dyDescent="0.25">
      <c r="B947">
        <v>0</v>
      </c>
      <c r="F947">
        <v>0</v>
      </c>
      <c r="P947" s="78">
        <v>52715089</v>
      </c>
      <c r="Q947" s="79">
        <v>179061138.29270801</v>
      </c>
      <c r="R947" s="77" t="s">
        <v>394</v>
      </c>
      <c r="S947" s="77">
        <v>7414000005</v>
      </c>
      <c r="AB947"/>
      <c r="AC947"/>
    </row>
    <row r="948" spans="2:29" x14ac:dyDescent="0.25">
      <c r="B948">
        <v>0</v>
      </c>
      <c r="F948">
        <v>0</v>
      </c>
      <c r="P948" s="78">
        <v>58014462</v>
      </c>
      <c r="Q948" s="79">
        <v>209605148.93122199</v>
      </c>
      <c r="R948" s="77" t="s">
        <v>394</v>
      </c>
      <c r="S948" s="77">
        <v>7414000005</v>
      </c>
      <c r="AB948"/>
      <c r="AC948"/>
    </row>
    <row r="949" spans="2:29" x14ac:dyDescent="0.25">
      <c r="B949">
        <v>0</v>
      </c>
      <c r="F949">
        <v>0</v>
      </c>
      <c r="P949" s="78">
        <v>1503</v>
      </c>
      <c r="Q949" s="79">
        <v>4715.3213189999997</v>
      </c>
      <c r="R949" s="77" t="s">
        <v>394</v>
      </c>
      <c r="S949" s="77">
        <v>7414000005</v>
      </c>
      <c r="AB949"/>
      <c r="AC949"/>
    </row>
    <row r="950" spans="2:29" x14ac:dyDescent="0.25">
      <c r="B950">
        <v>0</v>
      </c>
      <c r="F950">
        <v>0</v>
      </c>
      <c r="P950" s="78">
        <v>167258</v>
      </c>
      <c r="Q950" s="79">
        <v>568137.29117600003</v>
      </c>
      <c r="R950" s="77" t="s">
        <v>394</v>
      </c>
      <c r="S950" s="77">
        <v>7414000005</v>
      </c>
      <c r="AB950"/>
      <c r="AC950"/>
    </row>
    <row r="951" spans="2:29" x14ac:dyDescent="0.25">
      <c r="B951">
        <v>0</v>
      </c>
      <c r="F951">
        <v>0</v>
      </c>
      <c r="P951" s="78">
        <v>1098</v>
      </c>
      <c r="Q951" s="79">
        <v>2881.5637499999998</v>
      </c>
      <c r="R951" s="77" t="s">
        <v>394</v>
      </c>
      <c r="S951" s="77">
        <v>7414000005</v>
      </c>
      <c r="AB951"/>
      <c r="AC951"/>
    </row>
    <row r="952" spans="2:29" x14ac:dyDescent="0.25">
      <c r="B952">
        <v>0</v>
      </c>
      <c r="F952">
        <v>0</v>
      </c>
      <c r="P952" s="78">
        <v>4312941</v>
      </c>
      <c r="Q952" s="79">
        <v>14666173.122264</v>
      </c>
      <c r="R952" s="77" t="s">
        <v>394</v>
      </c>
      <c r="S952" s="77">
        <v>7414000005</v>
      </c>
      <c r="AB952"/>
      <c r="AC952"/>
    </row>
    <row r="953" spans="2:29" x14ac:dyDescent="0.25">
      <c r="B953">
        <v>0</v>
      </c>
      <c r="F953">
        <v>0</v>
      </c>
      <c r="P953" s="78">
        <v>25603</v>
      </c>
      <c r="Q953" s="79">
        <v>92503.152543000004</v>
      </c>
      <c r="R953" s="77" t="s">
        <v>394</v>
      </c>
      <c r="S953" s="77">
        <v>7414000005</v>
      </c>
      <c r="AB953"/>
      <c r="AC953"/>
    </row>
    <row r="954" spans="2:29" x14ac:dyDescent="0.25">
      <c r="B954">
        <v>0</v>
      </c>
      <c r="F954">
        <v>0</v>
      </c>
      <c r="P954" s="78">
        <v>0</v>
      </c>
      <c r="Q954" s="79">
        <v>0</v>
      </c>
      <c r="R954" s="77" t="s">
        <v>394</v>
      </c>
      <c r="S954" s="77">
        <v>7414000005</v>
      </c>
      <c r="AB954"/>
      <c r="AC954"/>
    </row>
    <row r="955" spans="2:29" x14ac:dyDescent="0.25">
      <c r="B955">
        <v>0</v>
      </c>
      <c r="F955">
        <v>0</v>
      </c>
      <c r="P955" s="78">
        <v>75762</v>
      </c>
      <c r="Q955" s="79">
        <v>257628.98404800001</v>
      </c>
      <c r="R955" s="77" t="s">
        <v>394</v>
      </c>
      <c r="S955" s="77">
        <v>7414000005</v>
      </c>
      <c r="AB955"/>
      <c r="AC955"/>
    </row>
    <row r="956" spans="2:29" x14ac:dyDescent="0.25">
      <c r="B956">
        <v>0</v>
      </c>
      <c r="F956">
        <v>0</v>
      </c>
      <c r="P956" s="78">
        <v>905405</v>
      </c>
      <c r="Q956" s="79">
        <v>3075454.3526599999</v>
      </c>
      <c r="R956" s="77" t="s">
        <v>394</v>
      </c>
      <c r="S956" s="77">
        <v>7414000005</v>
      </c>
      <c r="AB956"/>
      <c r="AC956"/>
    </row>
    <row r="957" spans="2:29" x14ac:dyDescent="0.25">
      <c r="B957">
        <v>0</v>
      </c>
      <c r="F957">
        <v>0</v>
      </c>
      <c r="P957" s="78">
        <v>46557518</v>
      </c>
      <c r="Q957" s="79">
        <v>98093803.859883994</v>
      </c>
      <c r="R957" s="77" t="s">
        <v>394</v>
      </c>
      <c r="S957" s="77">
        <v>7414000005</v>
      </c>
      <c r="AB957"/>
      <c r="AC957"/>
    </row>
    <row r="958" spans="2:29" x14ac:dyDescent="0.25">
      <c r="B958">
        <v>0</v>
      </c>
      <c r="F958">
        <v>0</v>
      </c>
      <c r="P958" s="78">
        <v>36294819</v>
      </c>
      <c r="Q958" s="79">
        <v>101052942.43027499</v>
      </c>
      <c r="R958" s="77" t="s">
        <v>394</v>
      </c>
      <c r="S958" s="77">
        <v>7414000005</v>
      </c>
      <c r="AB958"/>
      <c r="AC958"/>
    </row>
    <row r="959" spans="2:29" x14ac:dyDescent="0.25">
      <c r="B959">
        <v>0</v>
      </c>
      <c r="F959">
        <v>0</v>
      </c>
      <c r="P959" s="78">
        <v>0</v>
      </c>
      <c r="Q959" s="79">
        <v>-4494.99</v>
      </c>
      <c r="R959" s="77" t="s">
        <v>394</v>
      </c>
      <c r="S959" s="77">
        <v>7414000005</v>
      </c>
      <c r="AB959"/>
      <c r="AC959"/>
    </row>
    <row r="960" spans="2:29" x14ac:dyDescent="0.25">
      <c r="B960">
        <v>0</v>
      </c>
      <c r="F960">
        <v>0</v>
      </c>
      <c r="P960" s="78">
        <v>13163</v>
      </c>
      <c r="Q960" s="79">
        <v>44711.709836000002</v>
      </c>
      <c r="R960" s="77" t="s">
        <v>394</v>
      </c>
      <c r="S960" s="77">
        <v>7414000005</v>
      </c>
      <c r="AB960"/>
      <c r="AC960"/>
    </row>
    <row r="961" spans="2:29" x14ac:dyDescent="0.25">
      <c r="B961">
        <v>0</v>
      </c>
      <c r="F961">
        <v>0</v>
      </c>
      <c r="P961" s="78">
        <v>14492</v>
      </c>
      <c r="Q961" s="79">
        <v>1999156.7630799999</v>
      </c>
      <c r="R961" s="77" t="s">
        <v>394</v>
      </c>
      <c r="S961" s="77">
        <v>7414000005</v>
      </c>
      <c r="AB961"/>
      <c r="AC961"/>
    </row>
    <row r="962" spans="2:29" x14ac:dyDescent="0.25">
      <c r="B962">
        <v>0</v>
      </c>
      <c r="F962">
        <v>0</v>
      </c>
      <c r="P962" s="78">
        <v>7411197</v>
      </c>
      <c r="Q962" s="79">
        <v>26751545.625564002</v>
      </c>
      <c r="R962" s="77" t="s">
        <v>394</v>
      </c>
      <c r="S962" s="77">
        <v>7414000005</v>
      </c>
      <c r="AB962"/>
      <c r="AC962"/>
    </row>
    <row r="963" spans="2:29" x14ac:dyDescent="0.25">
      <c r="B963">
        <v>0</v>
      </c>
      <c r="F963">
        <v>0</v>
      </c>
      <c r="P963" s="78">
        <v>3975555</v>
      </c>
      <c r="Q963" s="79">
        <v>8705662.3878899999</v>
      </c>
      <c r="R963" s="77" t="s">
        <v>394</v>
      </c>
      <c r="S963" s="77">
        <v>7414000005</v>
      </c>
      <c r="AB963"/>
      <c r="AC963"/>
    </row>
    <row r="964" spans="2:29" x14ac:dyDescent="0.25">
      <c r="B964">
        <v>0</v>
      </c>
      <c r="F964">
        <v>0</v>
      </c>
      <c r="P964" s="78">
        <v>53678</v>
      </c>
      <c r="Q964" s="79">
        <v>148520.69199600001</v>
      </c>
      <c r="R964" s="77" t="s">
        <v>394</v>
      </c>
      <c r="S964" s="77">
        <v>7414000005</v>
      </c>
      <c r="AB964"/>
      <c r="AC964"/>
    </row>
    <row r="965" spans="2:29" x14ac:dyDescent="0.25">
      <c r="B965">
        <v>0</v>
      </c>
      <c r="F965">
        <v>0</v>
      </c>
      <c r="P965" s="78">
        <v>2326612</v>
      </c>
      <c r="Q965" s="79">
        <v>7911653.4124480002</v>
      </c>
      <c r="R965" s="77" t="s">
        <v>394</v>
      </c>
      <c r="S965" s="77">
        <v>7414000005</v>
      </c>
      <c r="AB965"/>
      <c r="AC965"/>
    </row>
    <row r="966" spans="2:29" x14ac:dyDescent="0.25">
      <c r="B966">
        <v>0</v>
      </c>
      <c r="F966">
        <v>0</v>
      </c>
      <c r="P966" s="78">
        <v>1617553</v>
      </c>
      <c r="Q966" s="79">
        <v>5074705.3529690001</v>
      </c>
      <c r="R966" s="77" t="s">
        <v>394</v>
      </c>
      <c r="S966" s="77">
        <v>7414000005</v>
      </c>
      <c r="AB966"/>
      <c r="AC966"/>
    </row>
    <row r="967" spans="2:29" x14ac:dyDescent="0.25">
      <c r="B967">
        <v>0</v>
      </c>
      <c r="F967">
        <v>0</v>
      </c>
      <c r="P967" s="78">
        <v>2272024</v>
      </c>
      <c r="Q967" s="79">
        <v>7726026.700096</v>
      </c>
      <c r="R967" s="77" t="s">
        <v>394</v>
      </c>
      <c r="S967" s="77">
        <v>7414000005</v>
      </c>
      <c r="AB967"/>
      <c r="AC967"/>
    </row>
    <row r="968" spans="2:29" x14ac:dyDescent="0.25">
      <c r="B968">
        <v>0</v>
      </c>
      <c r="F968">
        <v>0</v>
      </c>
      <c r="P968" s="78">
        <v>235705</v>
      </c>
      <c r="Q968" s="79">
        <v>739470.93246499996</v>
      </c>
      <c r="R968" s="77" t="s">
        <v>394</v>
      </c>
      <c r="S968" s="77">
        <v>7414000005</v>
      </c>
      <c r="AB968"/>
      <c r="AC968"/>
    </row>
    <row r="969" spans="2:29" x14ac:dyDescent="0.25">
      <c r="B969">
        <v>0</v>
      </c>
      <c r="F969">
        <v>0</v>
      </c>
      <c r="P969" s="78">
        <v>149673</v>
      </c>
      <c r="Q969" s="79">
        <v>469565.06172900001</v>
      </c>
      <c r="R969" s="77" t="s">
        <v>394</v>
      </c>
      <c r="S969" s="77">
        <v>7414000005</v>
      </c>
      <c r="AB969"/>
      <c r="AC969"/>
    </row>
    <row r="970" spans="2:29" x14ac:dyDescent="0.25">
      <c r="B970">
        <v>0</v>
      </c>
      <c r="F970">
        <v>0</v>
      </c>
      <c r="P970" s="78">
        <v>94563</v>
      </c>
      <c r="Q970" s="79">
        <v>296669.94669900002</v>
      </c>
      <c r="R970" s="77" t="s">
        <v>394</v>
      </c>
      <c r="S970" s="77">
        <v>7414000005</v>
      </c>
      <c r="AB970"/>
      <c r="AC970"/>
    </row>
    <row r="971" spans="2:29" x14ac:dyDescent="0.25">
      <c r="B971">
        <v>0</v>
      </c>
      <c r="F971">
        <v>0</v>
      </c>
      <c r="P971" s="78">
        <v>498833</v>
      </c>
      <c r="Q971" s="79">
        <v>45724912.881577</v>
      </c>
      <c r="R971" s="77" t="s">
        <v>394</v>
      </c>
      <c r="S971" s="77">
        <v>7414000005</v>
      </c>
      <c r="AB971"/>
      <c r="AC971"/>
    </row>
    <row r="972" spans="2:29" x14ac:dyDescent="0.25">
      <c r="B972">
        <v>0</v>
      </c>
      <c r="F972">
        <v>0</v>
      </c>
      <c r="P972" s="78">
        <v>0</v>
      </c>
      <c r="Q972" s="79">
        <v>0</v>
      </c>
      <c r="R972" s="77" t="s">
        <v>394</v>
      </c>
      <c r="S972" s="77">
        <v>7414000005</v>
      </c>
      <c r="AB972"/>
      <c r="AC972"/>
    </row>
    <row r="973" spans="2:29" x14ac:dyDescent="0.25">
      <c r="B973">
        <v>0</v>
      </c>
      <c r="F973">
        <v>0</v>
      </c>
      <c r="P973" s="78">
        <v>216884</v>
      </c>
      <c r="Q973" s="79">
        <v>19559189.261364002</v>
      </c>
      <c r="R973" s="77" t="s">
        <v>394</v>
      </c>
      <c r="S973" s="77">
        <v>7414000005</v>
      </c>
      <c r="AB973"/>
      <c r="AC973"/>
    </row>
    <row r="974" spans="2:29" x14ac:dyDescent="0.25">
      <c r="B974">
        <v>0</v>
      </c>
      <c r="F974">
        <v>0</v>
      </c>
      <c r="P974" s="78">
        <v>1251</v>
      </c>
      <c r="Q974" s="79">
        <v>11846531.030355001</v>
      </c>
      <c r="R974" s="77" t="s">
        <v>394</v>
      </c>
      <c r="S974" s="77">
        <v>7414000005</v>
      </c>
      <c r="AB974"/>
      <c r="AC974"/>
    </row>
    <row r="975" spans="2:29" x14ac:dyDescent="0.25">
      <c r="B975">
        <v>0</v>
      </c>
      <c r="F975">
        <v>0</v>
      </c>
      <c r="P975" s="78">
        <v>361643</v>
      </c>
      <c r="Q975" s="79">
        <v>35567036.459495999</v>
      </c>
      <c r="R975" s="77" t="s">
        <v>394</v>
      </c>
      <c r="S975" s="77">
        <v>7414000005</v>
      </c>
      <c r="AB975"/>
      <c r="AC975"/>
    </row>
    <row r="976" spans="2:29" x14ac:dyDescent="0.25">
      <c r="B976">
        <v>0</v>
      </c>
      <c r="F976">
        <v>0</v>
      </c>
      <c r="P976" s="78">
        <v>0</v>
      </c>
      <c r="Q976" s="79">
        <v>0</v>
      </c>
      <c r="R976" s="77" t="s">
        <v>394</v>
      </c>
      <c r="S976" s="77">
        <v>7414000005</v>
      </c>
      <c r="AB976"/>
      <c r="AC976"/>
    </row>
    <row r="977" spans="2:29" x14ac:dyDescent="0.25">
      <c r="B977">
        <v>0</v>
      </c>
      <c r="F977">
        <v>0</v>
      </c>
      <c r="P977" s="78">
        <v>415371</v>
      </c>
      <c r="Q977" s="79">
        <v>3943361.141148</v>
      </c>
      <c r="R977" s="77" t="s">
        <v>394</v>
      </c>
      <c r="S977" s="77">
        <v>7414000005</v>
      </c>
      <c r="AB977"/>
      <c r="AC977"/>
    </row>
    <row r="978" spans="2:29" x14ac:dyDescent="0.25">
      <c r="B978">
        <v>0</v>
      </c>
      <c r="F978">
        <v>0</v>
      </c>
      <c r="P978" s="78">
        <v>15133840</v>
      </c>
      <c r="Q978" s="79">
        <v>139082062.93608001</v>
      </c>
      <c r="R978" s="77" t="s">
        <v>394</v>
      </c>
      <c r="S978" s="77">
        <v>7414000005</v>
      </c>
      <c r="AB978"/>
      <c r="AC978"/>
    </row>
    <row r="979" spans="2:29" x14ac:dyDescent="0.25">
      <c r="B979">
        <v>0</v>
      </c>
      <c r="F979">
        <v>0</v>
      </c>
      <c r="P979" s="78">
        <v>2500000</v>
      </c>
      <c r="Q979" s="79">
        <v>22709925</v>
      </c>
      <c r="R979" s="77" t="s">
        <v>394</v>
      </c>
      <c r="S979" s="77">
        <v>7414000005</v>
      </c>
      <c r="AB979"/>
      <c r="AC979"/>
    </row>
    <row r="980" spans="2:29" x14ac:dyDescent="0.25">
      <c r="B980">
        <v>0</v>
      </c>
      <c r="F980">
        <v>0</v>
      </c>
      <c r="P980" s="78">
        <v>2829590</v>
      </c>
      <c r="Q980" s="79">
        <v>23715786.976089999</v>
      </c>
      <c r="R980" s="77" t="s">
        <v>394</v>
      </c>
      <c r="S980" s="77">
        <v>7414000005</v>
      </c>
      <c r="AB980"/>
      <c r="AC980"/>
    </row>
    <row r="981" spans="2:29" x14ac:dyDescent="0.25">
      <c r="B981">
        <v>0</v>
      </c>
      <c r="F981">
        <v>0</v>
      </c>
      <c r="P981" s="78">
        <v>332340</v>
      </c>
      <c r="Q981" s="79">
        <v>30990181.896839999</v>
      </c>
      <c r="R981" s="77" t="s">
        <v>394</v>
      </c>
      <c r="S981" s="77">
        <v>7414000005</v>
      </c>
      <c r="AB981"/>
      <c r="AC981"/>
    </row>
    <row r="982" spans="2:29" x14ac:dyDescent="0.25">
      <c r="B982">
        <v>0</v>
      </c>
      <c r="F982">
        <v>0</v>
      </c>
      <c r="P982" s="78">
        <v>289179</v>
      </c>
      <c r="Q982" s="79">
        <v>26003904.233769</v>
      </c>
      <c r="R982" s="77" t="s">
        <v>394</v>
      </c>
      <c r="S982" s="77">
        <v>7414000005</v>
      </c>
      <c r="AB982"/>
      <c r="AC982"/>
    </row>
    <row r="983" spans="2:29" x14ac:dyDescent="0.25">
      <c r="B983">
        <v>0</v>
      </c>
      <c r="F983">
        <v>0</v>
      </c>
      <c r="P983" s="78">
        <v>88561</v>
      </c>
      <c r="Q983" s="79">
        <v>8076428.7051029997</v>
      </c>
      <c r="R983" s="77" t="s">
        <v>394</v>
      </c>
      <c r="S983" s="77">
        <v>7414000005</v>
      </c>
      <c r="AB983"/>
      <c r="AC983"/>
    </row>
    <row r="984" spans="2:29" x14ac:dyDescent="0.25">
      <c r="B984">
        <v>0</v>
      </c>
      <c r="F984">
        <v>0</v>
      </c>
      <c r="P984" s="78">
        <v>0</v>
      </c>
      <c r="Q984" s="79">
        <v>70548482.469999999</v>
      </c>
      <c r="R984" s="77" t="s">
        <v>394</v>
      </c>
      <c r="S984" s="77">
        <v>7414000005</v>
      </c>
      <c r="AB984"/>
      <c r="AC984"/>
    </row>
    <row r="985" spans="2:29" x14ac:dyDescent="0.25">
      <c r="B985">
        <v>0</v>
      </c>
      <c r="F985">
        <v>0</v>
      </c>
      <c r="P985" s="78">
        <v>451511</v>
      </c>
      <c r="Q985" s="79">
        <v>41750638.817787997</v>
      </c>
      <c r="R985" s="77" t="s">
        <v>394</v>
      </c>
      <c r="S985" s="77">
        <v>7414000005</v>
      </c>
      <c r="AB985"/>
      <c r="AC985"/>
    </row>
    <row r="986" spans="2:29" x14ac:dyDescent="0.25">
      <c r="B986">
        <v>0</v>
      </c>
      <c r="F986">
        <v>0</v>
      </c>
      <c r="P986" s="78">
        <v>413372</v>
      </c>
      <c r="Q986" s="79">
        <v>37825725.564623997</v>
      </c>
      <c r="R986" s="77" t="s">
        <v>394</v>
      </c>
      <c r="S986" s="77">
        <v>7414000005</v>
      </c>
      <c r="AB986"/>
      <c r="AC986"/>
    </row>
    <row r="987" spans="2:29" x14ac:dyDescent="0.25">
      <c r="B987">
        <v>0</v>
      </c>
      <c r="F987">
        <v>0</v>
      </c>
      <c r="P987" s="78">
        <v>608050</v>
      </c>
      <c r="Q987" s="79">
        <v>56739694.445600003</v>
      </c>
      <c r="R987" s="77" t="s">
        <v>394</v>
      </c>
      <c r="S987" s="77">
        <v>7414000005</v>
      </c>
      <c r="AB987"/>
      <c r="AC987"/>
    </row>
    <row r="988" spans="2:29" x14ac:dyDescent="0.25">
      <c r="B988">
        <v>0</v>
      </c>
      <c r="F988">
        <v>0</v>
      </c>
      <c r="P988" s="78">
        <v>3359452</v>
      </c>
      <c r="Q988" s="79">
        <v>318711738.67396402</v>
      </c>
      <c r="R988" s="77" t="s">
        <v>394</v>
      </c>
      <c r="S988" s="77">
        <v>7414000005</v>
      </c>
      <c r="AB988"/>
      <c r="AC988"/>
    </row>
    <row r="989" spans="2:29" x14ac:dyDescent="0.25">
      <c r="B989">
        <v>0</v>
      </c>
      <c r="F989">
        <v>0</v>
      </c>
      <c r="P989" s="78">
        <v>3987641</v>
      </c>
      <c r="Q989" s="79">
        <v>356851859.70206499</v>
      </c>
      <c r="R989" s="77" t="s">
        <v>394</v>
      </c>
      <c r="S989" s="77">
        <v>7414000005</v>
      </c>
      <c r="AB989"/>
      <c r="AC989"/>
    </row>
    <row r="990" spans="2:29" x14ac:dyDescent="0.25">
      <c r="B990">
        <v>0</v>
      </c>
      <c r="F990">
        <v>0</v>
      </c>
      <c r="P990" s="78">
        <v>2950940</v>
      </c>
      <c r="Q990" s="79">
        <v>254362552.90031999</v>
      </c>
      <c r="R990" s="77" t="s">
        <v>394</v>
      </c>
      <c r="S990" s="77">
        <v>7414000005</v>
      </c>
      <c r="AB990"/>
      <c r="AC990"/>
    </row>
    <row r="991" spans="2:29" x14ac:dyDescent="0.25">
      <c r="B991">
        <v>0</v>
      </c>
      <c r="F991">
        <v>0</v>
      </c>
      <c r="P991" s="78">
        <v>455830</v>
      </c>
      <c r="Q991" s="79">
        <v>39415325.633819997</v>
      </c>
      <c r="R991" s="77" t="s">
        <v>394</v>
      </c>
      <c r="S991" s="77">
        <v>7414000005</v>
      </c>
      <c r="AB991"/>
      <c r="AC991"/>
    </row>
    <row r="992" spans="2:29" x14ac:dyDescent="0.25">
      <c r="B992">
        <v>0</v>
      </c>
      <c r="F992">
        <v>0</v>
      </c>
      <c r="P992" s="78">
        <v>372066</v>
      </c>
      <c r="Q992" s="79">
        <v>34633294.062707998</v>
      </c>
      <c r="R992" s="77" t="s">
        <v>394</v>
      </c>
      <c r="S992" s="77">
        <v>7414000005</v>
      </c>
      <c r="AB992"/>
      <c r="AC992"/>
    </row>
    <row r="993" spans="2:29" x14ac:dyDescent="0.25">
      <c r="B993">
        <v>0</v>
      </c>
      <c r="F993">
        <v>0</v>
      </c>
      <c r="P993" s="78">
        <v>186033</v>
      </c>
      <c r="Q993" s="79">
        <v>17174781.242082</v>
      </c>
      <c r="R993" s="77" t="s">
        <v>394</v>
      </c>
      <c r="S993" s="77">
        <v>7414000005</v>
      </c>
      <c r="AB993"/>
      <c r="AC993"/>
    </row>
    <row r="994" spans="2:29" x14ac:dyDescent="0.25">
      <c r="B994">
        <v>0</v>
      </c>
      <c r="F994">
        <v>0</v>
      </c>
      <c r="P994" s="78">
        <v>957110</v>
      </c>
      <c r="Q994" s="79">
        <v>93804277.999740005</v>
      </c>
      <c r="R994" s="77" t="s">
        <v>394</v>
      </c>
      <c r="S994" s="77">
        <v>7414000005</v>
      </c>
      <c r="AB994"/>
      <c r="AC994"/>
    </row>
    <row r="995" spans="2:29" x14ac:dyDescent="0.25">
      <c r="B995">
        <v>0</v>
      </c>
      <c r="F995">
        <v>0</v>
      </c>
      <c r="P995" s="78">
        <v>161365</v>
      </c>
      <c r="Q995" s="79">
        <v>12940645.681645</v>
      </c>
      <c r="R995" s="77" t="s">
        <v>394</v>
      </c>
      <c r="S995" s="77">
        <v>7414000005</v>
      </c>
      <c r="AB995"/>
      <c r="AC995"/>
    </row>
    <row r="996" spans="2:29" x14ac:dyDescent="0.25">
      <c r="B996">
        <v>0</v>
      </c>
      <c r="F996">
        <v>0</v>
      </c>
      <c r="P996" s="78">
        <v>96866</v>
      </c>
      <c r="Q996" s="79">
        <v>75138160.639541999</v>
      </c>
      <c r="R996" s="77" t="s">
        <v>394</v>
      </c>
      <c r="S996" s="77">
        <v>7414000005</v>
      </c>
      <c r="AB996"/>
      <c r="AC996"/>
    </row>
    <row r="997" spans="2:29" x14ac:dyDescent="0.25">
      <c r="B997">
        <v>0</v>
      </c>
      <c r="F997">
        <v>0</v>
      </c>
      <c r="P997" s="78">
        <v>315757</v>
      </c>
      <c r="Q997" s="79">
        <v>241845827.52443099</v>
      </c>
      <c r="R997" s="77" t="s">
        <v>394</v>
      </c>
      <c r="S997" s="77">
        <v>7414000005</v>
      </c>
      <c r="AB997"/>
      <c r="AC997"/>
    </row>
    <row r="998" spans="2:29" x14ac:dyDescent="0.25">
      <c r="B998">
        <v>0</v>
      </c>
      <c r="F998">
        <v>0</v>
      </c>
      <c r="P998" s="78">
        <v>1303272</v>
      </c>
      <c r="Q998" s="79">
        <v>892596862.72497594</v>
      </c>
      <c r="R998" s="77" t="s">
        <v>394</v>
      </c>
      <c r="S998" s="77">
        <v>7414000005</v>
      </c>
      <c r="AB998"/>
      <c r="AC998"/>
    </row>
    <row r="999" spans="2:29" x14ac:dyDescent="0.25">
      <c r="B999">
        <v>0</v>
      </c>
      <c r="F999">
        <v>0</v>
      </c>
      <c r="P999" s="78">
        <v>64582159</v>
      </c>
      <c r="Q999" s="79">
        <v>219370869.39074799</v>
      </c>
      <c r="R999" s="77" t="s">
        <v>394</v>
      </c>
      <c r="S999" s="77">
        <v>7414000005</v>
      </c>
      <c r="AB999"/>
      <c r="AC999"/>
    </row>
    <row r="1000" spans="2:29" x14ac:dyDescent="0.25">
      <c r="B1000">
        <v>0</v>
      </c>
      <c r="F1000">
        <v>0</v>
      </c>
      <c r="P1000" s="78">
        <v>130000</v>
      </c>
      <c r="Q1000" s="79">
        <v>382727.02</v>
      </c>
      <c r="R1000" s="77" t="s">
        <v>394</v>
      </c>
      <c r="S1000" s="77">
        <v>7414000005</v>
      </c>
      <c r="AB1000"/>
      <c r="AC1000"/>
    </row>
    <row r="1001" spans="2:29" x14ac:dyDescent="0.25">
      <c r="B1001">
        <v>0</v>
      </c>
      <c r="F1001">
        <v>0</v>
      </c>
      <c r="P1001" s="78">
        <v>532955</v>
      </c>
      <c r="Q1001" s="79">
        <v>2443532.5885800002</v>
      </c>
      <c r="R1001" s="77" t="s">
        <v>394</v>
      </c>
      <c r="S1001" s="77">
        <v>7414000005</v>
      </c>
      <c r="AB1001"/>
      <c r="AC1001"/>
    </row>
    <row r="1002" spans="2:29" x14ac:dyDescent="0.25">
      <c r="B1002">
        <v>0</v>
      </c>
      <c r="F1002">
        <v>0</v>
      </c>
      <c r="P1002" s="78">
        <v>1432577</v>
      </c>
      <c r="Q1002" s="79">
        <v>4866137.4414440002</v>
      </c>
      <c r="R1002" s="77" t="s">
        <v>394</v>
      </c>
      <c r="S1002" s="77">
        <v>7414000005</v>
      </c>
      <c r="AB1002"/>
      <c r="AC1002"/>
    </row>
    <row r="1003" spans="2:29" x14ac:dyDescent="0.25">
      <c r="B1003">
        <v>0</v>
      </c>
      <c r="F1003">
        <v>0</v>
      </c>
      <c r="P1003" s="78">
        <v>4983656</v>
      </c>
      <c r="Q1003" s="79">
        <v>13789188.080592001</v>
      </c>
      <c r="R1003" s="77" t="s">
        <v>394</v>
      </c>
      <c r="S1003" s="77">
        <v>7414000005</v>
      </c>
      <c r="AB1003"/>
      <c r="AC1003"/>
    </row>
    <row r="1004" spans="2:29" x14ac:dyDescent="0.25">
      <c r="B1004">
        <v>0</v>
      </c>
      <c r="F1004">
        <v>0</v>
      </c>
      <c r="P1004" s="78">
        <v>285498</v>
      </c>
      <c r="Q1004" s="79">
        <v>1308972.9282480001</v>
      </c>
      <c r="R1004" s="77" t="s">
        <v>394</v>
      </c>
      <c r="S1004" s="77">
        <v>7414000005</v>
      </c>
      <c r="AB1004"/>
      <c r="AC1004"/>
    </row>
    <row r="1005" spans="2:29" x14ac:dyDescent="0.25">
      <c r="P1005" s="78">
        <v>827180</v>
      </c>
      <c r="Q1005" s="79">
        <v>2809741.8629600001</v>
      </c>
      <c r="R1005" s="77" t="s">
        <v>394</v>
      </c>
      <c r="S1005" s="77">
        <v>7414000005</v>
      </c>
      <c r="AB1005"/>
      <c r="AC1005"/>
    </row>
    <row r="1006" spans="2:29" x14ac:dyDescent="0.25">
      <c r="P1006" s="78">
        <v>2667938</v>
      </c>
      <c r="Q1006" s="79">
        <v>7381869.6293160003</v>
      </c>
      <c r="R1006" s="77" t="s">
        <v>394</v>
      </c>
      <c r="S1006" s="77">
        <v>7414000005</v>
      </c>
      <c r="AB1006"/>
      <c r="AC1006"/>
    </row>
    <row r="1007" spans="2:29" x14ac:dyDescent="0.25">
      <c r="P1007" s="78">
        <v>2802321</v>
      </c>
      <c r="Q1007" s="79">
        <v>12848294.297196001</v>
      </c>
      <c r="R1007" s="77" t="s">
        <v>394</v>
      </c>
      <c r="S1007" s="77">
        <v>7414000005</v>
      </c>
      <c r="AB1007"/>
      <c r="AC1007"/>
    </row>
    <row r="1008" spans="2:29" x14ac:dyDescent="0.25">
      <c r="P1008" s="78">
        <v>7999846</v>
      </c>
      <c r="Q1008" s="79">
        <v>27173652.897112001</v>
      </c>
      <c r="R1008" s="77" t="s">
        <v>394</v>
      </c>
      <c r="S1008" s="77">
        <v>7414000005</v>
      </c>
      <c r="AB1008"/>
      <c r="AC1008"/>
    </row>
    <row r="1009" spans="16:29" x14ac:dyDescent="0.25">
      <c r="P1009" s="78">
        <v>26007587</v>
      </c>
      <c r="Q1009" s="79">
        <v>71959924.333734006</v>
      </c>
      <c r="R1009" s="77" t="s">
        <v>394</v>
      </c>
      <c r="S1009" s="77">
        <v>7414000005</v>
      </c>
      <c r="AB1009"/>
      <c r="AC1009"/>
    </row>
    <row r="1010" spans="16:29" x14ac:dyDescent="0.25">
      <c r="P1010" s="78">
        <v>1387386</v>
      </c>
      <c r="Q1010" s="79">
        <v>6360992.7741360003</v>
      </c>
      <c r="R1010" s="77" t="s">
        <v>394</v>
      </c>
      <c r="S1010" s="77">
        <v>7414000005</v>
      </c>
      <c r="AB1010"/>
      <c r="AC1010"/>
    </row>
    <row r="1011" spans="16:29" x14ac:dyDescent="0.25">
      <c r="P1011" s="78">
        <v>3959730</v>
      </c>
      <c r="Q1011" s="79">
        <v>13450299.991560001</v>
      </c>
      <c r="R1011" s="77" t="s">
        <v>394</v>
      </c>
      <c r="S1011" s="77">
        <v>7414000005</v>
      </c>
      <c r="AB1011"/>
      <c r="AC1011"/>
    </row>
    <row r="1012" spans="16:29" x14ac:dyDescent="0.25">
      <c r="P1012" s="78">
        <v>12874573</v>
      </c>
      <c r="Q1012" s="79">
        <v>35622424.291386001</v>
      </c>
      <c r="R1012" s="77" t="s">
        <v>394</v>
      </c>
      <c r="S1012" s="77">
        <v>7414000005</v>
      </c>
      <c r="AB1012"/>
      <c r="AC1012"/>
    </row>
    <row r="1013" spans="16:29" x14ac:dyDescent="0.25">
      <c r="P1013" s="78">
        <v>1831441</v>
      </c>
      <c r="Q1013" s="79">
        <v>8396929.8863159996</v>
      </c>
      <c r="R1013" s="77" t="s">
        <v>394</v>
      </c>
      <c r="S1013" s="77">
        <v>7414000005</v>
      </c>
      <c r="AB1013"/>
      <c r="AC1013"/>
    </row>
    <row r="1014" spans="16:29" x14ac:dyDescent="0.25">
      <c r="P1014" s="78">
        <v>5271949</v>
      </c>
      <c r="Q1014" s="79">
        <v>17907608.748628002</v>
      </c>
      <c r="R1014" s="77" t="s">
        <v>394</v>
      </c>
      <c r="S1014" s="77">
        <v>7414000005</v>
      </c>
      <c r="AB1014"/>
      <c r="AC1014"/>
    </row>
    <row r="1015" spans="16:29" x14ac:dyDescent="0.25">
      <c r="P1015" s="78">
        <v>17064907</v>
      </c>
      <c r="Q1015" s="79">
        <v>47216584.009974003</v>
      </c>
      <c r="R1015" s="77" t="s">
        <v>394</v>
      </c>
      <c r="S1015" s="77">
        <v>7414000005</v>
      </c>
      <c r="AB1015"/>
      <c r="AC1015"/>
    </row>
    <row r="1016" spans="16:29" x14ac:dyDescent="0.25">
      <c r="P1016" s="78">
        <v>11635107</v>
      </c>
      <c r="Q1016" s="79">
        <v>53345522.841732003</v>
      </c>
      <c r="R1016" s="77" t="s">
        <v>394</v>
      </c>
      <c r="S1016" s="77">
        <v>7414000005</v>
      </c>
      <c r="AB1016"/>
      <c r="AC1016"/>
    </row>
    <row r="1017" spans="16:29" x14ac:dyDescent="0.25">
      <c r="P1017" s="78">
        <v>33209896</v>
      </c>
      <c r="Q1017" s="79">
        <v>112806444.855712</v>
      </c>
      <c r="R1017" s="77" t="s">
        <v>394</v>
      </c>
      <c r="S1017" s="77">
        <v>7414000005</v>
      </c>
      <c r="AB1017"/>
      <c r="AC1017"/>
    </row>
    <row r="1018" spans="16:29" x14ac:dyDescent="0.25">
      <c r="P1018" s="78">
        <v>107976322</v>
      </c>
      <c r="Q1018" s="79">
        <v>298757741.768004</v>
      </c>
      <c r="R1018" s="77" t="s">
        <v>394</v>
      </c>
      <c r="S1018" s="77">
        <v>7414000005</v>
      </c>
      <c r="AB1018"/>
      <c r="AC1018"/>
    </row>
    <row r="1019" spans="16:29" x14ac:dyDescent="0.25">
      <c r="P1019" s="78">
        <v>879732</v>
      </c>
      <c r="Q1019" s="79">
        <v>2988249.0251039998</v>
      </c>
      <c r="R1019" s="77" t="s">
        <v>394</v>
      </c>
      <c r="S1019" s="77">
        <v>7414000005</v>
      </c>
      <c r="AB1019"/>
      <c r="AC1019"/>
    </row>
    <row r="1020" spans="16:29" x14ac:dyDescent="0.25">
      <c r="P1020" s="78">
        <v>1552</v>
      </c>
      <c r="Q1020" s="79">
        <v>4869.0476959999996</v>
      </c>
      <c r="R1020" s="77" t="s">
        <v>394</v>
      </c>
      <c r="S1020" s="77">
        <v>7414000005</v>
      </c>
      <c r="AB1020"/>
      <c r="AC1020"/>
    </row>
    <row r="1021" spans="16:29" x14ac:dyDescent="0.25">
      <c r="P1021" s="78">
        <v>419</v>
      </c>
      <c r="Q1021" s="79">
        <v>54208.889256000002</v>
      </c>
      <c r="R1021" s="77" t="s">
        <v>394</v>
      </c>
      <c r="S1021" s="77">
        <v>7414000005</v>
      </c>
      <c r="AB1021"/>
      <c r="AC1021"/>
    </row>
    <row r="1022" spans="16:29" x14ac:dyDescent="0.25">
      <c r="P1022" s="78">
        <v>1068227</v>
      </c>
      <c r="Q1022" s="79">
        <v>3711057.9859449998</v>
      </c>
      <c r="R1022" s="77" t="s">
        <v>394</v>
      </c>
      <c r="S1022" s="77">
        <v>7414000005</v>
      </c>
      <c r="AB1022"/>
      <c r="AC1022"/>
    </row>
    <row r="1023" spans="16:29" x14ac:dyDescent="0.25">
      <c r="P1023" s="78">
        <v>789642</v>
      </c>
      <c r="Q1023" s="79">
        <v>1608076.716246</v>
      </c>
      <c r="R1023" s="77" t="s">
        <v>394</v>
      </c>
      <c r="S1023" s="77">
        <v>7414000005</v>
      </c>
      <c r="AB1023"/>
      <c r="AC1023"/>
    </row>
    <row r="1024" spans="16:29" x14ac:dyDescent="0.25">
      <c r="P1024" s="78">
        <v>173600</v>
      </c>
      <c r="Q1024" s="79">
        <v>469816.11040000001</v>
      </c>
      <c r="R1024" s="77" t="s">
        <v>394</v>
      </c>
      <c r="S1024" s="77">
        <v>7414000005</v>
      </c>
      <c r="AB1024"/>
      <c r="AC1024"/>
    </row>
    <row r="1025" spans="16:29" x14ac:dyDescent="0.25">
      <c r="P1025" s="78">
        <v>57965254</v>
      </c>
      <c r="Q1025" s="79">
        <v>196894751.760088</v>
      </c>
      <c r="R1025" s="77" t="s">
        <v>394</v>
      </c>
      <c r="S1025" s="77">
        <v>7414000005</v>
      </c>
      <c r="AB1025"/>
      <c r="AC1025"/>
    </row>
    <row r="1026" spans="16:29" x14ac:dyDescent="0.25">
      <c r="P1026" s="78">
        <v>450176</v>
      </c>
      <c r="Q1026" s="79">
        <v>1529145.231872</v>
      </c>
      <c r="R1026" s="77" t="s">
        <v>394</v>
      </c>
      <c r="S1026" s="77">
        <v>7414000005</v>
      </c>
      <c r="AB1026"/>
      <c r="AC1026"/>
    </row>
    <row r="1027" spans="16:29" x14ac:dyDescent="0.25">
      <c r="P1027" s="78">
        <v>28406006</v>
      </c>
      <c r="Q1027" s="79">
        <v>96488725.812631994</v>
      </c>
      <c r="R1027" s="77" t="s">
        <v>394</v>
      </c>
      <c r="S1027" s="77">
        <v>7414000005</v>
      </c>
      <c r="AB1027"/>
      <c r="AC1027"/>
    </row>
    <row r="1028" spans="16:29" x14ac:dyDescent="0.25">
      <c r="P1028" s="78">
        <v>445515</v>
      </c>
      <c r="Q1028" s="79">
        <v>1513312.8775800001</v>
      </c>
      <c r="R1028" s="77" t="s">
        <v>394</v>
      </c>
      <c r="S1028" s="77">
        <v>7414000005</v>
      </c>
      <c r="AB1028"/>
      <c r="AC1028"/>
    </row>
    <row r="1029" spans="16:29" x14ac:dyDescent="0.25">
      <c r="P1029" s="78">
        <v>16916396</v>
      </c>
      <c r="Q1029" s="79">
        <v>57461140.273712002</v>
      </c>
      <c r="R1029" s="77" t="s">
        <v>394</v>
      </c>
      <c r="S1029" s="77">
        <v>7414000005</v>
      </c>
      <c r="AB1029"/>
      <c r="AC1029"/>
    </row>
    <row r="1030" spans="16:29" x14ac:dyDescent="0.25">
      <c r="P1030" s="78">
        <v>16882061</v>
      </c>
      <c r="Q1030" s="79">
        <v>57344512.107092001</v>
      </c>
      <c r="R1030" s="77" t="s">
        <v>394</v>
      </c>
      <c r="S1030" s="77">
        <v>7414000005</v>
      </c>
      <c r="AB1030"/>
      <c r="AC1030"/>
    </row>
    <row r="1031" spans="16:29" x14ac:dyDescent="0.25">
      <c r="P1031" s="78">
        <v>64153</v>
      </c>
      <c r="Q1031" s="79">
        <v>217913.11411600001</v>
      </c>
      <c r="R1031" s="77" t="s">
        <v>394</v>
      </c>
      <c r="S1031" s="77">
        <v>7414000005</v>
      </c>
      <c r="AB1031"/>
      <c r="AC1031"/>
    </row>
    <row r="1032" spans="16:29" x14ac:dyDescent="0.25">
      <c r="P1032" s="78">
        <v>175118</v>
      </c>
      <c r="Q1032" s="79">
        <v>594835.91909600003</v>
      </c>
      <c r="R1032" s="77" t="s">
        <v>394</v>
      </c>
      <c r="S1032" s="77">
        <v>7414000005</v>
      </c>
      <c r="AB1032"/>
      <c r="AC1032"/>
    </row>
    <row r="1033" spans="16:29" x14ac:dyDescent="0.25">
      <c r="P1033" s="78">
        <v>376064</v>
      </c>
      <c r="Q1033" s="79">
        <v>1277403.6654079999</v>
      </c>
      <c r="R1033" s="77" t="s">
        <v>394</v>
      </c>
      <c r="S1033" s="77">
        <v>7414000005</v>
      </c>
      <c r="AB1033"/>
      <c r="AC1033"/>
    </row>
    <row r="1034" spans="16:29" x14ac:dyDescent="0.25">
      <c r="P1034" s="78">
        <v>2498775</v>
      </c>
      <c r="Q1034" s="79">
        <v>8487768.9542999994</v>
      </c>
      <c r="R1034" s="77" t="s">
        <v>394</v>
      </c>
      <c r="S1034" s="77">
        <v>7414000005</v>
      </c>
      <c r="AB1034"/>
      <c r="AC1034"/>
    </row>
    <row r="1035" spans="16:29" x14ac:dyDescent="0.25">
      <c r="P1035" s="78">
        <v>48461742</v>
      </c>
      <c r="Q1035" s="79">
        <v>164613488.29682401</v>
      </c>
      <c r="R1035" s="77" t="s">
        <v>394</v>
      </c>
      <c r="S1035" s="77">
        <v>7414000005</v>
      </c>
      <c r="AB1035"/>
      <c r="AC1035"/>
    </row>
    <row r="1036" spans="16:29" x14ac:dyDescent="0.25">
      <c r="P1036" s="78">
        <v>1810947</v>
      </c>
      <c r="Q1036" s="79">
        <v>6151374.0630839998</v>
      </c>
      <c r="R1036" s="77" t="s">
        <v>394</v>
      </c>
      <c r="S1036" s="77">
        <v>7414000005</v>
      </c>
      <c r="AB1036"/>
      <c r="AC1036"/>
    </row>
    <row r="1037" spans="16:29" x14ac:dyDescent="0.25">
      <c r="P1037" s="78">
        <v>1974510</v>
      </c>
      <c r="Q1037" s="79">
        <v>6706960.2817200003</v>
      </c>
      <c r="R1037" s="77" t="s">
        <v>394</v>
      </c>
      <c r="S1037" s="77">
        <v>7414000005</v>
      </c>
      <c r="AB1037"/>
      <c r="AC1037"/>
    </row>
    <row r="1038" spans="16:29" x14ac:dyDescent="0.25">
      <c r="P1038" s="78">
        <v>600</v>
      </c>
      <c r="Q1038" s="79">
        <v>9961180.3734000009</v>
      </c>
      <c r="R1038" s="77" t="s">
        <v>394</v>
      </c>
      <c r="S1038" s="77">
        <v>7414000005</v>
      </c>
      <c r="AB1038"/>
      <c r="AC1038"/>
    </row>
    <row r="1039" spans="16:29" x14ac:dyDescent="0.25">
      <c r="P1039" s="78">
        <v>253805</v>
      </c>
      <c r="Q1039" s="79">
        <v>3910720.5864349999</v>
      </c>
      <c r="R1039" s="77" t="s">
        <v>394</v>
      </c>
      <c r="S1039" s="77">
        <v>7414000005</v>
      </c>
      <c r="AB1039"/>
      <c r="AC1039"/>
    </row>
    <row r="1040" spans="16:29" x14ac:dyDescent="0.25">
      <c r="P1040" s="78">
        <v>0</v>
      </c>
      <c r="Q1040" s="79">
        <v>8938949.8599999994</v>
      </c>
      <c r="R1040" s="77" t="s">
        <v>394</v>
      </c>
      <c r="S1040" s="77">
        <v>7414000005</v>
      </c>
      <c r="AB1040"/>
      <c r="AC1040"/>
    </row>
    <row r="1041" spans="16:29" x14ac:dyDescent="0.25">
      <c r="P1041" s="78">
        <v>0</v>
      </c>
      <c r="Q1041" s="79">
        <v>30469637.100000001</v>
      </c>
      <c r="R1041" s="77" t="s">
        <v>394</v>
      </c>
      <c r="S1041" s="77">
        <v>7414000005</v>
      </c>
      <c r="AB1041"/>
      <c r="AC1041"/>
    </row>
    <row r="1042" spans="16:29" x14ac:dyDescent="0.25">
      <c r="P1042" s="78">
        <v>0</v>
      </c>
      <c r="Q1042" s="79">
        <v>2673834.7000000002</v>
      </c>
      <c r="R1042" s="77" t="s">
        <v>394</v>
      </c>
      <c r="S1042" s="77">
        <v>7414000005</v>
      </c>
      <c r="AB1042"/>
      <c r="AC1042"/>
    </row>
    <row r="1043" spans="16:29" x14ac:dyDescent="0.25">
      <c r="P1043" s="78">
        <v>0</v>
      </c>
      <c r="Q1043" s="79">
        <v>4309.26</v>
      </c>
      <c r="R1043" s="77" t="s">
        <v>394</v>
      </c>
      <c r="S1043" s="77">
        <v>7414000005</v>
      </c>
      <c r="AB1043"/>
      <c r="AC1043"/>
    </row>
    <row r="1044" spans="16:29" x14ac:dyDescent="0.25">
      <c r="P1044" s="78">
        <v>0</v>
      </c>
      <c r="Q1044" s="79">
        <v>59838.68</v>
      </c>
      <c r="R1044" s="77" t="s">
        <v>394</v>
      </c>
      <c r="S1044" s="77">
        <v>7414000005</v>
      </c>
      <c r="AB1044"/>
      <c r="AC1044"/>
    </row>
    <row r="1045" spans="16:29" x14ac:dyDescent="0.25">
      <c r="P1045" s="78">
        <v>0</v>
      </c>
      <c r="Q1045" s="79">
        <v>2957355.92</v>
      </c>
      <c r="R1045" s="77" t="s">
        <v>394</v>
      </c>
      <c r="S1045" s="77">
        <v>7414000005</v>
      </c>
      <c r="AB1045"/>
      <c r="AC1045"/>
    </row>
    <row r="1046" spans="16:29" x14ac:dyDescent="0.25">
      <c r="P1046" s="78">
        <v>0</v>
      </c>
      <c r="Q1046" s="79">
        <v>1058388.8999999999</v>
      </c>
      <c r="R1046" s="77" t="s">
        <v>394</v>
      </c>
      <c r="S1046" s="77">
        <v>7414000005</v>
      </c>
      <c r="AB1046"/>
      <c r="AC1046"/>
    </row>
    <row r="1047" spans="16:29" x14ac:dyDescent="0.25">
      <c r="P1047" s="78">
        <v>0</v>
      </c>
      <c r="Q1047" s="79">
        <v>208796.14</v>
      </c>
      <c r="R1047" s="77" t="s">
        <v>394</v>
      </c>
      <c r="S1047" s="77">
        <v>7414000005</v>
      </c>
      <c r="AB1047"/>
      <c r="AC1047"/>
    </row>
    <row r="1048" spans="16:29" x14ac:dyDescent="0.25">
      <c r="P1048" s="78">
        <v>0</v>
      </c>
      <c r="Q1048" s="79">
        <v>0</v>
      </c>
      <c r="R1048" s="77" t="s">
        <v>394</v>
      </c>
      <c r="S1048" s="77">
        <v>7414000005</v>
      </c>
      <c r="AB1048"/>
      <c r="AC1048"/>
    </row>
    <row r="1049" spans="16:29" x14ac:dyDescent="0.25">
      <c r="P1049" s="78">
        <v>0</v>
      </c>
      <c r="Q1049" s="79">
        <v>0</v>
      </c>
      <c r="R1049" s="77" t="s">
        <v>394</v>
      </c>
      <c r="S1049" s="77">
        <v>7414000005</v>
      </c>
      <c r="AB1049"/>
      <c r="AC1049"/>
    </row>
    <row r="1050" spans="16:29" x14ac:dyDescent="0.25">
      <c r="P1050" s="78">
        <v>0</v>
      </c>
      <c r="Q1050" s="79">
        <v>0</v>
      </c>
      <c r="R1050" s="77" t="s">
        <v>394</v>
      </c>
      <c r="S1050" s="77">
        <v>7414000005</v>
      </c>
      <c r="AB1050"/>
      <c r="AC1050"/>
    </row>
    <row r="1051" spans="16:29" x14ac:dyDescent="0.25">
      <c r="P1051" s="78">
        <v>0</v>
      </c>
      <c r="Q1051" s="79">
        <v>0</v>
      </c>
      <c r="R1051" s="77" t="s">
        <v>394</v>
      </c>
      <c r="S1051" s="77">
        <v>7414000005</v>
      </c>
      <c r="AB1051"/>
      <c r="AC1051"/>
    </row>
    <row r="1052" spans="16:29" x14ac:dyDescent="0.25">
      <c r="P1052" s="78">
        <v>0</v>
      </c>
      <c r="Q1052" s="79">
        <v>0</v>
      </c>
      <c r="R1052" s="77" t="s">
        <v>394</v>
      </c>
      <c r="S1052" s="77">
        <v>7414000005</v>
      </c>
      <c r="AB1052"/>
      <c r="AC1052"/>
    </row>
    <row r="1053" spans="16:29" x14ac:dyDescent="0.25">
      <c r="P1053" s="78">
        <v>0</v>
      </c>
      <c r="Q1053" s="79">
        <v>0</v>
      </c>
      <c r="R1053" s="77" t="s">
        <v>394</v>
      </c>
      <c r="S1053" s="77">
        <v>7414000005</v>
      </c>
      <c r="AB1053"/>
      <c r="AC1053"/>
    </row>
    <row r="1054" spans="16:29" x14ac:dyDescent="0.25">
      <c r="P1054" s="78">
        <v>0</v>
      </c>
      <c r="Q1054" s="79">
        <v>0</v>
      </c>
      <c r="R1054" s="77" t="s">
        <v>394</v>
      </c>
      <c r="S1054" s="77">
        <v>7414000005</v>
      </c>
      <c r="AB1054"/>
      <c r="AC1054"/>
    </row>
    <row r="1055" spans="16:29" x14ac:dyDescent="0.25">
      <c r="P1055" s="78">
        <v>0</v>
      </c>
      <c r="Q1055" s="79">
        <v>0</v>
      </c>
      <c r="R1055" s="77" t="s">
        <v>394</v>
      </c>
      <c r="S1055" s="77">
        <v>7414000005</v>
      </c>
      <c r="AB1055"/>
      <c r="AC1055"/>
    </row>
    <row r="1056" spans="16:29" x14ac:dyDescent="0.25">
      <c r="P1056" s="78">
        <v>0</v>
      </c>
      <c r="Q1056" s="79">
        <v>0</v>
      </c>
      <c r="R1056" s="77" t="s">
        <v>394</v>
      </c>
      <c r="S1056" s="77">
        <v>7414000005</v>
      </c>
      <c r="AB1056"/>
      <c r="AC1056"/>
    </row>
    <row r="1057" spans="16:29" x14ac:dyDescent="0.25">
      <c r="P1057" s="78">
        <v>0</v>
      </c>
      <c r="Q1057" s="79">
        <v>0</v>
      </c>
      <c r="R1057" s="77" t="s">
        <v>394</v>
      </c>
      <c r="S1057" s="77">
        <v>7414000005</v>
      </c>
      <c r="AB1057"/>
      <c r="AC1057"/>
    </row>
    <row r="1058" spans="16:29" x14ac:dyDescent="0.25">
      <c r="P1058" s="78">
        <v>0</v>
      </c>
      <c r="Q1058" s="79">
        <v>0</v>
      </c>
      <c r="R1058" s="77" t="s">
        <v>394</v>
      </c>
      <c r="S1058" s="77">
        <v>7414000005</v>
      </c>
      <c r="AB1058"/>
      <c r="AC1058"/>
    </row>
    <row r="1059" spans="16:29" x14ac:dyDescent="0.25">
      <c r="P1059" s="78">
        <v>0</v>
      </c>
      <c r="Q1059" s="79">
        <v>0</v>
      </c>
      <c r="R1059" s="77" t="s">
        <v>394</v>
      </c>
      <c r="S1059" s="77">
        <v>7414000005</v>
      </c>
      <c r="AB1059"/>
      <c r="AC1059"/>
    </row>
    <row r="1060" spans="16:29" x14ac:dyDescent="0.25">
      <c r="P1060" s="78">
        <v>0</v>
      </c>
      <c r="Q1060" s="79">
        <v>0</v>
      </c>
      <c r="R1060" s="77" t="s">
        <v>394</v>
      </c>
      <c r="S1060" s="77">
        <v>7414000005</v>
      </c>
      <c r="AB1060"/>
      <c r="AC1060"/>
    </row>
    <row r="1061" spans="16:29" x14ac:dyDescent="0.25">
      <c r="P1061" s="78">
        <v>0</v>
      </c>
      <c r="Q1061" s="79">
        <v>0</v>
      </c>
      <c r="R1061" s="77" t="s">
        <v>394</v>
      </c>
      <c r="S1061" s="77">
        <v>7414000005</v>
      </c>
      <c r="AB1061"/>
      <c r="AC1061"/>
    </row>
    <row r="1062" spans="16:29" x14ac:dyDescent="0.25">
      <c r="P1062" s="78">
        <v>0</v>
      </c>
      <c r="Q1062" s="79">
        <v>0</v>
      </c>
      <c r="R1062" s="77" t="s">
        <v>394</v>
      </c>
      <c r="S1062" s="77">
        <v>7414000005</v>
      </c>
      <c r="AB1062"/>
      <c r="AC1062"/>
    </row>
    <row r="1063" spans="16:29" x14ac:dyDescent="0.25">
      <c r="P1063" s="78">
        <v>0</v>
      </c>
      <c r="Q1063" s="79">
        <v>0</v>
      </c>
      <c r="R1063" s="77" t="s">
        <v>394</v>
      </c>
      <c r="S1063" s="77">
        <v>7414000005</v>
      </c>
      <c r="AB1063"/>
      <c r="AC1063"/>
    </row>
    <row r="1064" spans="16:29" x14ac:dyDescent="0.25">
      <c r="P1064" s="78">
        <v>0</v>
      </c>
      <c r="Q1064" s="79">
        <v>0</v>
      </c>
      <c r="R1064" s="77" t="s">
        <v>394</v>
      </c>
      <c r="S1064" s="77">
        <v>7414000005</v>
      </c>
      <c r="AB1064"/>
      <c r="AC1064"/>
    </row>
    <row r="1065" spans="16:29" x14ac:dyDescent="0.25">
      <c r="P1065" s="78">
        <v>0</v>
      </c>
      <c r="Q1065" s="79">
        <v>0</v>
      </c>
      <c r="R1065" s="77" t="s">
        <v>394</v>
      </c>
      <c r="S1065" s="77">
        <v>7414000005</v>
      </c>
      <c r="AB1065"/>
      <c r="AC1065"/>
    </row>
    <row r="1066" spans="16:29" x14ac:dyDescent="0.25">
      <c r="P1066" s="78">
        <v>0</v>
      </c>
      <c r="Q1066" s="79">
        <v>0</v>
      </c>
      <c r="R1066" s="77" t="s">
        <v>394</v>
      </c>
      <c r="S1066" s="77">
        <v>7414000005</v>
      </c>
      <c r="AB1066"/>
      <c r="AC1066"/>
    </row>
    <row r="1067" spans="16:29" x14ac:dyDescent="0.25">
      <c r="P1067" s="78">
        <v>2061</v>
      </c>
      <c r="Q1067" s="79">
        <v>7446.3538410000001</v>
      </c>
      <c r="R1067" s="77" t="s">
        <v>394</v>
      </c>
      <c r="S1067" s="77">
        <v>7414000005</v>
      </c>
      <c r="AB1067"/>
      <c r="AC1067"/>
    </row>
    <row r="1068" spans="16:29" x14ac:dyDescent="0.25">
      <c r="P1068" s="78">
        <v>1741</v>
      </c>
      <c r="Q1068" s="79">
        <v>4900.7844249999998</v>
      </c>
      <c r="R1068" s="77" t="s">
        <v>394</v>
      </c>
      <c r="S1068" s="77">
        <v>7414000005</v>
      </c>
      <c r="AB1068"/>
      <c r="AC1068"/>
    </row>
    <row r="1069" spans="16:29" x14ac:dyDescent="0.25">
      <c r="P1069" s="78">
        <v>20082</v>
      </c>
      <c r="Q1069" s="79">
        <v>72555.884441999995</v>
      </c>
      <c r="R1069" s="77" t="s">
        <v>394</v>
      </c>
      <c r="S1069" s="77">
        <v>7414000005</v>
      </c>
      <c r="AB1069"/>
      <c r="AC1069"/>
    </row>
    <row r="1070" spans="16:29" x14ac:dyDescent="0.25">
      <c r="P1070" s="78">
        <v>38519</v>
      </c>
      <c r="Q1070" s="79">
        <v>5278910.0803659996</v>
      </c>
      <c r="R1070" s="77" t="s">
        <v>394</v>
      </c>
      <c r="S1070" s="77">
        <v>7414000005</v>
      </c>
      <c r="AB1070"/>
      <c r="AC1070"/>
    </row>
    <row r="1071" spans="16:29" x14ac:dyDescent="0.25">
      <c r="P1071" s="78">
        <v>1960672</v>
      </c>
      <c r="Q1071" s="79">
        <v>7129975.8853120003</v>
      </c>
      <c r="R1071" s="77" t="s">
        <v>394</v>
      </c>
      <c r="S1071" s="77">
        <v>7414000005</v>
      </c>
      <c r="AB1071"/>
      <c r="AC1071"/>
    </row>
    <row r="1072" spans="16:29" x14ac:dyDescent="0.25">
      <c r="P1072" s="78">
        <v>10838422</v>
      </c>
      <c r="Q1072" s="79">
        <v>23102139.846687999</v>
      </c>
      <c r="R1072" s="77" t="s">
        <v>394</v>
      </c>
      <c r="S1072" s="77">
        <v>7414000005</v>
      </c>
      <c r="AB1072"/>
      <c r="AC1072"/>
    </row>
    <row r="1073" spans="16:29" x14ac:dyDescent="0.25">
      <c r="P1073" s="78">
        <v>263563</v>
      </c>
      <c r="Q1073" s="79">
        <v>741910.07777500001</v>
      </c>
      <c r="R1073" s="77" t="s">
        <v>394</v>
      </c>
      <c r="S1073" s="77">
        <v>7414000005</v>
      </c>
      <c r="AB1073"/>
      <c r="AC1073"/>
    </row>
    <row r="1074" spans="16:29" x14ac:dyDescent="0.25">
      <c r="P1074" s="78">
        <v>1599852</v>
      </c>
      <c r="Q1074" s="79">
        <v>5780234.8788120002</v>
      </c>
      <c r="R1074" s="77" t="s">
        <v>394</v>
      </c>
      <c r="S1074" s="77">
        <v>7414000005</v>
      </c>
      <c r="AB1074"/>
      <c r="AC1074"/>
    </row>
    <row r="1075" spans="16:29" x14ac:dyDescent="0.25">
      <c r="P1075" s="78">
        <v>252109277</v>
      </c>
      <c r="Q1075" s="79">
        <v>916794377.37339199</v>
      </c>
      <c r="R1075" s="77" t="s">
        <v>394</v>
      </c>
      <c r="S1075" s="77">
        <v>7414000005</v>
      </c>
      <c r="AB1075"/>
      <c r="AC1075"/>
    </row>
    <row r="1076" spans="16:29" x14ac:dyDescent="0.25">
      <c r="P1076" s="78">
        <v>464463</v>
      </c>
      <c r="Q1076" s="79">
        <v>1678095.9942030001</v>
      </c>
      <c r="R1076" s="77" t="s">
        <v>394</v>
      </c>
      <c r="S1076" s="77">
        <v>7414000005</v>
      </c>
      <c r="AB1076"/>
      <c r="AC1076"/>
    </row>
    <row r="1077" spans="16:29" x14ac:dyDescent="0.25">
      <c r="P1077" s="78">
        <v>123442237</v>
      </c>
      <c r="Q1077" s="79">
        <v>263117621.934448</v>
      </c>
      <c r="R1077" s="77" t="s">
        <v>394</v>
      </c>
      <c r="S1077" s="77">
        <v>7414000005</v>
      </c>
      <c r="AB1077"/>
      <c r="AC1077"/>
    </row>
    <row r="1078" spans="16:29" x14ac:dyDescent="0.25">
      <c r="P1078" s="78">
        <v>182031</v>
      </c>
      <c r="Q1078" s="79">
        <v>657674.54441099998</v>
      </c>
      <c r="R1078" s="77" t="s">
        <v>394</v>
      </c>
      <c r="S1078" s="77">
        <v>7414000005</v>
      </c>
      <c r="AB1078"/>
      <c r="AC1078"/>
    </row>
    <row r="1079" spans="16:29" x14ac:dyDescent="0.25">
      <c r="P1079" s="78">
        <v>55059379</v>
      </c>
      <c r="Q1079" s="79">
        <v>154988022.431575</v>
      </c>
      <c r="R1079" s="77" t="s">
        <v>394</v>
      </c>
      <c r="S1079" s="77">
        <v>7414000005</v>
      </c>
      <c r="AB1079"/>
      <c r="AC1079"/>
    </row>
    <row r="1080" spans="16:29" x14ac:dyDescent="0.25">
      <c r="P1080" s="78">
        <v>651583020</v>
      </c>
      <c r="Q1080" s="79">
        <v>2369479045.8979201</v>
      </c>
      <c r="R1080" s="77" t="s">
        <v>394</v>
      </c>
      <c r="S1080" s="77">
        <v>7414000005</v>
      </c>
      <c r="AB1080"/>
      <c r="AC1080"/>
    </row>
    <row r="1081" spans="16:29" x14ac:dyDescent="0.25">
      <c r="P1081" s="78">
        <v>103618</v>
      </c>
      <c r="Q1081" s="79">
        <v>374369.86525799998</v>
      </c>
      <c r="R1081" s="77" t="s">
        <v>394</v>
      </c>
      <c r="S1081" s="77">
        <v>7414000005</v>
      </c>
      <c r="AB1081"/>
      <c r="AC1081"/>
    </row>
    <row r="1082" spans="16:29" x14ac:dyDescent="0.25">
      <c r="P1082" s="78">
        <v>314923089</v>
      </c>
      <c r="Q1082" s="79">
        <v>671259823.89585602</v>
      </c>
      <c r="R1082" s="77" t="s">
        <v>394</v>
      </c>
      <c r="S1082" s="77">
        <v>7414000005</v>
      </c>
      <c r="AB1082"/>
      <c r="AC1082"/>
    </row>
    <row r="1083" spans="16:29" x14ac:dyDescent="0.25">
      <c r="P1083" s="78">
        <v>619170</v>
      </c>
      <c r="Q1083" s="79">
        <v>2237049.4457700001</v>
      </c>
      <c r="R1083" s="77" t="s">
        <v>394</v>
      </c>
      <c r="S1083" s="77">
        <v>7414000005</v>
      </c>
      <c r="AB1083"/>
      <c r="AC1083"/>
    </row>
    <row r="1084" spans="16:29" x14ac:dyDescent="0.25">
      <c r="P1084" s="78">
        <v>140047631</v>
      </c>
      <c r="Q1084" s="79">
        <v>394223577.69267499</v>
      </c>
      <c r="R1084" s="77" t="s">
        <v>394</v>
      </c>
      <c r="S1084" s="77">
        <v>7414000005</v>
      </c>
      <c r="AB1084"/>
      <c r="AC1084"/>
    </row>
    <row r="1085" spans="16:29" x14ac:dyDescent="0.25">
      <c r="P1085" s="78">
        <v>0</v>
      </c>
      <c r="Q1085" s="79">
        <v>0</v>
      </c>
      <c r="R1085" s="77" t="s">
        <v>394</v>
      </c>
      <c r="S1085" s="77">
        <v>7414000005</v>
      </c>
      <c r="AB1085"/>
      <c r="AC1085"/>
    </row>
    <row r="1086" spans="16:29" x14ac:dyDescent="0.25">
      <c r="P1086" s="78">
        <v>364499</v>
      </c>
      <c r="Q1086" s="79">
        <v>1316927.9615189999</v>
      </c>
      <c r="R1086" s="77" t="s">
        <v>394</v>
      </c>
      <c r="S1086" s="77">
        <v>7414000005</v>
      </c>
      <c r="AB1086"/>
      <c r="AC1086"/>
    </row>
    <row r="1087" spans="16:29" x14ac:dyDescent="0.25">
      <c r="P1087" s="78">
        <v>277356</v>
      </c>
      <c r="Q1087" s="79">
        <v>942115.09483199997</v>
      </c>
      <c r="R1087" s="77" t="s">
        <v>394</v>
      </c>
      <c r="S1087" s="77">
        <v>7414000005</v>
      </c>
      <c r="AB1087"/>
      <c r="AC1087"/>
    </row>
    <row r="1088" spans="16:29" x14ac:dyDescent="0.25">
      <c r="P1088" s="78">
        <v>20088</v>
      </c>
      <c r="Q1088" s="79">
        <v>78006.404592000006</v>
      </c>
      <c r="R1088" s="77" t="s">
        <v>394</v>
      </c>
      <c r="S1088" s="77">
        <v>7414000005</v>
      </c>
      <c r="AB1088"/>
      <c r="AC1088"/>
    </row>
    <row r="1089" spans="16:29" x14ac:dyDescent="0.25">
      <c r="P1089" s="78">
        <v>1844</v>
      </c>
      <c r="Q1089" s="79">
        <v>6662.3369640000001</v>
      </c>
      <c r="R1089" s="77" t="s">
        <v>394</v>
      </c>
      <c r="S1089" s="77">
        <v>7414000005</v>
      </c>
      <c r="AB1089"/>
      <c r="AC1089"/>
    </row>
    <row r="1090" spans="16:29" x14ac:dyDescent="0.25">
      <c r="P1090" s="78">
        <v>4583</v>
      </c>
      <c r="Q1090" s="79">
        <v>628086.00686199998</v>
      </c>
      <c r="R1090" s="77" t="s">
        <v>394</v>
      </c>
      <c r="S1090" s="77">
        <v>7414000005</v>
      </c>
      <c r="AB1090"/>
      <c r="AC1090"/>
    </row>
    <row r="1091" spans="16:29" x14ac:dyDescent="0.25">
      <c r="P1091" s="78">
        <v>315137</v>
      </c>
      <c r="Q1091" s="79">
        <v>1145994.439952</v>
      </c>
      <c r="R1091" s="77" t="s">
        <v>394</v>
      </c>
      <c r="S1091" s="77">
        <v>7414000005</v>
      </c>
      <c r="AB1091"/>
      <c r="AC1091"/>
    </row>
    <row r="1092" spans="16:29" x14ac:dyDescent="0.25">
      <c r="P1092" s="78">
        <v>144</v>
      </c>
      <c r="Q1092" s="79">
        <v>306.936576</v>
      </c>
      <c r="R1092" s="77" t="s">
        <v>394</v>
      </c>
      <c r="S1092" s="77">
        <v>7414000005</v>
      </c>
      <c r="AB1092"/>
      <c r="AC1092"/>
    </row>
    <row r="1093" spans="16:29" x14ac:dyDescent="0.25">
      <c r="P1093" s="78">
        <v>37927</v>
      </c>
      <c r="Q1093" s="79">
        <v>106761.660475</v>
      </c>
      <c r="R1093" s="77" t="s">
        <v>394</v>
      </c>
      <c r="S1093" s="77">
        <v>7414000005</v>
      </c>
      <c r="AB1093"/>
      <c r="AC1093"/>
    </row>
    <row r="1094" spans="16:29" x14ac:dyDescent="0.25">
      <c r="P1094" s="78">
        <v>2269</v>
      </c>
      <c r="Q1094" s="79">
        <v>8197.853889</v>
      </c>
      <c r="R1094" s="77" t="s">
        <v>394</v>
      </c>
      <c r="S1094" s="77">
        <v>7414000005</v>
      </c>
      <c r="AB1094"/>
      <c r="AC1094"/>
    </row>
    <row r="1095" spans="16:29" x14ac:dyDescent="0.25">
      <c r="P1095" s="78">
        <v>11840</v>
      </c>
      <c r="Q1095" s="79">
        <v>1622635.4617600001</v>
      </c>
      <c r="R1095" s="77" t="s">
        <v>394</v>
      </c>
      <c r="S1095" s="77">
        <v>7414000005</v>
      </c>
      <c r="AB1095"/>
      <c r="AC1095"/>
    </row>
    <row r="1096" spans="16:29" x14ac:dyDescent="0.25">
      <c r="P1096" s="78">
        <v>713424</v>
      </c>
      <c r="Q1096" s="79">
        <v>2594363.5223039999</v>
      </c>
      <c r="R1096" s="77" t="s">
        <v>394</v>
      </c>
      <c r="S1096" s="77">
        <v>7414000005</v>
      </c>
      <c r="AB1096"/>
      <c r="AC1096"/>
    </row>
    <row r="1097" spans="16:29" x14ac:dyDescent="0.25">
      <c r="P1097" s="78">
        <v>415</v>
      </c>
      <c r="Q1097" s="79">
        <v>884.57416000000001</v>
      </c>
      <c r="R1097" s="77" t="s">
        <v>394</v>
      </c>
      <c r="S1097" s="77">
        <v>7414000005</v>
      </c>
      <c r="AB1097"/>
      <c r="AC1097"/>
    </row>
    <row r="1098" spans="16:29" x14ac:dyDescent="0.25">
      <c r="P1098" s="78">
        <v>77178</v>
      </c>
      <c r="Q1098" s="79">
        <v>217250.28164999999</v>
      </c>
      <c r="R1098" s="77" t="s">
        <v>394</v>
      </c>
      <c r="S1098" s="77">
        <v>7414000005</v>
      </c>
      <c r="AB1098"/>
      <c r="AC1098"/>
    </row>
    <row r="1099" spans="16:29" x14ac:dyDescent="0.25">
      <c r="P1099" s="78">
        <v>5347049</v>
      </c>
      <c r="Q1099" s="79">
        <v>18162706.325828001</v>
      </c>
      <c r="R1099" s="77" t="s">
        <v>394</v>
      </c>
      <c r="S1099" s="77">
        <v>7414000005</v>
      </c>
      <c r="AB1099"/>
      <c r="AC1099"/>
    </row>
    <row r="1100" spans="16:29" x14ac:dyDescent="0.25">
      <c r="P1100" s="78">
        <v>1365476</v>
      </c>
      <c r="Q1100" s="79">
        <v>5302462.829384</v>
      </c>
      <c r="R1100" s="77" t="s">
        <v>394</v>
      </c>
      <c r="S1100" s="77">
        <v>7414000005</v>
      </c>
      <c r="AB1100"/>
      <c r="AC1100"/>
    </row>
    <row r="1101" spans="16:29" x14ac:dyDescent="0.25">
      <c r="P1101" s="78">
        <v>4145611</v>
      </c>
      <c r="Q1101" s="79">
        <v>11470416.454902001</v>
      </c>
      <c r="R1101" s="77" t="s">
        <v>394</v>
      </c>
      <c r="S1101" s="77">
        <v>7414000005</v>
      </c>
      <c r="AB1101"/>
      <c r="AC1101"/>
    </row>
    <row r="1102" spans="16:29" x14ac:dyDescent="0.25">
      <c r="P1102" s="78">
        <v>0</v>
      </c>
      <c r="Q1102" s="79">
        <v>0</v>
      </c>
      <c r="R1102" s="77" t="s">
        <v>394</v>
      </c>
      <c r="S1102" s="77">
        <v>7414000005</v>
      </c>
      <c r="AB1102"/>
      <c r="AC1102"/>
    </row>
    <row r="1103" spans="16:29" x14ac:dyDescent="0.25">
      <c r="P1103" s="78">
        <v>6734701</v>
      </c>
      <c r="Q1103" s="79">
        <v>22901377.689304002</v>
      </c>
      <c r="R1103" s="77" t="s">
        <v>394</v>
      </c>
      <c r="S1103" s="77">
        <v>7414000005</v>
      </c>
      <c r="AB1103"/>
      <c r="AC1103"/>
    </row>
    <row r="1104" spans="16:29" x14ac:dyDescent="0.25">
      <c r="P1104" s="78">
        <v>0</v>
      </c>
      <c r="Q1104" s="79">
        <v>0</v>
      </c>
      <c r="R1104" s="77" t="s">
        <v>394</v>
      </c>
      <c r="S1104" s="77">
        <v>7414000005</v>
      </c>
      <c r="AB1104"/>
      <c r="AC1104"/>
    </row>
    <row r="1105" spans="16:29" x14ac:dyDescent="0.25">
      <c r="P1105" s="78">
        <v>0</v>
      </c>
      <c r="Q1105" s="79">
        <v>0</v>
      </c>
      <c r="R1105" s="77" t="s">
        <v>394</v>
      </c>
      <c r="S1105" s="77">
        <v>7414000005</v>
      </c>
      <c r="AB1105"/>
      <c r="AC1105"/>
    </row>
    <row r="1106" spans="16:29" x14ac:dyDescent="0.25">
      <c r="P1106" s="78">
        <v>0</v>
      </c>
      <c r="Q1106" s="79">
        <v>0</v>
      </c>
      <c r="R1106" s="77" t="s">
        <v>394</v>
      </c>
      <c r="S1106" s="77">
        <v>7414000005</v>
      </c>
      <c r="AB1106"/>
      <c r="AC1106"/>
    </row>
    <row r="1107" spans="16:29" x14ac:dyDescent="0.25">
      <c r="P1107" s="78">
        <v>125</v>
      </c>
      <c r="Q1107" s="79">
        <v>437.32162499999998</v>
      </c>
      <c r="R1107" s="77" t="s">
        <v>394</v>
      </c>
      <c r="S1107" s="77">
        <v>7414000005</v>
      </c>
      <c r="AB1107"/>
      <c r="AC1107"/>
    </row>
    <row r="1108" spans="16:29" x14ac:dyDescent="0.25">
      <c r="P1108" s="78">
        <v>4564664</v>
      </c>
      <c r="Q1108" s="79">
        <v>15505122.864607999</v>
      </c>
      <c r="R1108" s="77" t="s">
        <v>394</v>
      </c>
      <c r="S1108" s="77">
        <v>7414000005</v>
      </c>
      <c r="AB1108"/>
      <c r="AC1108"/>
    </row>
    <row r="1109" spans="16:29" x14ac:dyDescent="0.25">
      <c r="P1109" s="78">
        <v>4515059</v>
      </c>
      <c r="Q1109" s="79">
        <v>16110805.096042</v>
      </c>
      <c r="R1109" s="77" t="s">
        <v>394</v>
      </c>
      <c r="S1109" s="77">
        <v>7414000005</v>
      </c>
      <c r="AB1109"/>
      <c r="AC1109"/>
    </row>
    <row r="1110" spans="16:29" x14ac:dyDescent="0.25">
      <c r="P1110" s="78">
        <v>2428</v>
      </c>
      <c r="Q1110" s="79">
        <v>8247.3624159999999</v>
      </c>
      <c r="R1110" s="77" t="s">
        <v>394</v>
      </c>
      <c r="S1110" s="77">
        <v>7414000005</v>
      </c>
      <c r="AB1110"/>
      <c r="AC1110"/>
    </row>
    <row r="1111" spans="16:29" x14ac:dyDescent="0.25">
      <c r="P1111" s="78">
        <v>45836</v>
      </c>
      <c r="Q1111" s="79">
        <v>6239557.1868279995</v>
      </c>
      <c r="R1111" s="77" t="s">
        <v>394</v>
      </c>
      <c r="S1111" s="77">
        <v>7414000005</v>
      </c>
      <c r="AB1111"/>
      <c r="AC1111"/>
    </row>
    <row r="1112" spans="16:29" x14ac:dyDescent="0.25">
      <c r="P1112" s="78">
        <v>16768</v>
      </c>
      <c r="Q1112" s="79">
        <v>56957.072895999998</v>
      </c>
      <c r="R1112" s="77" t="s">
        <v>394</v>
      </c>
      <c r="S1112" s="77">
        <v>7414000005</v>
      </c>
      <c r="AB1112"/>
      <c r="AC1112"/>
    </row>
    <row r="1113" spans="16:29" x14ac:dyDescent="0.25">
      <c r="P1113" s="78">
        <v>7621745</v>
      </c>
      <c r="Q1113" s="79">
        <v>27546122.070005</v>
      </c>
      <c r="R1113" s="77" t="s">
        <v>394</v>
      </c>
      <c r="S1113" s="77">
        <v>7414000005</v>
      </c>
      <c r="AB1113"/>
      <c r="AC1113"/>
    </row>
    <row r="1114" spans="16:29" x14ac:dyDescent="0.25">
      <c r="P1114" s="78">
        <v>10044</v>
      </c>
      <c r="Q1114" s="79">
        <v>34117.177968000004</v>
      </c>
      <c r="R1114" s="77" t="s">
        <v>394</v>
      </c>
      <c r="S1114" s="77">
        <v>7414000005</v>
      </c>
      <c r="AB1114"/>
      <c r="AC1114"/>
    </row>
    <row r="1115" spans="16:29" x14ac:dyDescent="0.25">
      <c r="P1115" s="78">
        <v>3708375</v>
      </c>
      <c r="Q1115" s="79">
        <v>7813316.2057499997</v>
      </c>
      <c r="R1115" s="77" t="s">
        <v>394</v>
      </c>
      <c r="S1115" s="77">
        <v>7414000005</v>
      </c>
      <c r="T1115" s="11"/>
      <c r="AB1115"/>
      <c r="AC1115"/>
    </row>
    <row r="1116" spans="16:29" x14ac:dyDescent="0.25">
      <c r="P1116" s="78">
        <v>76238</v>
      </c>
      <c r="Q1116" s="79">
        <v>258963.10373599999</v>
      </c>
      <c r="R1116" s="77" t="s">
        <v>394</v>
      </c>
      <c r="S1116" s="77">
        <v>7414000005</v>
      </c>
      <c r="AB1116"/>
      <c r="AC1116"/>
    </row>
    <row r="1117" spans="16:29" x14ac:dyDescent="0.25">
      <c r="P1117" s="78">
        <v>22007941</v>
      </c>
      <c r="Q1117" s="79">
        <v>61275059.530725002</v>
      </c>
      <c r="R1117" s="77" t="s">
        <v>394</v>
      </c>
      <c r="S1117" s="77">
        <v>7414000005</v>
      </c>
      <c r="AB1117"/>
      <c r="AC1117"/>
    </row>
    <row r="1118" spans="16:29" x14ac:dyDescent="0.25">
      <c r="P1118" s="78">
        <v>30</v>
      </c>
      <c r="Q1118" s="79">
        <v>53437.14</v>
      </c>
      <c r="R1118" s="77" t="s">
        <v>394</v>
      </c>
      <c r="S1118" s="77">
        <v>7414000005</v>
      </c>
      <c r="AB1118"/>
      <c r="AC1118"/>
    </row>
    <row r="1119" spans="16:29" x14ac:dyDescent="0.25">
      <c r="P1119" s="78">
        <v>33600</v>
      </c>
      <c r="Q1119" s="79">
        <v>154051.8316</v>
      </c>
      <c r="R1119" s="77" t="s">
        <v>394</v>
      </c>
      <c r="S1119" s="77">
        <v>7414000005</v>
      </c>
      <c r="AB1119"/>
      <c r="AC1119"/>
    </row>
    <row r="1120" spans="16:29" x14ac:dyDescent="0.25">
      <c r="P1120" s="78">
        <v>97953</v>
      </c>
      <c r="Q1120" s="79">
        <v>332724.00771600002</v>
      </c>
      <c r="R1120" s="77" t="s">
        <v>394</v>
      </c>
      <c r="S1120" s="77">
        <v>7414000005</v>
      </c>
      <c r="AB1120"/>
      <c r="AC1120"/>
    </row>
    <row r="1121" spans="16:29" x14ac:dyDescent="0.25">
      <c r="P1121" s="78">
        <v>275534</v>
      </c>
      <c r="Q1121" s="79">
        <v>762370.06498799997</v>
      </c>
      <c r="R1121" s="77" t="s">
        <v>394</v>
      </c>
      <c r="S1121" s="77">
        <v>7414000005</v>
      </c>
      <c r="AB1121"/>
      <c r="AC1121"/>
    </row>
    <row r="1122" spans="16:29" x14ac:dyDescent="0.25">
      <c r="P1122" s="78">
        <v>540</v>
      </c>
      <c r="Q1122" s="79">
        <v>964710</v>
      </c>
      <c r="R1122" s="77" t="s">
        <v>394</v>
      </c>
      <c r="S1122" s="77">
        <v>7414000005</v>
      </c>
      <c r="AB1122"/>
      <c r="AC1122"/>
    </row>
    <row r="1123" spans="16:29" x14ac:dyDescent="0.25">
      <c r="P1123" s="78">
        <v>0</v>
      </c>
      <c r="Q1123" s="79">
        <v>0</v>
      </c>
      <c r="R1123" s="77" t="s">
        <v>394</v>
      </c>
      <c r="S1123" s="77">
        <v>7414000005</v>
      </c>
      <c r="AB1123"/>
      <c r="AC1123"/>
    </row>
    <row r="1124" spans="16:29" x14ac:dyDescent="0.25">
      <c r="P1124" s="78">
        <v>630000</v>
      </c>
      <c r="Q1124" s="79">
        <v>2888471.88</v>
      </c>
      <c r="R1124" s="77" t="s">
        <v>394</v>
      </c>
      <c r="S1124" s="77">
        <v>7414000005</v>
      </c>
      <c r="AB1124"/>
      <c r="AC1124"/>
    </row>
    <row r="1125" spans="16:29" x14ac:dyDescent="0.25">
      <c r="P1125" s="78">
        <v>2936052</v>
      </c>
      <c r="Q1125" s="79">
        <v>9973099.2241440006</v>
      </c>
      <c r="R1125" s="77" t="s">
        <v>394</v>
      </c>
      <c r="S1125" s="77">
        <v>7414000005</v>
      </c>
      <c r="AB1125"/>
      <c r="AC1125"/>
    </row>
    <row r="1126" spans="16:29" x14ac:dyDescent="0.25">
      <c r="P1126" s="78">
        <v>4048811</v>
      </c>
      <c r="Q1126" s="79">
        <v>11202582.277302001</v>
      </c>
      <c r="R1126" s="77" t="s">
        <v>394</v>
      </c>
      <c r="S1126" s="77">
        <v>7414000005</v>
      </c>
      <c r="AB1126"/>
      <c r="AC1126"/>
    </row>
    <row r="1127" spans="16:29" x14ac:dyDescent="0.25">
      <c r="P1127" s="78">
        <v>6680</v>
      </c>
      <c r="Q1127" s="79">
        <v>23370.467639999999</v>
      </c>
      <c r="R1127" s="77" t="s">
        <v>394</v>
      </c>
      <c r="S1127" s="77">
        <v>7414000005</v>
      </c>
      <c r="AB1127"/>
      <c r="AC1127"/>
    </row>
    <row r="1128" spans="16:29" x14ac:dyDescent="0.25">
      <c r="P1128" s="78">
        <v>1262506</v>
      </c>
      <c r="Q1128" s="79">
        <v>4504921.8844280001</v>
      </c>
      <c r="R1128" s="77" t="s">
        <v>394</v>
      </c>
      <c r="S1128" s="77">
        <v>7414000005</v>
      </c>
      <c r="AB1128"/>
      <c r="AC1128"/>
    </row>
    <row r="1129" spans="16:29" x14ac:dyDescent="0.25">
      <c r="P1129" s="78">
        <v>1084620</v>
      </c>
      <c r="Q1129" s="79">
        <v>3870182.2995600002</v>
      </c>
      <c r="R1129" s="77" t="s">
        <v>394</v>
      </c>
      <c r="S1129" s="77">
        <v>7414000005</v>
      </c>
      <c r="AB1129"/>
      <c r="AC1129"/>
    </row>
    <row r="1130" spans="16:29" x14ac:dyDescent="0.25">
      <c r="P1130" s="78">
        <v>42</v>
      </c>
      <c r="Q1130" s="79">
        <v>149.865996</v>
      </c>
      <c r="R1130" s="77" t="s">
        <v>394</v>
      </c>
      <c r="S1130" s="77">
        <v>7414000005</v>
      </c>
      <c r="AB1130"/>
      <c r="AC1130"/>
    </row>
    <row r="1131" spans="16:29" x14ac:dyDescent="0.25">
      <c r="P1131" s="78">
        <v>1403655</v>
      </c>
      <c r="Q1131" s="79">
        <v>4910789.4843149995</v>
      </c>
      <c r="R1131" s="77" t="s">
        <v>394</v>
      </c>
      <c r="S1131" s="77">
        <v>7414000005</v>
      </c>
      <c r="AB1131"/>
      <c r="AC1131"/>
    </row>
    <row r="1132" spans="16:29" x14ac:dyDescent="0.25">
      <c r="P1132" s="78">
        <v>470</v>
      </c>
      <c r="Q1132" s="79">
        <v>839655</v>
      </c>
      <c r="R1132" s="77" t="s">
        <v>394</v>
      </c>
      <c r="S1132" s="77">
        <v>7414000005</v>
      </c>
      <c r="AB1132"/>
      <c r="AC1132"/>
    </row>
    <row r="1133" spans="16:29" x14ac:dyDescent="0.25">
      <c r="P1133" s="78">
        <v>47898</v>
      </c>
      <c r="Q1133" s="79">
        <v>2325898.7638739999</v>
      </c>
      <c r="R1133" s="77" t="s">
        <v>394</v>
      </c>
      <c r="S1133" s="77">
        <v>7414000005</v>
      </c>
      <c r="AB1133"/>
      <c r="AC1133"/>
    </row>
    <row r="1134" spans="16:29" x14ac:dyDescent="0.25">
      <c r="P1134" s="78">
        <v>399680</v>
      </c>
      <c r="Q1134" s="79">
        <v>1832483.2396800001</v>
      </c>
      <c r="R1134" s="77" t="s">
        <v>394</v>
      </c>
      <c r="S1134" s="77">
        <v>7414000005</v>
      </c>
      <c r="AB1134"/>
      <c r="AC1134"/>
    </row>
    <row r="1135" spans="16:29" x14ac:dyDescent="0.25">
      <c r="P1135" s="78">
        <v>637286</v>
      </c>
      <c r="Q1135" s="79">
        <v>2248417.0213179998</v>
      </c>
      <c r="R1135" s="77" t="s">
        <v>394</v>
      </c>
      <c r="S1135" s="77">
        <v>7414000005</v>
      </c>
      <c r="AB1135"/>
      <c r="AC1135"/>
    </row>
    <row r="1136" spans="16:29" x14ac:dyDescent="0.25">
      <c r="P1136" s="78">
        <v>79736</v>
      </c>
      <c r="Q1136" s="79">
        <v>270845.01219199999</v>
      </c>
      <c r="R1136" s="77" t="s">
        <v>394</v>
      </c>
      <c r="S1136" s="77">
        <v>7414000005</v>
      </c>
      <c r="AB1136"/>
      <c r="AC1136"/>
    </row>
    <row r="1137" spans="16:29" x14ac:dyDescent="0.25">
      <c r="P1137" s="78">
        <v>4313721</v>
      </c>
      <c r="Q1137" s="79">
        <v>15392383.193598</v>
      </c>
      <c r="R1137" s="77" t="s">
        <v>394</v>
      </c>
      <c r="S1137" s="77">
        <v>7414000005</v>
      </c>
      <c r="AB1137"/>
      <c r="AC1137"/>
    </row>
    <row r="1138" spans="16:29" x14ac:dyDescent="0.25">
      <c r="P1138" s="78">
        <v>637008</v>
      </c>
      <c r="Q1138" s="79">
        <v>2272996.151904</v>
      </c>
      <c r="R1138" s="77" t="s">
        <v>394</v>
      </c>
      <c r="S1138" s="77">
        <v>7414000005</v>
      </c>
      <c r="AB1138"/>
      <c r="AC1138"/>
    </row>
    <row r="1139" spans="16:29" x14ac:dyDescent="0.25">
      <c r="P1139" s="78">
        <v>3422200</v>
      </c>
      <c r="Q1139" s="79">
        <v>12211224.0836</v>
      </c>
      <c r="R1139" s="77" t="s">
        <v>394</v>
      </c>
      <c r="S1139" s="77">
        <v>7414000005</v>
      </c>
      <c r="AB1139"/>
      <c r="AC1139"/>
    </row>
    <row r="1140" spans="16:29" x14ac:dyDescent="0.25">
      <c r="P1140" s="78">
        <v>850</v>
      </c>
      <c r="Q1140" s="79">
        <v>1517648</v>
      </c>
      <c r="R1140" s="77" t="s">
        <v>394</v>
      </c>
      <c r="S1140" s="77">
        <v>7414000005</v>
      </c>
      <c r="AB1140"/>
      <c r="AC1140"/>
    </row>
    <row r="1141" spans="16:29" x14ac:dyDescent="0.25">
      <c r="P1141" s="78">
        <v>1010000</v>
      </c>
      <c r="Q1141" s="79">
        <v>4630724.76</v>
      </c>
      <c r="R1141" s="77" t="s">
        <v>394</v>
      </c>
      <c r="S1141" s="77">
        <v>7414000005</v>
      </c>
      <c r="AB1141"/>
      <c r="AC1141"/>
    </row>
    <row r="1142" spans="16:29" x14ac:dyDescent="0.25">
      <c r="P1142" s="78">
        <v>4488918</v>
      </c>
      <c r="Q1142" s="79">
        <v>15247830.972696001</v>
      </c>
      <c r="R1142" s="77" t="s">
        <v>394</v>
      </c>
      <c r="S1142" s="77">
        <v>7414000005</v>
      </c>
      <c r="AB1142"/>
      <c r="AC1142"/>
    </row>
    <row r="1143" spans="16:29" x14ac:dyDescent="0.25">
      <c r="P1143" s="78">
        <v>6664683</v>
      </c>
      <c r="Q1143" s="79">
        <v>18440391.428406</v>
      </c>
      <c r="R1143" s="77" t="s">
        <v>394</v>
      </c>
      <c r="S1143" s="77">
        <v>7414000005</v>
      </c>
      <c r="AB1143"/>
      <c r="AC1143"/>
    </row>
    <row r="1144" spans="16:29" x14ac:dyDescent="0.25">
      <c r="P1144" s="78">
        <v>5200</v>
      </c>
      <c r="Q1144" s="79">
        <v>876928</v>
      </c>
      <c r="R1144" s="77" t="s">
        <v>394</v>
      </c>
      <c r="S1144" s="77">
        <v>7414000005</v>
      </c>
      <c r="AB1144"/>
      <c r="AC1144"/>
    </row>
    <row r="1145" spans="16:29" x14ac:dyDescent="0.25">
      <c r="P1145" s="78">
        <v>16400</v>
      </c>
      <c r="Q1145" s="79">
        <v>194504</v>
      </c>
      <c r="R1145" s="77" t="s">
        <v>394</v>
      </c>
      <c r="S1145" s="77">
        <v>7414000005</v>
      </c>
      <c r="AB1145"/>
      <c r="AC1145"/>
    </row>
    <row r="1146" spans="16:29" x14ac:dyDescent="0.25">
      <c r="P1146" s="78">
        <v>13600</v>
      </c>
      <c r="Q1146" s="79">
        <v>997832</v>
      </c>
      <c r="R1146" s="77" t="s">
        <v>394</v>
      </c>
      <c r="S1146" s="77">
        <v>7414000005</v>
      </c>
      <c r="AB1146"/>
      <c r="AC1146"/>
    </row>
    <row r="1147" spans="16:29" x14ac:dyDescent="0.25">
      <c r="P1147" s="78">
        <v>214600</v>
      </c>
      <c r="Q1147" s="79">
        <v>3244752</v>
      </c>
      <c r="R1147" s="77" t="s">
        <v>394</v>
      </c>
      <c r="S1147" s="77">
        <v>7414000005</v>
      </c>
      <c r="AB1147"/>
      <c r="AC1147"/>
    </row>
    <row r="1148" spans="16:29" x14ac:dyDescent="0.25">
      <c r="P1148" s="78">
        <v>4100</v>
      </c>
      <c r="Q1148" s="79">
        <v>2152869</v>
      </c>
      <c r="R1148" s="77" t="s">
        <v>394</v>
      </c>
      <c r="S1148" s="77">
        <v>7414000005</v>
      </c>
      <c r="AB1148"/>
      <c r="AC1148"/>
    </row>
    <row r="1149" spans="16:29" x14ac:dyDescent="0.25">
      <c r="P1149" s="78">
        <v>9400</v>
      </c>
      <c r="Q1149" s="79">
        <v>641550</v>
      </c>
      <c r="R1149" s="77" t="s">
        <v>394</v>
      </c>
      <c r="S1149" s="77">
        <v>7414000005</v>
      </c>
      <c r="AB1149"/>
      <c r="AC1149"/>
    </row>
    <row r="1150" spans="16:29" x14ac:dyDescent="0.25">
      <c r="P1150" s="78">
        <v>262700</v>
      </c>
      <c r="Q1150" s="79">
        <v>3764491</v>
      </c>
      <c r="R1150" s="77" t="s">
        <v>394</v>
      </c>
      <c r="S1150" s="77">
        <v>7414000005</v>
      </c>
      <c r="AB1150"/>
      <c r="AC1150"/>
    </row>
    <row r="1151" spans="16:29" x14ac:dyDescent="0.25">
      <c r="P1151" s="78">
        <v>5000000</v>
      </c>
      <c r="Q1151" s="79">
        <v>48070760</v>
      </c>
      <c r="R1151" s="77" t="s">
        <v>394</v>
      </c>
      <c r="S1151" s="77">
        <v>7414000005</v>
      </c>
      <c r="AB1151"/>
      <c r="AC1151"/>
    </row>
    <row r="1152" spans="16:29" x14ac:dyDescent="0.25">
      <c r="P1152" s="78">
        <v>127633</v>
      </c>
      <c r="Q1152" s="79">
        <v>1211695.117204</v>
      </c>
      <c r="R1152" s="77" t="s">
        <v>394</v>
      </c>
      <c r="S1152" s="77">
        <v>7414000005</v>
      </c>
      <c r="AB1152"/>
      <c r="AC1152"/>
    </row>
    <row r="1153" spans="16:29" x14ac:dyDescent="0.25">
      <c r="P1153" s="78">
        <v>636949</v>
      </c>
      <c r="Q1153" s="79">
        <v>5947933.5846870001</v>
      </c>
      <c r="R1153" s="77" t="s">
        <v>394</v>
      </c>
      <c r="S1153" s="77">
        <v>7414000005</v>
      </c>
      <c r="AB1153"/>
      <c r="AC1153"/>
    </row>
    <row r="1154" spans="16:29" x14ac:dyDescent="0.25">
      <c r="P1154" s="78">
        <v>659930</v>
      </c>
      <c r="Q1154" s="79">
        <v>6064847.1104100002</v>
      </c>
      <c r="R1154" s="77" t="s">
        <v>394</v>
      </c>
      <c r="S1154" s="77">
        <v>7414000005</v>
      </c>
      <c r="AB1154"/>
      <c r="AC1154"/>
    </row>
    <row r="1155" spans="16:29" x14ac:dyDescent="0.25">
      <c r="P1155" s="78">
        <v>182530</v>
      </c>
      <c r="Q1155" s="79">
        <v>1644823.0974399999</v>
      </c>
      <c r="R1155" s="77" t="s">
        <v>394</v>
      </c>
      <c r="S1155" s="77">
        <v>7414000005</v>
      </c>
      <c r="AB1155"/>
      <c r="AC1155"/>
    </row>
    <row r="1156" spans="16:29" x14ac:dyDescent="0.25">
      <c r="P1156" s="78">
        <v>347450</v>
      </c>
      <c r="Q1156" s="79">
        <v>2869264.6842499999</v>
      </c>
      <c r="R1156" s="77" t="s">
        <v>394</v>
      </c>
      <c r="S1156" s="77">
        <v>7414000005</v>
      </c>
      <c r="AB1156"/>
      <c r="AC1156"/>
    </row>
    <row r="1157" spans="16:29" x14ac:dyDescent="0.25">
      <c r="P1157" s="78">
        <v>19600</v>
      </c>
      <c r="Q1157" s="79">
        <v>4073076</v>
      </c>
      <c r="R1157" s="77" t="s">
        <v>394</v>
      </c>
      <c r="S1157" s="77">
        <v>7414000005</v>
      </c>
      <c r="AB1157"/>
      <c r="AC1157"/>
    </row>
    <row r="1158" spans="16:29" x14ac:dyDescent="0.25">
      <c r="P1158" s="78">
        <v>1700</v>
      </c>
      <c r="Q1158" s="79">
        <v>462298</v>
      </c>
      <c r="R1158" s="77" t="s">
        <v>394</v>
      </c>
      <c r="S1158" s="77">
        <v>7414000005</v>
      </c>
      <c r="AB1158"/>
      <c r="AC1158"/>
    </row>
    <row r="1159" spans="16:29" x14ac:dyDescent="0.25">
      <c r="P1159" s="78">
        <v>6500</v>
      </c>
      <c r="Q1159" s="79">
        <v>1255475</v>
      </c>
      <c r="R1159" s="77" t="s">
        <v>394</v>
      </c>
      <c r="S1159" s="77">
        <v>7414000005</v>
      </c>
      <c r="AB1159"/>
      <c r="AC1159"/>
    </row>
    <row r="1160" spans="16:29" x14ac:dyDescent="0.25">
      <c r="P1160" s="78">
        <v>46900</v>
      </c>
      <c r="Q1160" s="79">
        <v>1271928</v>
      </c>
      <c r="R1160" s="77" t="s">
        <v>394</v>
      </c>
      <c r="S1160" s="77">
        <v>7414000005</v>
      </c>
      <c r="AB1160"/>
      <c r="AC1160"/>
    </row>
    <row r="1161" spans="16:29" x14ac:dyDescent="0.25">
      <c r="P1161" s="78">
        <v>30800</v>
      </c>
      <c r="Q1161" s="79">
        <v>5434352</v>
      </c>
      <c r="R1161" s="77" t="s">
        <v>394</v>
      </c>
      <c r="S1161" s="77">
        <v>7414000005</v>
      </c>
      <c r="AB1161"/>
      <c r="AC1161"/>
    </row>
    <row r="1162" spans="16:29" x14ac:dyDescent="0.25">
      <c r="P1162" s="78">
        <v>36700</v>
      </c>
      <c r="Q1162" s="79">
        <v>3821204</v>
      </c>
      <c r="R1162" s="77" t="s">
        <v>394</v>
      </c>
      <c r="S1162" s="77">
        <v>7414000005</v>
      </c>
      <c r="AB1162"/>
      <c r="AC1162"/>
    </row>
    <row r="1163" spans="16:29" x14ac:dyDescent="0.25">
      <c r="P1163" s="78">
        <v>3300</v>
      </c>
      <c r="Q1163" s="79">
        <v>1037586</v>
      </c>
      <c r="R1163" s="77" t="s">
        <v>394</v>
      </c>
      <c r="S1163" s="77">
        <v>7414000005</v>
      </c>
      <c r="AB1163"/>
      <c r="AC1163"/>
    </row>
    <row r="1164" spans="16:29" x14ac:dyDescent="0.25">
      <c r="P1164" s="78">
        <v>20190</v>
      </c>
      <c r="Q1164" s="79">
        <v>885331.5</v>
      </c>
      <c r="R1164" s="77" t="s">
        <v>394</v>
      </c>
      <c r="S1164" s="77">
        <v>7414000005</v>
      </c>
      <c r="AB1164"/>
      <c r="AC1164"/>
    </row>
    <row r="1165" spans="16:29" x14ac:dyDescent="0.25">
      <c r="P1165" s="78">
        <v>0</v>
      </c>
      <c r="Q1165" s="79">
        <v>0</v>
      </c>
      <c r="R1165" s="77" t="s">
        <v>394</v>
      </c>
      <c r="S1165" s="77">
        <v>7414000005</v>
      </c>
      <c r="AB1165"/>
      <c r="AC1165"/>
    </row>
    <row r="1166" spans="16:29" x14ac:dyDescent="0.25">
      <c r="P1166" s="78">
        <v>24200</v>
      </c>
      <c r="Q1166" s="79">
        <v>877976</v>
      </c>
      <c r="R1166" s="77" t="s">
        <v>394</v>
      </c>
      <c r="S1166" s="77">
        <v>7414000005</v>
      </c>
      <c r="AB1166"/>
      <c r="AC1166"/>
    </row>
    <row r="1167" spans="16:29" x14ac:dyDescent="0.25">
      <c r="P1167" s="78">
        <v>3300</v>
      </c>
      <c r="Q1167" s="79">
        <v>449955</v>
      </c>
      <c r="R1167" s="77" t="s">
        <v>394</v>
      </c>
      <c r="S1167" s="77">
        <v>7414000005</v>
      </c>
      <c r="AB1167"/>
      <c r="AC1167"/>
    </row>
    <row r="1168" spans="16:29" x14ac:dyDescent="0.25">
      <c r="P1168" s="78">
        <v>5600</v>
      </c>
      <c r="Q1168" s="79">
        <v>873600</v>
      </c>
      <c r="R1168" s="77" t="s">
        <v>394</v>
      </c>
      <c r="S1168" s="77">
        <v>7414000005</v>
      </c>
      <c r="AB1168"/>
      <c r="AC1168"/>
    </row>
    <row r="1169" spans="16:29" x14ac:dyDescent="0.25">
      <c r="P1169" s="78">
        <v>17319553</v>
      </c>
      <c r="Q1169" s="79">
        <v>58830572.682916</v>
      </c>
      <c r="R1169" s="77" t="s">
        <v>394</v>
      </c>
      <c r="S1169" s="77">
        <v>7414000005</v>
      </c>
      <c r="AB1169"/>
      <c r="AC1169"/>
    </row>
    <row r="1170" spans="16:29" x14ac:dyDescent="0.25">
      <c r="P1170" s="78">
        <v>31700</v>
      </c>
      <c r="Q1170" s="79">
        <v>995697</v>
      </c>
      <c r="R1170" s="77" t="s">
        <v>394</v>
      </c>
      <c r="S1170" s="77">
        <v>7414000005</v>
      </c>
      <c r="AB1170"/>
      <c r="AC1170"/>
    </row>
    <row r="1171" spans="16:29" x14ac:dyDescent="0.25">
      <c r="P1171" s="78">
        <v>23700</v>
      </c>
      <c r="Q1171" s="79">
        <v>1390479</v>
      </c>
      <c r="R1171" s="77" t="s">
        <v>394</v>
      </c>
      <c r="S1171" s="77">
        <v>7414000005</v>
      </c>
      <c r="AB1171"/>
      <c r="AC1171"/>
    </row>
    <row r="1172" spans="16:29" x14ac:dyDescent="0.25">
      <c r="P1172" s="78">
        <v>56300</v>
      </c>
      <c r="Q1172" s="79">
        <v>3674138</v>
      </c>
      <c r="R1172" s="77" t="s">
        <v>394</v>
      </c>
      <c r="S1172" s="77">
        <v>7414000005</v>
      </c>
      <c r="AB1172"/>
      <c r="AC1172"/>
    </row>
    <row r="1173" spans="16:29" x14ac:dyDescent="0.25">
      <c r="P1173" s="78">
        <v>168003841</v>
      </c>
      <c r="Q1173" s="79">
        <v>570670743.00125206</v>
      </c>
      <c r="R1173" s="77" t="s">
        <v>394</v>
      </c>
      <c r="S1173" s="77">
        <v>7414000005</v>
      </c>
      <c r="AB1173"/>
      <c r="AC1173"/>
    </row>
    <row r="1174" spans="16:29" x14ac:dyDescent="0.25">
      <c r="P1174" s="78">
        <v>10852072</v>
      </c>
      <c r="Q1174" s="79">
        <v>36862014.311584003</v>
      </c>
      <c r="R1174" s="77" t="s">
        <v>394</v>
      </c>
      <c r="S1174" s="77">
        <v>7414000005</v>
      </c>
      <c r="AB1174"/>
      <c r="AC1174"/>
    </row>
    <row r="1175" spans="16:29" x14ac:dyDescent="0.25">
      <c r="P1175" s="78">
        <v>12701127</v>
      </c>
      <c r="Q1175" s="79">
        <v>43142832.562044002</v>
      </c>
      <c r="R1175" s="77" t="s">
        <v>394</v>
      </c>
      <c r="S1175" s="77">
        <v>7414000005</v>
      </c>
      <c r="AB1175"/>
      <c r="AC1175"/>
    </row>
    <row r="1176" spans="16:29" x14ac:dyDescent="0.25">
      <c r="P1176" s="78">
        <v>10920208</v>
      </c>
      <c r="Q1176" s="79">
        <v>37093456.768576004</v>
      </c>
      <c r="R1176" s="77" t="s">
        <v>394</v>
      </c>
      <c r="S1176" s="77">
        <v>7414000005</v>
      </c>
      <c r="AB1176"/>
      <c r="AC1176"/>
    </row>
    <row r="1177" spans="16:29" x14ac:dyDescent="0.25">
      <c r="P1177" s="78">
        <v>0</v>
      </c>
      <c r="Q1177" s="79">
        <v>-40065.24</v>
      </c>
      <c r="R1177" s="77" t="s">
        <v>394</v>
      </c>
      <c r="S1177" s="77">
        <v>7414000005</v>
      </c>
      <c r="AB1177"/>
      <c r="AC1177"/>
    </row>
    <row r="1178" spans="16:29" x14ac:dyDescent="0.25">
      <c r="P1178" s="78">
        <v>0</v>
      </c>
      <c r="Q1178" s="79">
        <v>-15786</v>
      </c>
      <c r="R1178" s="77" t="s">
        <v>394</v>
      </c>
      <c r="S1178" s="77">
        <v>7414000005</v>
      </c>
      <c r="AB1178"/>
      <c r="AC1178"/>
    </row>
    <row r="1179" spans="16:29" x14ac:dyDescent="0.25">
      <c r="P1179" s="78">
        <v>0</v>
      </c>
      <c r="Q1179" s="79">
        <v>-2736.78</v>
      </c>
      <c r="R1179" s="77" t="s">
        <v>394</v>
      </c>
      <c r="S1179" s="77">
        <v>7414000005</v>
      </c>
      <c r="AB1179"/>
      <c r="AC1179"/>
    </row>
    <row r="1180" spans="16:29" x14ac:dyDescent="0.25">
      <c r="P1180" s="78">
        <v>42297</v>
      </c>
      <c r="Q1180" s="79">
        <v>3018139.99</v>
      </c>
      <c r="R1180" s="77" t="s">
        <v>394</v>
      </c>
      <c r="S1180" s="77">
        <v>7414000005</v>
      </c>
      <c r="AB1180"/>
      <c r="AC1180"/>
    </row>
    <row r="1181" spans="16:29" x14ac:dyDescent="0.25">
      <c r="P1181" s="78">
        <v>0</v>
      </c>
      <c r="Q1181" s="79">
        <v>-160324.54999999999</v>
      </c>
      <c r="R1181" s="77" t="s">
        <v>394</v>
      </c>
      <c r="S1181" s="77">
        <v>7414000005</v>
      </c>
      <c r="AB1181"/>
      <c r="AC1181"/>
    </row>
    <row r="1182" spans="16:29" x14ac:dyDescent="0.25">
      <c r="P1182" s="78">
        <v>0</v>
      </c>
      <c r="Q1182" s="79">
        <v>-111649.95</v>
      </c>
      <c r="R1182" s="77" t="s">
        <v>394</v>
      </c>
      <c r="S1182" s="77">
        <v>7414000005</v>
      </c>
      <c r="AB1182"/>
      <c r="AC1182"/>
    </row>
    <row r="1183" spans="16:29" x14ac:dyDescent="0.25">
      <c r="P1183" s="78">
        <v>46686</v>
      </c>
      <c r="Q1183" s="79">
        <v>4668558.496146</v>
      </c>
      <c r="R1183" s="77" t="s">
        <v>394</v>
      </c>
      <c r="S1183" s="77">
        <v>7414000005</v>
      </c>
      <c r="AB1183"/>
      <c r="AC1183"/>
    </row>
    <row r="1184" spans="16:29" x14ac:dyDescent="0.25">
      <c r="P1184" s="78">
        <v>0</v>
      </c>
      <c r="Q1184" s="79">
        <v>-36565.03</v>
      </c>
      <c r="R1184" s="77" t="s">
        <v>394</v>
      </c>
      <c r="S1184" s="77">
        <v>7414000005</v>
      </c>
      <c r="AB1184"/>
      <c r="AC1184"/>
    </row>
    <row r="1185" spans="16:29" x14ac:dyDescent="0.25">
      <c r="P1185" s="78">
        <v>11000</v>
      </c>
      <c r="Q1185" s="79">
        <v>1099156.1569999999</v>
      </c>
      <c r="R1185" s="77" t="s">
        <v>394</v>
      </c>
      <c r="S1185" s="77">
        <v>7414000005</v>
      </c>
      <c r="AB1185"/>
      <c r="AC1185"/>
    </row>
    <row r="1186" spans="16:29" x14ac:dyDescent="0.25">
      <c r="P1186" s="78">
        <v>55340</v>
      </c>
      <c r="Q1186" s="79">
        <v>5528919.0685799997</v>
      </c>
      <c r="R1186" s="77" t="s">
        <v>394</v>
      </c>
      <c r="S1186" s="77">
        <v>7414000005</v>
      </c>
      <c r="AB1186"/>
      <c r="AC1186"/>
    </row>
    <row r="1187" spans="16:29" x14ac:dyDescent="0.25">
      <c r="P1187" s="78">
        <v>7837</v>
      </c>
      <c r="Q1187" s="79">
        <v>782778.74497600005</v>
      </c>
      <c r="R1187" s="77" t="s">
        <v>394</v>
      </c>
      <c r="S1187" s="77">
        <v>7414000005</v>
      </c>
      <c r="AB1187"/>
      <c r="AC1187"/>
    </row>
    <row r="1188" spans="16:29" x14ac:dyDescent="0.25">
      <c r="P1188" s="78">
        <v>0</v>
      </c>
      <c r="Q1188" s="79">
        <v>-56574.879999999997</v>
      </c>
      <c r="R1188" s="77" t="s">
        <v>394</v>
      </c>
      <c r="S1188" s="77">
        <v>7414000005</v>
      </c>
      <c r="AB1188"/>
      <c r="AC1188"/>
    </row>
    <row r="1189" spans="16:29" x14ac:dyDescent="0.25">
      <c r="P1189" s="78">
        <v>31819</v>
      </c>
      <c r="Q1189" s="79">
        <v>3181874.6720759999</v>
      </c>
      <c r="R1189" s="77" t="s">
        <v>394</v>
      </c>
      <c r="S1189" s="77">
        <v>7414000005</v>
      </c>
      <c r="AB1189"/>
      <c r="AC1189"/>
    </row>
    <row r="1190" spans="16:29" x14ac:dyDescent="0.25">
      <c r="P1190" s="78">
        <v>17000000</v>
      </c>
      <c r="Q1190" s="79">
        <v>153288181.78999999</v>
      </c>
      <c r="R1190" s="77" t="s">
        <v>394</v>
      </c>
      <c r="S1190" s="77">
        <v>7414000005</v>
      </c>
      <c r="AB1190"/>
      <c r="AC1190"/>
    </row>
    <row r="1191" spans="16:29" x14ac:dyDescent="0.25">
      <c r="P1191" s="78">
        <v>17068</v>
      </c>
      <c r="Q1191" s="79">
        <v>1233508.0296199999</v>
      </c>
      <c r="R1191" s="77" t="s">
        <v>394</v>
      </c>
      <c r="S1191" s="77">
        <v>7414000005</v>
      </c>
      <c r="AB1191"/>
      <c r="AC1191"/>
    </row>
    <row r="1192" spans="16:29" x14ac:dyDescent="0.25">
      <c r="P1192" s="78">
        <v>0</v>
      </c>
      <c r="Q1192" s="79">
        <v>-44346</v>
      </c>
      <c r="R1192" s="77" t="s">
        <v>394</v>
      </c>
      <c r="S1192" s="77">
        <v>7414000005</v>
      </c>
      <c r="AB1192"/>
      <c r="AC1192"/>
    </row>
    <row r="1193" spans="16:29" x14ac:dyDescent="0.25">
      <c r="P1193" s="78">
        <v>0</v>
      </c>
      <c r="Q1193" s="79">
        <v>0</v>
      </c>
      <c r="R1193" s="77" t="s">
        <v>394</v>
      </c>
      <c r="S1193" s="77">
        <v>7414000005</v>
      </c>
      <c r="AB1193"/>
      <c r="AC1193"/>
    </row>
    <row r="1194" spans="16:29" x14ac:dyDescent="0.25">
      <c r="P1194" s="78">
        <v>0</v>
      </c>
      <c r="Q1194" s="79">
        <v>-38479.4</v>
      </c>
      <c r="R1194" s="77" t="s">
        <v>394</v>
      </c>
      <c r="S1194" s="77">
        <v>7414000005</v>
      </c>
      <c r="AB1194"/>
      <c r="AC1194"/>
    </row>
    <row r="1195" spans="16:29" x14ac:dyDescent="0.25">
      <c r="P1195" s="78">
        <v>0</v>
      </c>
      <c r="Q1195" s="79">
        <v>-24033.87</v>
      </c>
      <c r="R1195" s="77" t="s">
        <v>394</v>
      </c>
      <c r="S1195" s="77">
        <v>7414000005</v>
      </c>
      <c r="AB1195"/>
      <c r="AC1195"/>
    </row>
    <row r="1196" spans="16:29" x14ac:dyDescent="0.25">
      <c r="P1196" s="78">
        <v>0</v>
      </c>
      <c r="Q1196" s="79">
        <v>-2455.04</v>
      </c>
      <c r="R1196" s="77" t="s">
        <v>394</v>
      </c>
      <c r="S1196" s="77">
        <v>7414000005</v>
      </c>
      <c r="AB1196"/>
      <c r="AC1196"/>
    </row>
    <row r="1197" spans="16:29" x14ac:dyDescent="0.25">
      <c r="P1197" s="78">
        <v>1</v>
      </c>
      <c r="Q1197" s="79">
        <v>2784.17</v>
      </c>
      <c r="R1197" s="77" t="s">
        <v>394</v>
      </c>
      <c r="S1197" s="77">
        <v>7414000005</v>
      </c>
      <c r="AB1197"/>
      <c r="AC1197"/>
    </row>
    <row r="1198" spans="16:29" x14ac:dyDescent="0.25">
      <c r="P1198" s="78">
        <v>0</v>
      </c>
      <c r="Q1198" s="79">
        <v>-578.91</v>
      </c>
      <c r="R1198" s="77" t="s">
        <v>394</v>
      </c>
      <c r="S1198" s="77">
        <v>7414000005</v>
      </c>
      <c r="AB1198"/>
      <c r="AC1198"/>
    </row>
    <row r="1199" spans="16:29" x14ac:dyDescent="0.25">
      <c r="P1199" s="78">
        <v>0</v>
      </c>
      <c r="Q1199" s="79">
        <v>45199.59</v>
      </c>
      <c r="R1199" s="77" t="s">
        <v>394</v>
      </c>
      <c r="S1199" s="77">
        <v>7414000005</v>
      </c>
      <c r="AB1199"/>
      <c r="AC1199"/>
    </row>
    <row r="1200" spans="16:29" x14ac:dyDescent="0.25">
      <c r="P1200" s="78">
        <v>0</v>
      </c>
      <c r="Q1200" s="79">
        <v>-43199.69</v>
      </c>
      <c r="R1200" s="77" t="s">
        <v>394</v>
      </c>
      <c r="S1200" s="77">
        <v>7414000005</v>
      </c>
      <c r="AB1200"/>
      <c r="AC1200"/>
    </row>
    <row r="1201" spans="16:29" x14ac:dyDescent="0.25">
      <c r="P1201" s="78">
        <v>0</v>
      </c>
      <c r="Q1201" s="79">
        <v>27009.62</v>
      </c>
      <c r="R1201" s="77" t="s">
        <v>394</v>
      </c>
      <c r="S1201" s="77">
        <v>7414000005</v>
      </c>
      <c r="AB1201"/>
      <c r="AC1201"/>
    </row>
    <row r="1202" spans="16:29" x14ac:dyDescent="0.25">
      <c r="P1202" s="78">
        <v>41585</v>
      </c>
      <c r="Q1202" s="79">
        <v>4226633.62</v>
      </c>
      <c r="R1202" s="77" t="s">
        <v>394</v>
      </c>
      <c r="S1202" s="77">
        <v>7414000005</v>
      </c>
      <c r="AB1202"/>
      <c r="AC1202"/>
    </row>
    <row r="1203" spans="16:29" x14ac:dyDescent="0.25">
      <c r="P1203" s="78">
        <v>0</v>
      </c>
      <c r="Q1203" s="79">
        <v>-99844.711540000004</v>
      </c>
      <c r="R1203" s="77" t="s">
        <v>394</v>
      </c>
      <c r="S1203" s="77">
        <v>7414000005</v>
      </c>
      <c r="AB1203"/>
      <c r="AC1203"/>
    </row>
    <row r="1204" spans="16:29" x14ac:dyDescent="0.25">
      <c r="P1204" s="78">
        <v>1700000</v>
      </c>
      <c r="Q1204" s="79">
        <v>163460947.00999999</v>
      </c>
      <c r="R1204" s="77" t="s">
        <v>394</v>
      </c>
      <c r="S1204" s="77">
        <v>7414000005</v>
      </c>
      <c r="AB1204"/>
      <c r="AC1204"/>
    </row>
    <row r="1205" spans="16:29" x14ac:dyDescent="0.25">
      <c r="P1205" s="78">
        <v>0</v>
      </c>
      <c r="Q1205" s="79">
        <v>-42881.337919999998</v>
      </c>
      <c r="R1205" s="77" t="s">
        <v>394</v>
      </c>
      <c r="S1205" s="77">
        <v>7414000005</v>
      </c>
      <c r="AB1205"/>
      <c r="AC1205"/>
    </row>
    <row r="1206" spans="16:29" x14ac:dyDescent="0.25">
      <c r="P1206" s="78">
        <v>0</v>
      </c>
      <c r="Q1206" s="79">
        <v>-308305.43</v>
      </c>
      <c r="R1206" s="77" t="s">
        <v>394</v>
      </c>
      <c r="S1206" s="77">
        <v>7414000005</v>
      </c>
      <c r="AB1206"/>
      <c r="AC1206"/>
    </row>
    <row r="1207" spans="16:29" x14ac:dyDescent="0.25">
      <c r="P1207" s="78">
        <v>1726947</v>
      </c>
      <c r="Q1207" s="79">
        <v>159681332.153355</v>
      </c>
      <c r="R1207" s="77" t="s">
        <v>394</v>
      </c>
      <c r="S1207" s="77">
        <v>7414000005</v>
      </c>
      <c r="AB1207"/>
      <c r="AC1207"/>
    </row>
    <row r="1208" spans="16:29" x14ac:dyDescent="0.25">
      <c r="P1208" s="78">
        <v>0</v>
      </c>
      <c r="Q1208" s="79">
        <v>-193201.78031999999</v>
      </c>
      <c r="R1208" s="77" t="s">
        <v>394</v>
      </c>
      <c r="S1208" s="77">
        <v>7414000005</v>
      </c>
      <c r="AB1208"/>
      <c r="AC1208"/>
    </row>
    <row r="1209" spans="16:29" x14ac:dyDescent="0.25">
      <c r="P1209" s="78">
        <v>1800000</v>
      </c>
      <c r="Q1209" s="79">
        <v>167474861.93000001</v>
      </c>
      <c r="R1209" s="77" t="s">
        <v>394</v>
      </c>
      <c r="S1209" s="77">
        <v>7414000005</v>
      </c>
      <c r="AB1209"/>
      <c r="AC1209"/>
    </row>
    <row r="1210" spans="16:29" x14ac:dyDescent="0.25">
      <c r="P1210" s="78">
        <v>0</v>
      </c>
      <c r="Q1210" s="79">
        <v>-156475.29243999999</v>
      </c>
      <c r="R1210" s="77" t="s">
        <v>394</v>
      </c>
      <c r="S1210" s="77">
        <v>7414000005</v>
      </c>
      <c r="AB1210"/>
      <c r="AC1210"/>
    </row>
    <row r="1211" spans="16:29" x14ac:dyDescent="0.25">
      <c r="P1211" s="78">
        <v>0</v>
      </c>
      <c r="Q1211" s="79">
        <v>-63063.160366999997</v>
      </c>
      <c r="R1211" s="77" t="s">
        <v>394</v>
      </c>
      <c r="S1211" s="77">
        <v>7414000005</v>
      </c>
      <c r="AB1211"/>
      <c r="AC1211"/>
    </row>
    <row r="1212" spans="16:29" x14ac:dyDescent="0.25">
      <c r="P1212" s="78">
        <v>0</v>
      </c>
      <c r="Q1212" s="79">
        <v>-24053.179197000001</v>
      </c>
      <c r="R1212" s="77" t="s">
        <v>394</v>
      </c>
      <c r="S1212" s="77">
        <v>7414000005</v>
      </c>
      <c r="AB1212"/>
      <c r="AC1212"/>
    </row>
    <row r="1213" spans="16:29" x14ac:dyDescent="0.25">
      <c r="P1213" s="78">
        <v>0</v>
      </c>
      <c r="Q1213" s="79">
        <v>-82889.62</v>
      </c>
      <c r="R1213" s="77" t="s">
        <v>394</v>
      </c>
      <c r="S1213" s="77">
        <v>7414000005</v>
      </c>
      <c r="AB1213"/>
      <c r="AC1213"/>
    </row>
    <row r="1214" spans="16:29" x14ac:dyDescent="0.25">
      <c r="P1214" s="78">
        <v>0</v>
      </c>
      <c r="Q1214" s="79">
        <v>0</v>
      </c>
      <c r="R1214" s="77" t="s">
        <v>394</v>
      </c>
      <c r="S1214" s="77">
        <v>7414000005</v>
      </c>
      <c r="AB1214"/>
      <c r="AC1214"/>
    </row>
    <row r="1215" spans="16:29" x14ac:dyDescent="0.25">
      <c r="P1215" s="78">
        <v>0</v>
      </c>
      <c r="Q1215" s="79">
        <v>-432985</v>
      </c>
      <c r="R1215" s="77" t="s">
        <v>394</v>
      </c>
      <c r="S1215" s="77">
        <v>7414000005</v>
      </c>
      <c r="AB1215"/>
      <c r="AC1215"/>
    </row>
    <row r="1216" spans="16:29" x14ac:dyDescent="0.25">
      <c r="P1216" s="78">
        <v>114687</v>
      </c>
      <c r="Q1216" s="79">
        <v>1409503.23</v>
      </c>
      <c r="R1216" s="77" t="s">
        <v>394</v>
      </c>
      <c r="S1216" s="77">
        <v>7414000005</v>
      </c>
      <c r="AB1216"/>
      <c r="AC1216"/>
    </row>
    <row r="1217" spans="16:29" x14ac:dyDescent="0.25">
      <c r="P1217" s="78">
        <v>268750</v>
      </c>
      <c r="Q1217" s="79">
        <v>24959745.600000001</v>
      </c>
      <c r="R1217" s="77" t="s">
        <v>394</v>
      </c>
      <c r="S1217" s="77">
        <v>7414000005</v>
      </c>
      <c r="AB1217"/>
      <c r="AC1217"/>
    </row>
    <row r="1218" spans="16:29" x14ac:dyDescent="0.25">
      <c r="P1218" s="78">
        <v>0</v>
      </c>
      <c r="Q1218" s="79">
        <v>6009.61</v>
      </c>
      <c r="R1218" s="77" t="s">
        <v>394</v>
      </c>
      <c r="S1218" s="77">
        <v>7414000005</v>
      </c>
      <c r="AB1218"/>
      <c r="AC1218"/>
    </row>
    <row r="1219" spans="16:29" x14ac:dyDescent="0.25">
      <c r="P1219" s="78">
        <v>15425</v>
      </c>
      <c r="Q1219" s="79">
        <v>1542484.4361749999</v>
      </c>
      <c r="R1219" s="77" t="s">
        <v>394</v>
      </c>
      <c r="S1219" s="77">
        <v>7414000005</v>
      </c>
      <c r="AB1219"/>
      <c r="AC1219"/>
    </row>
    <row r="1220" spans="16:29" x14ac:dyDescent="0.25">
      <c r="P1220" s="78">
        <v>0</v>
      </c>
      <c r="Q1220" s="79">
        <v>-64958.15</v>
      </c>
      <c r="R1220" s="77" t="s">
        <v>394</v>
      </c>
      <c r="S1220" s="77">
        <v>7414000005</v>
      </c>
      <c r="AB1220"/>
      <c r="AC1220"/>
    </row>
    <row r="1221" spans="16:29" x14ac:dyDescent="0.25">
      <c r="P1221" s="78">
        <v>0</v>
      </c>
      <c r="Q1221" s="79">
        <v>-5032.07</v>
      </c>
      <c r="R1221" s="77" t="s">
        <v>394</v>
      </c>
      <c r="S1221" s="77">
        <v>7414000005</v>
      </c>
      <c r="AB1221"/>
      <c r="AC1221"/>
    </row>
    <row r="1222" spans="16:29" x14ac:dyDescent="0.25">
      <c r="P1222" s="78">
        <v>0</v>
      </c>
      <c r="Q1222" s="79">
        <v>0</v>
      </c>
      <c r="R1222" s="77" t="s">
        <v>394</v>
      </c>
      <c r="S1222" s="77">
        <v>7414000005</v>
      </c>
      <c r="AB1222"/>
      <c r="AC1222"/>
    </row>
    <row r="1223" spans="16:29" x14ac:dyDescent="0.25">
      <c r="P1223" s="78">
        <v>0</v>
      </c>
      <c r="Q1223" s="79">
        <v>-4.6569999999999997E-3</v>
      </c>
      <c r="R1223" s="77" t="s">
        <v>394</v>
      </c>
      <c r="S1223" s="77">
        <v>7414000005</v>
      </c>
      <c r="AB1223"/>
      <c r="AC1223"/>
    </row>
    <row r="1224" spans="16:29" x14ac:dyDescent="0.25">
      <c r="P1224" s="78">
        <v>0</v>
      </c>
      <c r="Q1224" s="79">
        <v>3.264E-3</v>
      </c>
      <c r="R1224" s="77" t="s">
        <v>394</v>
      </c>
      <c r="S1224" s="77">
        <v>7414000005</v>
      </c>
      <c r="AB1224"/>
      <c r="AC1224"/>
    </row>
    <row r="1225" spans="16:29" x14ac:dyDescent="0.25">
      <c r="P1225" s="78">
        <v>43105121</v>
      </c>
      <c r="Q1225" s="79">
        <v>146418268.06941199</v>
      </c>
      <c r="R1225" s="77" t="s">
        <v>394</v>
      </c>
      <c r="S1225" s="77">
        <v>7414000005</v>
      </c>
      <c r="AB1225"/>
      <c r="AC1225"/>
    </row>
    <row r="1226" spans="16:29" x14ac:dyDescent="0.25">
      <c r="P1226" s="78">
        <v>0</v>
      </c>
      <c r="Q1226" s="79">
        <v>-4797.3900000000003</v>
      </c>
      <c r="R1226" s="77" t="s">
        <v>394</v>
      </c>
      <c r="S1226" s="77">
        <v>7414000005</v>
      </c>
      <c r="AB1226"/>
      <c r="AC1226"/>
    </row>
    <row r="1227" spans="16:29" x14ac:dyDescent="0.25">
      <c r="P1227" s="78">
        <v>0</v>
      </c>
      <c r="Q1227" s="79">
        <v>-22351.205817999999</v>
      </c>
      <c r="R1227" s="77" t="s">
        <v>394</v>
      </c>
      <c r="S1227" s="77">
        <v>7414000005</v>
      </c>
      <c r="AB1227"/>
      <c r="AC1227"/>
    </row>
    <row r="1228" spans="16:29" x14ac:dyDescent="0.25">
      <c r="P1228" s="78">
        <v>0</v>
      </c>
      <c r="Q1228" s="79">
        <v>-12663.96192</v>
      </c>
      <c r="R1228" s="77" t="s">
        <v>394</v>
      </c>
      <c r="S1228" s="77">
        <v>7414000005</v>
      </c>
      <c r="AB1228"/>
      <c r="AC1228"/>
    </row>
    <row r="1229" spans="16:29" x14ac:dyDescent="0.25">
      <c r="P1229" s="78">
        <v>0</v>
      </c>
      <c r="Q1229" s="79">
        <v>-18846.069544000002</v>
      </c>
      <c r="R1229" s="77" t="s">
        <v>394</v>
      </c>
      <c r="S1229" s="77">
        <v>7414000005</v>
      </c>
      <c r="AB1229"/>
      <c r="AC1229"/>
    </row>
    <row r="1230" spans="16:29" x14ac:dyDescent="0.25">
      <c r="P1230" s="78">
        <v>0</v>
      </c>
      <c r="Q1230" s="79">
        <v>-106000.308815</v>
      </c>
      <c r="R1230" s="77" t="s">
        <v>394</v>
      </c>
      <c r="S1230" s="77">
        <v>7414000005</v>
      </c>
      <c r="AB1230"/>
      <c r="AC1230"/>
    </row>
    <row r="1231" spans="16:29" x14ac:dyDescent="0.25">
      <c r="P1231" s="78">
        <v>0</v>
      </c>
      <c r="Q1231" s="79">
        <v>-119003.73368</v>
      </c>
      <c r="R1231" s="77" t="s">
        <v>394</v>
      </c>
      <c r="S1231" s="77">
        <v>7414000005</v>
      </c>
      <c r="AB1231"/>
      <c r="AC1231"/>
    </row>
    <row r="1232" spans="16:29" x14ac:dyDescent="0.25">
      <c r="P1232" s="78">
        <v>0</v>
      </c>
      <c r="Q1232" s="79">
        <v>-6952.8935140000003</v>
      </c>
      <c r="R1232" s="77" t="s">
        <v>394</v>
      </c>
      <c r="S1232" s="77">
        <v>7414000005</v>
      </c>
      <c r="AB1232"/>
      <c r="AC1232"/>
    </row>
    <row r="1233" spans="16:29" x14ac:dyDescent="0.25">
      <c r="P1233" s="78">
        <v>0</v>
      </c>
      <c r="Q1233" s="79">
        <v>-84652.249909999999</v>
      </c>
      <c r="R1233" s="77" t="s">
        <v>394</v>
      </c>
      <c r="S1233" s="77">
        <v>7414000005</v>
      </c>
      <c r="AB1233"/>
      <c r="AC1233"/>
    </row>
    <row r="1234" spans="16:29" x14ac:dyDescent="0.25">
      <c r="P1234" s="78">
        <v>0</v>
      </c>
      <c r="Q1234" s="79">
        <v>-194395.65271600001</v>
      </c>
      <c r="R1234" s="77" t="s">
        <v>394</v>
      </c>
      <c r="S1234" s="77">
        <v>7414000005</v>
      </c>
      <c r="AB1234"/>
      <c r="AC1234"/>
    </row>
    <row r="1235" spans="16:29" x14ac:dyDescent="0.25">
      <c r="P1235" s="78">
        <v>49478</v>
      </c>
      <c r="Q1235" s="79">
        <v>2810911.39</v>
      </c>
      <c r="R1235" s="77" t="s">
        <v>394</v>
      </c>
      <c r="S1235" s="77">
        <v>7414000005</v>
      </c>
      <c r="AB1235"/>
      <c r="AC1235"/>
    </row>
    <row r="1236" spans="16:29" x14ac:dyDescent="0.25">
      <c r="P1236" s="78">
        <v>0</v>
      </c>
      <c r="Q1236" s="79">
        <v>-41634.300000000003</v>
      </c>
      <c r="R1236" s="77" t="s">
        <v>394</v>
      </c>
      <c r="S1236" s="77">
        <v>7414000005</v>
      </c>
      <c r="AB1236"/>
      <c r="AC1236"/>
    </row>
    <row r="1237" spans="16:29" x14ac:dyDescent="0.25">
      <c r="P1237" s="78">
        <v>0</v>
      </c>
      <c r="Q1237" s="79">
        <v>21544.37</v>
      </c>
      <c r="R1237" s="77" t="s">
        <v>394</v>
      </c>
      <c r="S1237" s="77">
        <v>7414000005</v>
      </c>
      <c r="AB1237"/>
      <c r="AC1237"/>
    </row>
    <row r="1238" spans="16:29" x14ac:dyDescent="0.25">
      <c r="P1238" s="78">
        <v>0</v>
      </c>
      <c r="Q1238" s="79">
        <v>-1148.8900000000001</v>
      </c>
      <c r="R1238" s="77" t="s">
        <v>394</v>
      </c>
      <c r="S1238" s="77">
        <v>7414000005</v>
      </c>
      <c r="AB1238"/>
      <c r="AC1238"/>
    </row>
    <row r="1239" spans="16:29" x14ac:dyDescent="0.25">
      <c r="P1239" s="78">
        <v>0</v>
      </c>
      <c r="Q1239" s="79">
        <v>-2280.1999999999998</v>
      </c>
      <c r="R1239" s="77" t="s">
        <v>394</v>
      </c>
      <c r="S1239" s="77">
        <v>7414000005</v>
      </c>
      <c r="AB1239"/>
      <c r="AC1239"/>
    </row>
    <row r="1240" spans="16:29" x14ac:dyDescent="0.25">
      <c r="P1240" s="78">
        <v>0</v>
      </c>
      <c r="Q1240" s="79">
        <v>-77.400000000000006</v>
      </c>
      <c r="R1240" s="77" t="s">
        <v>394</v>
      </c>
      <c r="S1240" s="77">
        <v>7414000005</v>
      </c>
      <c r="AB1240"/>
      <c r="AC1240"/>
    </row>
    <row r="1241" spans="16:29" x14ac:dyDescent="0.25">
      <c r="P1241" s="78">
        <v>1217</v>
      </c>
      <c r="Q1241" s="79">
        <v>86840.58</v>
      </c>
      <c r="R1241" s="77" t="s">
        <v>394</v>
      </c>
      <c r="S1241" s="77">
        <v>7414000005</v>
      </c>
      <c r="AB1241"/>
      <c r="AC1241"/>
    </row>
    <row r="1242" spans="16:29" x14ac:dyDescent="0.25">
      <c r="P1242" s="78">
        <v>0</v>
      </c>
      <c r="Q1242" s="79">
        <v>-4540.09</v>
      </c>
      <c r="R1242" s="77" t="s">
        <v>394</v>
      </c>
      <c r="S1242" s="77">
        <v>7414000005</v>
      </c>
      <c r="AB1242"/>
      <c r="AC1242"/>
    </row>
    <row r="1243" spans="16:29" x14ac:dyDescent="0.25">
      <c r="P1243" s="78">
        <v>0</v>
      </c>
      <c r="Q1243" s="79">
        <v>-3150.66</v>
      </c>
      <c r="R1243" s="77" t="s">
        <v>394</v>
      </c>
      <c r="S1243" s="77">
        <v>7414000005</v>
      </c>
      <c r="AB1243"/>
      <c r="AC1243"/>
    </row>
    <row r="1244" spans="16:29" x14ac:dyDescent="0.25">
      <c r="P1244" s="78">
        <v>0</v>
      </c>
      <c r="Q1244" s="79">
        <v>-1034.6300000000001</v>
      </c>
      <c r="R1244" s="77" t="s">
        <v>394</v>
      </c>
      <c r="S1244" s="77">
        <v>7414000005</v>
      </c>
      <c r="AB1244"/>
      <c r="AC1244"/>
    </row>
    <row r="1245" spans="16:29" x14ac:dyDescent="0.25">
      <c r="P1245" s="78">
        <v>0</v>
      </c>
      <c r="Q1245" s="79">
        <v>-1612.95</v>
      </c>
      <c r="R1245" s="77" t="s">
        <v>394</v>
      </c>
      <c r="S1245" s="77">
        <v>7414000005</v>
      </c>
      <c r="AB1245"/>
      <c r="AC1245"/>
    </row>
    <row r="1246" spans="16:29" x14ac:dyDescent="0.25">
      <c r="P1246" s="78">
        <v>250000</v>
      </c>
      <c r="Q1246" s="79">
        <v>2254237.9700000002</v>
      </c>
      <c r="R1246" s="77" t="s">
        <v>394</v>
      </c>
      <c r="S1246" s="77">
        <v>7414000005</v>
      </c>
      <c r="AB1246"/>
      <c r="AC1246"/>
    </row>
    <row r="1247" spans="16:29" x14ac:dyDescent="0.25">
      <c r="P1247" s="78">
        <v>1704</v>
      </c>
      <c r="Q1247" s="79">
        <v>123148.44636</v>
      </c>
      <c r="R1247" s="77" t="s">
        <v>394</v>
      </c>
      <c r="S1247" s="77">
        <v>7414000005</v>
      </c>
      <c r="AB1247"/>
      <c r="AC1247"/>
    </row>
    <row r="1248" spans="16:29" x14ac:dyDescent="0.25">
      <c r="P1248" s="78">
        <v>0</v>
      </c>
      <c r="Q1248" s="79">
        <v>-1167</v>
      </c>
      <c r="R1248" s="77" t="s">
        <v>394</v>
      </c>
      <c r="S1248" s="77">
        <v>7414000005</v>
      </c>
      <c r="AB1248"/>
      <c r="AC1248"/>
    </row>
    <row r="1249" spans="16:29" x14ac:dyDescent="0.25">
      <c r="P1249" s="78">
        <v>0</v>
      </c>
      <c r="Q1249" s="79">
        <v>0</v>
      </c>
      <c r="R1249" s="77" t="s">
        <v>394</v>
      </c>
      <c r="S1249" s="77">
        <v>7414000005</v>
      </c>
      <c r="AB1249"/>
      <c r="AC1249"/>
    </row>
    <row r="1250" spans="16:29" x14ac:dyDescent="0.25">
      <c r="P1250" s="78">
        <v>0</v>
      </c>
      <c r="Q1250" s="79">
        <v>-1010.4</v>
      </c>
      <c r="R1250" s="77" t="s">
        <v>394</v>
      </c>
      <c r="S1250" s="77">
        <v>7414000005</v>
      </c>
      <c r="AB1250"/>
      <c r="AC1250"/>
    </row>
    <row r="1251" spans="16:29" x14ac:dyDescent="0.25">
      <c r="P1251" s="78">
        <v>0</v>
      </c>
      <c r="Q1251" s="79">
        <v>-681.88</v>
      </c>
      <c r="R1251" s="77" t="s">
        <v>394</v>
      </c>
      <c r="S1251" s="77">
        <v>7414000005</v>
      </c>
      <c r="AB1251"/>
      <c r="AC1251"/>
    </row>
    <row r="1252" spans="16:29" x14ac:dyDescent="0.25">
      <c r="P1252" s="78">
        <v>0</v>
      </c>
      <c r="Q1252" s="79">
        <v>-63.79</v>
      </c>
      <c r="R1252" s="77" t="s">
        <v>394</v>
      </c>
      <c r="S1252" s="77">
        <v>7414000005</v>
      </c>
      <c r="AB1252"/>
      <c r="AC1252"/>
    </row>
    <row r="1253" spans="16:29" x14ac:dyDescent="0.25">
      <c r="P1253" s="78">
        <v>2</v>
      </c>
      <c r="Q1253" s="79">
        <v>221.16</v>
      </c>
      <c r="R1253" s="77" t="s">
        <v>394</v>
      </c>
      <c r="S1253" s="77">
        <v>7414000005</v>
      </c>
      <c r="AB1253"/>
      <c r="AC1253"/>
    </row>
    <row r="1254" spans="16:29" x14ac:dyDescent="0.25">
      <c r="P1254" s="78">
        <v>0</v>
      </c>
      <c r="Q1254" s="79">
        <v>-22.51</v>
      </c>
      <c r="R1254" s="77" t="s">
        <v>394</v>
      </c>
      <c r="S1254" s="77">
        <v>7414000005</v>
      </c>
      <c r="AB1254"/>
      <c r="AC1254"/>
    </row>
    <row r="1255" spans="16:29" x14ac:dyDescent="0.25">
      <c r="P1255" s="78">
        <v>0</v>
      </c>
      <c r="Q1255" s="79">
        <v>1287.77</v>
      </c>
      <c r="R1255" s="77" t="s">
        <v>394</v>
      </c>
      <c r="S1255" s="77">
        <v>7414000005</v>
      </c>
      <c r="AB1255"/>
      <c r="AC1255"/>
    </row>
    <row r="1256" spans="16:29" x14ac:dyDescent="0.25">
      <c r="P1256" s="78">
        <v>0</v>
      </c>
      <c r="Q1256" s="79">
        <v>-1220.94</v>
      </c>
      <c r="R1256" s="77" t="s">
        <v>394</v>
      </c>
      <c r="S1256" s="77">
        <v>7414000005</v>
      </c>
      <c r="AB1256"/>
      <c r="AC1256"/>
    </row>
    <row r="1257" spans="16:29" x14ac:dyDescent="0.25">
      <c r="P1257" s="78">
        <v>0</v>
      </c>
      <c r="Q1257" s="79">
        <v>162.33000000000001</v>
      </c>
      <c r="R1257" s="77" t="s">
        <v>394</v>
      </c>
      <c r="S1257" s="77">
        <v>7414000005</v>
      </c>
      <c r="AB1257"/>
      <c r="AC1257"/>
    </row>
    <row r="1258" spans="16:29" x14ac:dyDescent="0.25">
      <c r="P1258" s="78">
        <v>0</v>
      </c>
      <c r="Q1258" s="79">
        <v>765.03</v>
      </c>
      <c r="R1258" s="77" t="s">
        <v>394</v>
      </c>
      <c r="S1258" s="77">
        <v>7414000005</v>
      </c>
      <c r="AB1258"/>
      <c r="AC1258"/>
    </row>
    <row r="1259" spans="16:29" x14ac:dyDescent="0.25">
      <c r="P1259" s="78">
        <v>1185</v>
      </c>
      <c r="Q1259" s="79">
        <v>120441.29</v>
      </c>
      <c r="R1259" s="77" t="s">
        <v>394</v>
      </c>
      <c r="S1259" s="77">
        <v>7414000005</v>
      </c>
      <c r="AB1259"/>
      <c r="AC1259"/>
    </row>
    <row r="1260" spans="16:29" x14ac:dyDescent="0.25">
      <c r="P1260" s="78">
        <v>25000</v>
      </c>
      <c r="Q1260" s="79">
        <v>2403837.46</v>
      </c>
      <c r="R1260" s="77" t="s">
        <v>394</v>
      </c>
      <c r="S1260" s="77">
        <v>7414000005</v>
      </c>
      <c r="AB1260"/>
      <c r="AC1260"/>
    </row>
    <row r="1261" spans="16:29" x14ac:dyDescent="0.25">
      <c r="P1261" s="78">
        <v>0</v>
      </c>
      <c r="Q1261" s="79">
        <v>-6751.89617</v>
      </c>
      <c r="R1261" s="77" t="s">
        <v>394</v>
      </c>
      <c r="S1261" s="77">
        <v>7414000005</v>
      </c>
      <c r="AB1261"/>
      <c r="AC1261"/>
    </row>
    <row r="1262" spans="16:29" x14ac:dyDescent="0.25">
      <c r="P1262" s="78">
        <v>25843</v>
      </c>
      <c r="Q1262" s="79">
        <v>2388231.668995</v>
      </c>
      <c r="R1262" s="77" t="s">
        <v>394</v>
      </c>
      <c r="S1262" s="77">
        <v>7414000005</v>
      </c>
      <c r="AB1262"/>
      <c r="AC1262"/>
    </row>
    <row r="1263" spans="16:29" x14ac:dyDescent="0.25">
      <c r="P1263" s="78">
        <v>0</v>
      </c>
      <c r="Q1263" s="79">
        <v>-1282.1224</v>
      </c>
      <c r="R1263" s="77" t="s">
        <v>394</v>
      </c>
      <c r="S1263" s="77">
        <v>7414000005</v>
      </c>
      <c r="AB1263"/>
      <c r="AC1263"/>
    </row>
    <row r="1264" spans="16:29" x14ac:dyDescent="0.25">
      <c r="P1264" s="78">
        <v>1660</v>
      </c>
      <c r="Q1264" s="79">
        <v>143539.12763999999</v>
      </c>
      <c r="R1264" s="77" t="s">
        <v>394</v>
      </c>
      <c r="S1264" s="77">
        <v>7414000005</v>
      </c>
      <c r="AB1264"/>
      <c r="AC1264"/>
    </row>
    <row r="1265" spans="16:29" x14ac:dyDescent="0.25">
      <c r="P1265" s="78">
        <v>25000</v>
      </c>
      <c r="Q1265" s="79">
        <v>2331037.42</v>
      </c>
      <c r="R1265" s="77" t="s">
        <v>394</v>
      </c>
      <c r="S1265" s="77">
        <v>7414000005</v>
      </c>
      <c r="AB1265"/>
      <c r="AC1265"/>
    </row>
    <row r="1266" spans="16:29" x14ac:dyDescent="0.25">
      <c r="P1266" s="78">
        <v>0</v>
      </c>
      <c r="Q1266" s="79">
        <v>-1196.5837200000001</v>
      </c>
      <c r="R1266" s="77" t="s">
        <v>394</v>
      </c>
      <c r="S1266" s="77">
        <v>7414000005</v>
      </c>
      <c r="AB1266"/>
      <c r="AC1266"/>
    </row>
    <row r="1267" spans="16:29" x14ac:dyDescent="0.25">
      <c r="P1267" s="78">
        <v>0</v>
      </c>
      <c r="Q1267" s="79">
        <v>-2693.465968</v>
      </c>
      <c r="R1267" s="77" t="s">
        <v>394</v>
      </c>
      <c r="S1267" s="77">
        <v>7414000005</v>
      </c>
      <c r="AB1267"/>
      <c r="AC1267"/>
    </row>
    <row r="1268" spans="16:29" x14ac:dyDescent="0.25">
      <c r="P1268" s="78">
        <v>0</v>
      </c>
      <c r="Q1268" s="79">
        <v>-684.25431200000003</v>
      </c>
      <c r="R1268" s="77" t="s">
        <v>394</v>
      </c>
      <c r="S1268" s="77">
        <v>7414000005</v>
      </c>
      <c r="AB1268"/>
      <c r="AC1268"/>
    </row>
    <row r="1269" spans="16:29" x14ac:dyDescent="0.25">
      <c r="P1269" s="78">
        <v>0</v>
      </c>
      <c r="Q1269" s="79">
        <v>-2477.02</v>
      </c>
      <c r="R1269" s="77" t="s">
        <v>394</v>
      </c>
      <c r="S1269" s="77">
        <v>7414000005</v>
      </c>
      <c r="AB1269"/>
      <c r="AC1269"/>
    </row>
    <row r="1270" spans="16:29" x14ac:dyDescent="0.25">
      <c r="P1270" s="78">
        <v>0</v>
      </c>
      <c r="Q1270" s="79">
        <v>0</v>
      </c>
      <c r="R1270" s="77" t="s">
        <v>394</v>
      </c>
      <c r="S1270" s="77">
        <v>7414000005</v>
      </c>
      <c r="AB1270"/>
      <c r="AC1270"/>
    </row>
    <row r="1271" spans="16:29" x14ac:dyDescent="0.25">
      <c r="P1271" s="78">
        <v>0</v>
      </c>
      <c r="Q1271" s="79">
        <v>-10313.799999999999</v>
      </c>
      <c r="R1271" s="77" t="s">
        <v>394</v>
      </c>
      <c r="S1271" s="77">
        <v>7414000005</v>
      </c>
      <c r="AB1271"/>
      <c r="AC1271"/>
    </row>
    <row r="1272" spans="16:29" x14ac:dyDescent="0.25">
      <c r="P1272" s="78">
        <v>0</v>
      </c>
      <c r="Q1272" s="79">
        <v>168.86</v>
      </c>
      <c r="R1272" s="77" t="s">
        <v>394</v>
      </c>
      <c r="S1272" s="77">
        <v>7414000005</v>
      </c>
      <c r="AB1272"/>
      <c r="AC1272"/>
    </row>
    <row r="1273" spans="16:29" x14ac:dyDescent="0.25">
      <c r="P1273" s="78">
        <v>0</v>
      </c>
      <c r="Q1273" s="79">
        <v>-1839.43</v>
      </c>
      <c r="R1273" s="77" t="s">
        <v>394</v>
      </c>
      <c r="S1273" s="77">
        <v>7414000005</v>
      </c>
      <c r="AB1273"/>
      <c r="AC1273"/>
    </row>
    <row r="1274" spans="16:29" x14ac:dyDescent="0.25">
      <c r="P1274" s="78">
        <v>0</v>
      </c>
      <c r="Q1274" s="79">
        <v>-139.99</v>
      </c>
      <c r="R1274" s="77" t="s">
        <v>394</v>
      </c>
      <c r="S1274" s="77">
        <v>7414000005</v>
      </c>
      <c r="AB1274"/>
      <c r="AC1274"/>
    </row>
    <row r="1275" spans="16:29" x14ac:dyDescent="0.25">
      <c r="P1275" s="78">
        <v>0</v>
      </c>
      <c r="Q1275" s="79">
        <v>0</v>
      </c>
      <c r="R1275" s="77" t="s">
        <v>394</v>
      </c>
      <c r="S1275" s="77">
        <v>7414000005</v>
      </c>
      <c r="AB1275"/>
      <c r="AC1275"/>
    </row>
    <row r="1276" spans="16:29" x14ac:dyDescent="0.25">
      <c r="P1276" s="78">
        <v>0</v>
      </c>
      <c r="Q1276" s="79">
        <v>-7.7999999999999999E-5</v>
      </c>
      <c r="R1276" s="77" t="s">
        <v>394</v>
      </c>
      <c r="S1276" s="77">
        <v>7414000005</v>
      </c>
      <c r="AB1276"/>
      <c r="AC1276"/>
    </row>
    <row r="1277" spans="16:29" x14ac:dyDescent="0.25">
      <c r="P1277" s="78">
        <v>0</v>
      </c>
      <c r="Q1277" s="79">
        <v>-1.632E-3</v>
      </c>
      <c r="R1277" s="77" t="s">
        <v>394</v>
      </c>
      <c r="S1277" s="77">
        <v>7414000005</v>
      </c>
      <c r="AB1277"/>
      <c r="AC1277"/>
    </row>
    <row r="1278" spans="16:29" x14ac:dyDescent="0.25">
      <c r="P1278" s="78">
        <v>889529</v>
      </c>
      <c r="Q1278" s="79">
        <v>3021527.2003879999</v>
      </c>
      <c r="R1278" s="77" t="s">
        <v>394</v>
      </c>
      <c r="S1278" s="77">
        <v>7414000005</v>
      </c>
      <c r="AB1278"/>
      <c r="AC1278"/>
    </row>
    <row r="1279" spans="16:29" x14ac:dyDescent="0.25">
      <c r="P1279" s="78">
        <v>0</v>
      </c>
      <c r="Q1279" s="79">
        <v>-134.44999999999999</v>
      </c>
      <c r="R1279" s="77" t="s">
        <v>394</v>
      </c>
      <c r="S1279" s="77">
        <v>7414000005</v>
      </c>
      <c r="AB1279"/>
      <c r="AC1279"/>
    </row>
    <row r="1280" spans="16:29" x14ac:dyDescent="0.25">
      <c r="P1280" s="78">
        <v>0</v>
      </c>
      <c r="Q1280" s="79">
        <v>-3450.4501500000001</v>
      </c>
      <c r="R1280" s="77" t="s">
        <v>394</v>
      </c>
      <c r="S1280" s="77">
        <v>7414000005</v>
      </c>
      <c r="AB1280"/>
      <c r="AC1280"/>
    </row>
    <row r="1281" spans="16:29" x14ac:dyDescent="0.25">
      <c r="P1281" s="78">
        <v>0</v>
      </c>
      <c r="Q1281" s="79">
        <v>-2456.3988800000002</v>
      </c>
      <c r="R1281" s="77" t="s">
        <v>394</v>
      </c>
      <c r="S1281" s="77">
        <v>7414000005</v>
      </c>
      <c r="AB1281"/>
      <c r="AC1281"/>
    </row>
    <row r="1282" spans="16:29" x14ac:dyDescent="0.25">
      <c r="P1282" s="78">
        <v>0</v>
      </c>
      <c r="Q1282" s="79">
        <v>-394.05964499999999</v>
      </c>
      <c r="R1282" s="77" t="s">
        <v>394</v>
      </c>
      <c r="S1282" s="77">
        <v>7414000005</v>
      </c>
      <c r="AB1282"/>
      <c r="AC1282"/>
    </row>
    <row r="1283" spans="16:29" x14ac:dyDescent="0.25">
      <c r="P1283" s="78">
        <v>0</v>
      </c>
      <c r="Q1283" s="79">
        <v>-2622.0700879999999</v>
      </c>
      <c r="R1283" s="77" t="s">
        <v>394</v>
      </c>
      <c r="S1283" s="77">
        <v>7414000005</v>
      </c>
      <c r="AB1283"/>
      <c r="AC1283"/>
    </row>
    <row r="1284" spans="16:29" x14ac:dyDescent="0.25">
      <c r="P1284" s="78">
        <v>0</v>
      </c>
      <c r="Q1284" s="79">
        <v>-5651.0392650000003</v>
      </c>
      <c r="R1284" s="77" t="s">
        <v>394</v>
      </c>
      <c r="S1284" s="77">
        <v>7414000005</v>
      </c>
      <c r="AB1284"/>
      <c r="AC1284"/>
    </row>
    <row r="1285" spans="16:29" x14ac:dyDescent="0.25">
      <c r="P1285" s="78">
        <v>1383</v>
      </c>
      <c r="Q1285" s="79">
        <v>78569.899999999994</v>
      </c>
      <c r="R1285" s="77" t="s">
        <v>394</v>
      </c>
      <c r="S1285" s="77">
        <v>7414000005</v>
      </c>
      <c r="AB1285"/>
      <c r="AC1285"/>
    </row>
    <row r="1286" spans="16:29" x14ac:dyDescent="0.25">
      <c r="P1286" s="78">
        <v>0</v>
      </c>
      <c r="Q1286" s="79">
        <v>-1068.5999999999999</v>
      </c>
      <c r="R1286" s="77" t="s">
        <v>394</v>
      </c>
      <c r="S1286" s="77">
        <v>7414000005</v>
      </c>
      <c r="AB1286"/>
      <c r="AC1286"/>
    </row>
    <row r="1287" spans="16:29" x14ac:dyDescent="0.25">
      <c r="P1287" s="78">
        <v>0</v>
      </c>
      <c r="Q1287" s="79">
        <v>607.82000000000005</v>
      </c>
      <c r="R1287" s="77" t="s">
        <v>394</v>
      </c>
      <c r="S1287" s="77">
        <v>7414000005</v>
      </c>
      <c r="AB1287"/>
      <c r="AC1287"/>
    </row>
    <row r="1288" spans="16:29" x14ac:dyDescent="0.25">
      <c r="P1288" s="78">
        <v>3886</v>
      </c>
      <c r="Q1288" s="79">
        <v>13199.855992000001</v>
      </c>
      <c r="R1288" s="77" t="s">
        <v>394</v>
      </c>
      <c r="S1288" s="77">
        <v>7414000005</v>
      </c>
      <c r="AB1288"/>
      <c r="AC1288"/>
    </row>
    <row r="1289" spans="16:29" x14ac:dyDescent="0.25">
      <c r="P1289" s="78">
        <v>8000411</v>
      </c>
      <c r="Q1289" s="79">
        <v>22136193.188501999</v>
      </c>
      <c r="R1289" s="77" t="s">
        <v>394</v>
      </c>
      <c r="S1289" s="77">
        <v>7414000005</v>
      </c>
      <c r="AB1289"/>
      <c r="AC1289"/>
    </row>
    <row r="1290" spans="16:29" x14ac:dyDescent="0.25">
      <c r="P1290" s="78">
        <v>27192</v>
      </c>
      <c r="Q1290" s="79">
        <v>98244.179352000006</v>
      </c>
      <c r="R1290" s="77" t="s">
        <v>394</v>
      </c>
      <c r="S1290" s="77">
        <v>7414000005</v>
      </c>
      <c r="AB1290"/>
      <c r="AC1290"/>
    </row>
    <row r="1291" spans="16:29" x14ac:dyDescent="0.25">
      <c r="P1291" s="78">
        <v>16219</v>
      </c>
      <c r="Q1291" s="79">
        <v>2222763.8981659999</v>
      </c>
      <c r="R1291" s="77" t="s">
        <v>394</v>
      </c>
      <c r="S1291" s="77">
        <v>7414000005</v>
      </c>
      <c r="AB1291"/>
      <c r="AC1291"/>
    </row>
    <row r="1292" spans="16:29" x14ac:dyDescent="0.25">
      <c r="P1292" s="78">
        <v>2466349</v>
      </c>
      <c r="Q1292" s="79">
        <v>8968868.2731040008</v>
      </c>
      <c r="R1292" s="77" t="s">
        <v>394</v>
      </c>
      <c r="S1292" s="77">
        <v>7414000005</v>
      </c>
      <c r="AB1292"/>
      <c r="AC1292"/>
    </row>
    <row r="1293" spans="16:29" x14ac:dyDescent="0.25">
      <c r="P1293" s="78">
        <v>1218943</v>
      </c>
      <c r="Q1293" s="79">
        <v>2598181.8802720001</v>
      </c>
      <c r="R1293" s="77" t="s">
        <v>394</v>
      </c>
      <c r="S1293" s="77">
        <v>7414000005</v>
      </c>
      <c r="AB1293"/>
      <c r="AC1293"/>
    </row>
    <row r="1294" spans="16:29" x14ac:dyDescent="0.25">
      <c r="P1294" s="78">
        <v>144619</v>
      </c>
      <c r="Q1294" s="79">
        <v>407091.63857499999</v>
      </c>
      <c r="R1294" s="77" t="s">
        <v>394</v>
      </c>
      <c r="S1294" s="77">
        <v>7414000005</v>
      </c>
      <c r="AB1294"/>
      <c r="AC1294"/>
    </row>
    <row r="1295" spans="16:29" x14ac:dyDescent="0.25">
      <c r="P1295" s="78">
        <v>20826</v>
      </c>
      <c r="Q1295" s="79">
        <v>75243.942305999997</v>
      </c>
      <c r="R1295" s="77" t="s">
        <v>394</v>
      </c>
      <c r="S1295" s="77">
        <v>7414000005</v>
      </c>
      <c r="AB1295"/>
      <c r="AC1295"/>
    </row>
    <row r="1296" spans="16:29" x14ac:dyDescent="0.25">
      <c r="P1296" s="78">
        <v>7122</v>
      </c>
      <c r="Q1296" s="79">
        <v>976048.12150799995</v>
      </c>
      <c r="R1296" s="77" t="s">
        <v>394</v>
      </c>
      <c r="S1296" s="77">
        <v>7414000005</v>
      </c>
      <c r="AB1296"/>
      <c r="AC1296"/>
    </row>
    <row r="1297" spans="16:29" x14ac:dyDescent="0.25">
      <c r="P1297" s="78">
        <v>1027729</v>
      </c>
      <c r="Q1297" s="79">
        <v>3737332.3975840001</v>
      </c>
      <c r="R1297" s="77" t="s">
        <v>394</v>
      </c>
      <c r="S1297" s="77">
        <v>7414000005</v>
      </c>
      <c r="AB1297"/>
      <c r="AC1297"/>
    </row>
    <row r="1298" spans="16:29" x14ac:dyDescent="0.25">
      <c r="P1298" s="78">
        <v>565222</v>
      </c>
      <c r="Q1298" s="79">
        <v>1204772.953888</v>
      </c>
      <c r="R1298" s="77" t="s">
        <v>394</v>
      </c>
      <c r="S1298" s="77">
        <v>7414000005</v>
      </c>
      <c r="AB1298"/>
      <c r="AC1298"/>
    </row>
    <row r="1299" spans="16:29" x14ac:dyDescent="0.25">
      <c r="P1299" s="78">
        <v>38749</v>
      </c>
      <c r="Q1299" s="79">
        <v>109075.528825</v>
      </c>
      <c r="R1299" s="77" t="s">
        <v>394</v>
      </c>
      <c r="S1299" s="77">
        <v>7414000005</v>
      </c>
      <c r="AB1299"/>
      <c r="AC1299"/>
    </row>
    <row r="1300" spans="16:29" x14ac:dyDescent="0.25">
      <c r="P1300" s="78">
        <v>3072865</v>
      </c>
      <c r="Q1300" s="79">
        <v>10750642.521645</v>
      </c>
      <c r="R1300" s="77" t="s">
        <v>394</v>
      </c>
      <c r="S1300" s="77">
        <v>7414000005</v>
      </c>
      <c r="AB1300"/>
      <c r="AC1300"/>
    </row>
    <row r="1301" spans="16:29" x14ac:dyDescent="0.25">
      <c r="P1301" s="78">
        <v>1131329</v>
      </c>
      <c r="Q1301" s="79">
        <v>3958037.0935169999</v>
      </c>
      <c r="R1301" s="77" t="s">
        <v>394</v>
      </c>
      <c r="S1301" s="77">
        <v>7414000005</v>
      </c>
      <c r="AB1301"/>
      <c r="AC1301"/>
    </row>
    <row r="1302" spans="16:29" x14ac:dyDescent="0.25">
      <c r="P1302" s="78">
        <v>0</v>
      </c>
      <c r="Q1302" s="79">
        <v>0</v>
      </c>
      <c r="R1302" s="77" t="s">
        <v>394</v>
      </c>
      <c r="S1302" s="77">
        <v>7414000005</v>
      </c>
      <c r="AB1302"/>
      <c r="AC1302"/>
    </row>
    <row r="1303" spans="16:29" x14ac:dyDescent="0.25">
      <c r="P1303" s="78">
        <v>0</v>
      </c>
      <c r="Q1303" s="79">
        <v>0</v>
      </c>
      <c r="R1303" s="77" t="s">
        <v>394</v>
      </c>
      <c r="S1303" s="77">
        <v>7414000005</v>
      </c>
      <c r="AB1303"/>
      <c r="AC1303"/>
    </row>
    <row r="1304" spans="16:29" x14ac:dyDescent="0.25">
      <c r="P1304" s="78">
        <v>0</v>
      </c>
      <c r="Q1304" s="79">
        <v>0</v>
      </c>
      <c r="R1304" s="77" t="s">
        <v>394</v>
      </c>
      <c r="S1304" s="77">
        <v>7414000005</v>
      </c>
      <c r="AB1304"/>
      <c r="AC1304"/>
    </row>
    <row r="1305" spans="16:29" x14ac:dyDescent="0.25">
      <c r="P1305" s="78">
        <v>0</v>
      </c>
      <c r="Q1305" s="79">
        <v>-0.02</v>
      </c>
      <c r="R1305" s="77" t="s">
        <v>394</v>
      </c>
      <c r="S1305" s="77">
        <v>7414000005</v>
      </c>
      <c r="AB1305"/>
      <c r="AC1305"/>
    </row>
    <row r="1306" spans="16:29" x14ac:dyDescent="0.25">
      <c r="P1306" s="78">
        <v>0</v>
      </c>
      <c r="Q1306" s="79">
        <v>0</v>
      </c>
      <c r="R1306" s="77" t="s">
        <v>394</v>
      </c>
      <c r="S1306" s="77">
        <v>7414000005</v>
      </c>
      <c r="AB1306"/>
      <c r="AC1306"/>
    </row>
    <row r="1307" spans="16:29" x14ac:dyDescent="0.25">
      <c r="P1307" s="78">
        <v>0</v>
      </c>
      <c r="Q1307" s="79">
        <v>0</v>
      </c>
      <c r="R1307" s="77" t="s">
        <v>394</v>
      </c>
      <c r="S1307" s="77">
        <v>7414000005</v>
      </c>
      <c r="AB1307"/>
      <c r="AC1307"/>
    </row>
    <row r="1308" spans="16:29" x14ac:dyDescent="0.25">
      <c r="P1308" s="78">
        <v>0</v>
      </c>
      <c r="Q1308" s="79">
        <v>0</v>
      </c>
      <c r="R1308" s="77" t="s">
        <v>394</v>
      </c>
      <c r="S1308" s="77">
        <v>7414000005</v>
      </c>
      <c r="AB1308"/>
      <c r="AC1308"/>
    </row>
    <row r="1309" spans="16:29" x14ac:dyDescent="0.25">
      <c r="P1309" s="78">
        <v>0</v>
      </c>
      <c r="Q1309" s="79">
        <v>0</v>
      </c>
      <c r="R1309" s="77" t="s">
        <v>394</v>
      </c>
      <c r="S1309" s="77">
        <v>7414000005</v>
      </c>
      <c r="AB1309"/>
      <c r="AC1309"/>
    </row>
    <row r="1310" spans="16:29" x14ac:dyDescent="0.25">
      <c r="P1310" s="78">
        <v>0</v>
      </c>
      <c r="Q1310" s="79">
        <v>0</v>
      </c>
      <c r="R1310" s="77" t="s">
        <v>394</v>
      </c>
      <c r="S1310" s="77">
        <v>7414000005</v>
      </c>
      <c r="AB1310"/>
      <c r="AC1310"/>
    </row>
    <row r="1311" spans="16:29" x14ac:dyDescent="0.25">
      <c r="P1311" s="78">
        <v>0</v>
      </c>
      <c r="Q1311" s="79">
        <v>0</v>
      </c>
      <c r="R1311" s="77" t="s">
        <v>394</v>
      </c>
      <c r="S1311" s="77">
        <v>7414000005</v>
      </c>
      <c r="AB1311"/>
      <c r="AC1311"/>
    </row>
    <row r="1312" spans="16:29" x14ac:dyDescent="0.25">
      <c r="P1312" s="78">
        <v>0</v>
      </c>
      <c r="Q1312" s="79">
        <v>0</v>
      </c>
      <c r="R1312" s="77" t="s">
        <v>394</v>
      </c>
      <c r="S1312" s="77">
        <v>7414000005</v>
      </c>
      <c r="AB1312"/>
      <c r="AC1312"/>
    </row>
    <row r="1313" spans="16:29" x14ac:dyDescent="0.25">
      <c r="P1313" s="78">
        <v>0</v>
      </c>
      <c r="Q1313" s="79">
        <v>0</v>
      </c>
      <c r="R1313" s="77" t="s">
        <v>394</v>
      </c>
      <c r="S1313" s="77">
        <v>7414000005</v>
      </c>
      <c r="AB1313"/>
      <c r="AC1313"/>
    </row>
    <row r="1314" spans="16:29" x14ac:dyDescent="0.25">
      <c r="P1314" s="78">
        <v>-21725</v>
      </c>
      <c r="Q1314" s="79">
        <v>-39978562.25</v>
      </c>
      <c r="R1314" s="77" t="s">
        <v>394</v>
      </c>
      <c r="S1314" s="77">
        <v>7414000005</v>
      </c>
      <c r="AB1314"/>
      <c r="AC1314"/>
    </row>
    <row r="1315" spans="16:29" x14ac:dyDescent="0.25">
      <c r="P1315" s="78">
        <v>0</v>
      </c>
      <c r="Q1315" s="79">
        <v>0</v>
      </c>
      <c r="R1315" s="77" t="s">
        <v>394</v>
      </c>
      <c r="S1315" s="77">
        <v>7414000005</v>
      </c>
      <c r="AB1315"/>
      <c r="AC1315"/>
    </row>
    <row r="1316" spans="16:29" x14ac:dyDescent="0.25">
      <c r="P1316" s="78">
        <v>0</v>
      </c>
      <c r="Q1316" s="79">
        <v>0</v>
      </c>
      <c r="R1316" s="77" t="s">
        <v>394</v>
      </c>
      <c r="S1316" s="77">
        <v>7414000005</v>
      </c>
      <c r="AB1316"/>
      <c r="AC1316"/>
    </row>
    <row r="1317" spans="16:29" x14ac:dyDescent="0.25">
      <c r="P1317" s="78">
        <v>0</v>
      </c>
      <c r="Q1317" s="79">
        <v>0</v>
      </c>
      <c r="R1317" s="77" t="s">
        <v>394</v>
      </c>
      <c r="S1317" s="77">
        <v>7414000005</v>
      </c>
      <c r="AB1317"/>
      <c r="AC1317"/>
    </row>
    <row r="1318" spans="16:29" x14ac:dyDescent="0.25">
      <c r="P1318" s="78">
        <v>0</v>
      </c>
      <c r="Q1318" s="79">
        <v>0</v>
      </c>
      <c r="R1318" s="77" t="s">
        <v>394</v>
      </c>
      <c r="S1318" s="77">
        <v>7414000005</v>
      </c>
      <c r="AB1318"/>
      <c r="AC1318"/>
    </row>
    <row r="1319" spans="16:29" x14ac:dyDescent="0.25">
      <c r="P1319" s="78">
        <v>0</v>
      </c>
      <c r="Q1319" s="79">
        <v>0</v>
      </c>
      <c r="R1319" s="77" t="s">
        <v>394</v>
      </c>
      <c r="S1319" s="77">
        <v>7414000005</v>
      </c>
      <c r="AB1319"/>
      <c r="AC1319"/>
    </row>
    <row r="1320" spans="16:29" x14ac:dyDescent="0.25">
      <c r="P1320" s="78">
        <v>0</v>
      </c>
      <c r="Q1320" s="79">
        <v>0</v>
      </c>
      <c r="R1320" s="77" t="s">
        <v>394</v>
      </c>
      <c r="S1320" s="77">
        <v>7414000005</v>
      </c>
      <c r="AB1320"/>
      <c r="AC1320"/>
    </row>
    <row r="1321" spans="16:29" x14ac:dyDescent="0.25">
      <c r="P1321" s="78">
        <v>0</v>
      </c>
      <c r="Q1321" s="79">
        <v>0</v>
      </c>
      <c r="R1321" s="77" t="s">
        <v>394</v>
      </c>
      <c r="S1321" s="77">
        <v>7414000005</v>
      </c>
      <c r="AB1321"/>
      <c r="AC1321"/>
    </row>
    <row r="1322" spans="16:29" x14ac:dyDescent="0.25">
      <c r="P1322" s="78">
        <v>0</v>
      </c>
      <c r="Q1322" s="79">
        <v>0</v>
      </c>
      <c r="R1322" s="77" t="s">
        <v>394</v>
      </c>
      <c r="S1322" s="77">
        <v>7414000005</v>
      </c>
      <c r="AB1322"/>
      <c r="AC1322"/>
    </row>
    <row r="1323" spans="16:29" x14ac:dyDescent="0.25">
      <c r="P1323" s="78">
        <v>0</v>
      </c>
      <c r="Q1323" s="79">
        <v>0</v>
      </c>
      <c r="R1323" s="77" t="s">
        <v>394</v>
      </c>
      <c r="S1323" s="77">
        <v>7414000005</v>
      </c>
      <c r="AB1323"/>
      <c r="AC1323"/>
    </row>
    <row r="1324" spans="16:29" x14ac:dyDescent="0.25">
      <c r="P1324" s="78">
        <v>0</v>
      </c>
      <c r="Q1324" s="79">
        <v>0</v>
      </c>
      <c r="R1324" s="77" t="s">
        <v>394</v>
      </c>
      <c r="S1324" s="77">
        <v>7414000005</v>
      </c>
      <c r="AB1324"/>
      <c r="AC1324"/>
    </row>
    <row r="1325" spans="16:29" x14ac:dyDescent="0.25">
      <c r="P1325" s="78">
        <v>0</v>
      </c>
      <c r="Q1325" s="79">
        <v>0</v>
      </c>
      <c r="R1325" s="77" t="s">
        <v>394</v>
      </c>
      <c r="S1325" s="77">
        <v>7414000005</v>
      </c>
      <c r="AB1325"/>
      <c r="AC1325"/>
    </row>
    <row r="1326" spans="16:29" x14ac:dyDescent="0.25">
      <c r="P1326" s="78">
        <v>0</v>
      </c>
      <c r="Q1326" s="79">
        <v>0</v>
      </c>
      <c r="R1326" s="77" t="s">
        <v>394</v>
      </c>
      <c r="S1326" s="77">
        <v>7414000005</v>
      </c>
      <c r="AB1326"/>
      <c r="AC1326"/>
    </row>
    <row r="1327" spans="16:29" x14ac:dyDescent="0.25">
      <c r="P1327" s="78">
        <v>0</v>
      </c>
      <c r="Q1327" s="79">
        <v>0</v>
      </c>
      <c r="R1327" s="77" t="s">
        <v>394</v>
      </c>
      <c r="S1327" s="77">
        <v>7414000005</v>
      </c>
      <c r="AB1327"/>
      <c r="AC1327"/>
    </row>
    <row r="1328" spans="16:29" x14ac:dyDescent="0.25">
      <c r="P1328" s="78">
        <v>0</v>
      </c>
      <c r="Q1328" s="79">
        <v>0</v>
      </c>
      <c r="R1328" s="77" t="s">
        <v>394</v>
      </c>
      <c r="S1328" s="77">
        <v>7414000005</v>
      </c>
      <c r="AB1328"/>
      <c r="AC1328"/>
    </row>
    <row r="1329" spans="16:29" x14ac:dyDescent="0.25">
      <c r="P1329" s="78">
        <v>0</v>
      </c>
      <c r="Q1329" s="79">
        <v>0</v>
      </c>
      <c r="R1329" s="77" t="s">
        <v>394</v>
      </c>
      <c r="S1329" s="77">
        <v>7414000005</v>
      </c>
      <c r="AB1329"/>
      <c r="AC1329"/>
    </row>
    <row r="1330" spans="16:29" x14ac:dyDescent="0.25">
      <c r="P1330" s="78">
        <v>0</v>
      </c>
      <c r="Q1330" s="79">
        <v>0</v>
      </c>
      <c r="R1330" s="77" t="s">
        <v>394</v>
      </c>
      <c r="S1330" s="77">
        <v>7414000005</v>
      </c>
      <c r="AB1330"/>
      <c r="AC1330"/>
    </row>
    <row r="1331" spans="16:29" x14ac:dyDescent="0.25">
      <c r="P1331" s="78">
        <v>0</v>
      </c>
      <c r="Q1331" s="79">
        <v>0</v>
      </c>
      <c r="R1331" s="77" t="s">
        <v>394</v>
      </c>
      <c r="S1331" s="77">
        <v>7414000005</v>
      </c>
      <c r="AB1331"/>
      <c r="AC1331"/>
    </row>
    <row r="1332" spans="16:29" x14ac:dyDescent="0.25">
      <c r="P1332" s="78">
        <v>0</v>
      </c>
      <c r="Q1332" s="79">
        <v>0</v>
      </c>
      <c r="R1332" s="77" t="s">
        <v>394</v>
      </c>
      <c r="S1332" s="77">
        <v>7414000005</v>
      </c>
      <c r="AB1332"/>
      <c r="AC1332"/>
    </row>
    <row r="1333" spans="16:29" x14ac:dyDescent="0.25">
      <c r="P1333" s="78">
        <v>0</v>
      </c>
      <c r="Q1333" s="79">
        <v>0</v>
      </c>
      <c r="R1333" s="77" t="s">
        <v>394</v>
      </c>
      <c r="S1333" s="77">
        <v>7414000005</v>
      </c>
      <c r="AB1333"/>
      <c r="AC1333"/>
    </row>
    <row r="1334" spans="16:29" x14ac:dyDescent="0.25">
      <c r="P1334" s="78">
        <v>0</v>
      </c>
      <c r="Q1334" s="79">
        <v>0</v>
      </c>
      <c r="R1334" s="77" t="s">
        <v>394</v>
      </c>
      <c r="S1334" s="77">
        <v>7414000005</v>
      </c>
      <c r="AB1334"/>
      <c r="AC1334"/>
    </row>
    <row r="1335" spans="16:29" x14ac:dyDescent="0.25">
      <c r="P1335" s="78">
        <v>0</v>
      </c>
      <c r="Q1335" s="79">
        <v>0</v>
      </c>
      <c r="R1335" s="77" t="s">
        <v>394</v>
      </c>
      <c r="S1335" s="77">
        <v>7414000005</v>
      </c>
      <c r="AB1335"/>
      <c r="AC1335"/>
    </row>
    <row r="1336" spans="16:29" x14ac:dyDescent="0.25">
      <c r="P1336" s="78">
        <v>274</v>
      </c>
      <c r="Q1336" s="79">
        <v>26757.311354000001</v>
      </c>
      <c r="R1336" s="77" t="s">
        <v>394</v>
      </c>
      <c r="S1336" s="77">
        <v>7414000005</v>
      </c>
      <c r="AB1336"/>
      <c r="AC1336"/>
    </row>
    <row r="1337" spans="16:29" x14ac:dyDescent="0.25">
      <c r="P1337" s="78">
        <v>198</v>
      </c>
      <c r="Q1337" s="79">
        <v>133725.24</v>
      </c>
      <c r="R1337" s="77" t="s">
        <v>394</v>
      </c>
      <c r="S1337" s="77">
        <v>7414000005</v>
      </c>
      <c r="AB1337"/>
      <c r="AC1337"/>
    </row>
    <row r="1338" spans="16:29" x14ac:dyDescent="0.25">
      <c r="P1338" s="78">
        <v>46</v>
      </c>
      <c r="Q1338" s="79">
        <v>32229.9</v>
      </c>
      <c r="R1338" s="77" t="s">
        <v>394</v>
      </c>
      <c r="S1338" s="77">
        <v>7414000005</v>
      </c>
      <c r="AB1338"/>
      <c r="AC1338"/>
    </row>
    <row r="1339" spans="16:29" x14ac:dyDescent="0.25">
      <c r="P1339" s="78">
        <v>76</v>
      </c>
      <c r="Q1339" s="79">
        <v>87476</v>
      </c>
      <c r="R1339" s="77" t="s">
        <v>394</v>
      </c>
      <c r="S1339" s="77">
        <v>7414000005</v>
      </c>
      <c r="AB1339"/>
      <c r="AC1339"/>
    </row>
    <row r="1340" spans="16:29" x14ac:dyDescent="0.25">
      <c r="P1340" s="78">
        <v>714</v>
      </c>
      <c r="Q1340" s="79">
        <v>70493.469186000002</v>
      </c>
      <c r="R1340" s="77" t="s">
        <v>394</v>
      </c>
      <c r="S1340" s="77">
        <v>7414000005</v>
      </c>
      <c r="AB1340"/>
      <c r="AC1340"/>
    </row>
    <row r="1341" spans="16:29" x14ac:dyDescent="0.25">
      <c r="P1341" s="78">
        <v>38</v>
      </c>
      <c r="Q1341" s="79">
        <v>3771.4049239999999</v>
      </c>
      <c r="R1341" s="77" t="s">
        <v>394</v>
      </c>
      <c r="S1341" s="77">
        <v>7414000005</v>
      </c>
      <c r="AB1341"/>
      <c r="AC1341"/>
    </row>
    <row r="1342" spans="16:29" x14ac:dyDescent="0.25">
      <c r="P1342" s="78">
        <v>250</v>
      </c>
      <c r="Q1342" s="79">
        <v>23743.286749999999</v>
      </c>
      <c r="R1342" s="77" t="s">
        <v>394</v>
      </c>
      <c r="S1342" s="77">
        <v>7414000005</v>
      </c>
      <c r="AB1342"/>
      <c r="AC1342"/>
    </row>
    <row r="1343" spans="16:29" x14ac:dyDescent="0.25">
      <c r="P1343" s="78">
        <v>519</v>
      </c>
      <c r="Q1343" s="79">
        <v>47702.235098999998</v>
      </c>
      <c r="R1343" s="77" t="s">
        <v>394</v>
      </c>
      <c r="S1343" s="77">
        <v>7414000005</v>
      </c>
      <c r="AB1343"/>
      <c r="AC1343"/>
    </row>
    <row r="1344" spans="16:29" x14ac:dyDescent="0.25">
      <c r="P1344" s="78">
        <v>430</v>
      </c>
      <c r="Q1344" s="79">
        <v>39970.436289999998</v>
      </c>
      <c r="R1344" s="77" t="s">
        <v>394</v>
      </c>
      <c r="S1344" s="77">
        <v>7414000005</v>
      </c>
      <c r="AB1344"/>
      <c r="AC1344"/>
    </row>
    <row r="1345" spans="16:29" x14ac:dyDescent="0.25">
      <c r="P1345" s="78">
        <v>1088</v>
      </c>
      <c r="Q1345" s="79">
        <v>96503.557824000003</v>
      </c>
      <c r="R1345" s="77" t="s">
        <v>394</v>
      </c>
      <c r="S1345" s="77">
        <v>7414000005</v>
      </c>
      <c r="AB1345"/>
      <c r="AC1345"/>
    </row>
    <row r="1346" spans="16:29" x14ac:dyDescent="0.25">
      <c r="P1346" s="78">
        <v>470</v>
      </c>
      <c r="Q1346" s="79">
        <v>43857.670239999999</v>
      </c>
      <c r="R1346" s="77" t="s">
        <v>394</v>
      </c>
      <c r="S1346" s="77">
        <v>7414000005</v>
      </c>
      <c r="AB1346"/>
      <c r="AC1346"/>
    </row>
    <row r="1347" spans="16:29" x14ac:dyDescent="0.25">
      <c r="P1347" s="78">
        <v>1980</v>
      </c>
      <c r="Q1347" s="79">
        <v>187831.05264000001</v>
      </c>
      <c r="R1347" s="77" t="s">
        <v>394</v>
      </c>
      <c r="S1347" s="77">
        <v>7414000005</v>
      </c>
      <c r="AB1347"/>
      <c r="AC1347"/>
    </row>
    <row r="1348" spans="16:29" x14ac:dyDescent="0.25">
      <c r="P1348" s="78">
        <v>273</v>
      </c>
      <c r="Q1348" s="79">
        <v>24430.623944999999</v>
      </c>
      <c r="R1348" s="77" t="s">
        <v>394</v>
      </c>
      <c r="S1348" s="77">
        <v>7414000005</v>
      </c>
      <c r="AB1348"/>
      <c r="AC1348"/>
    </row>
    <row r="1349" spans="16:29" x14ac:dyDescent="0.25">
      <c r="P1349" s="78">
        <v>591</v>
      </c>
      <c r="Q1349" s="79">
        <v>50942.502648000001</v>
      </c>
      <c r="R1349" s="77" t="s">
        <v>394</v>
      </c>
      <c r="S1349" s="77">
        <v>7414000005</v>
      </c>
      <c r="AB1349"/>
      <c r="AC1349"/>
    </row>
    <row r="1350" spans="16:29" x14ac:dyDescent="0.25">
      <c r="P1350" s="78">
        <v>1890</v>
      </c>
      <c r="Q1350" s="79">
        <v>163427.07905999999</v>
      </c>
      <c r="R1350" s="77" t="s">
        <v>394</v>
      </c>
      <c r="S1350" s="77">
        <v>7414000005</v>
      </c>
      <c r="AB1350"/>
      <c r="AC1350"/>
    </row>
    <row r="1351" spans="16:29" x14ac:dyDescent="0.25">
      <c r="P1351" s="78">
        <v>450</v>
      </c>
      <c r="Q1351" s="79">
        <v>45652.934699999998</v>
      </c>
      <c r="R1351" s="77" t="s">
        <v>394</v>
      </c>
      <c r="S1351" s="77">
        <v>7414000005</v>
      </c>
      <c r="AB1351"/>
      <c r="AC1351"/>
    </row>
    <row r="1352" spans="16:29" x14ac:dyDescent="0.25">
      <c r="P1352" s="78">
        <v>985</v>
      </c>
      <c r="Q1352" s="79">
        <v>88298.524420000002</v>
      </c>
      <c r="R1352" s="77" t="s">
        <v>394</v>
      </c>
      <c r="S1352" s="77">
        <v>7414000005</v>
      </c>
      <c r="AB1352"/>
      <c r="AC1352"/>
    </row>
    <row r="1353" spans="16:29" x14ac:dyDescent="0.25">
      <c r="P1353" s="78">
        <v>1049</v>
      </c>
      <c r="Q1353" s="79">
        <v>85744.064140000002</v>
      </c>
      <c r="R1353" s="77" t="s">
        <v>394</v>
      </c>
      <c r="S1353" s="77">
        <v>7414000005</v>
      </c>
      <c r="AB1353"/>
      <c r="AC1353"/>
    </row>
    <row r="1354" spans="16:29" x14ac:dyDescent="0.25">
      <c r="P1354" s="78">
        <v>1636</v>
      </c>
      <c r="Q1354" s="79">
        <v>134413.60785199999</v>
      </c>
      <c r="R1354" s="77" t="s">
        <v>394</v>
      </c>
      <c r="S1354" s="77">
        <v>7414000005</v>
      </c>
      <c r="AB1354"/>
      <c r="AC1354"/>
    </row>
    <row r="1355" spans="16:29" x14ac:dyDescent="0.25">
      <c r="P1355" s="78">
        <v>80</v>
      </c>
      <c r="Q1355" s="79">
        <v>682600</v>
      </c>
      <c r="R1355" s="77" t="s">
        <v>394</v>
      </c>
      <c r="S1355" s="77">
        <v>7414000005</v>
      </c>
      <c r="AB1355"/>
      <c r="AC1355"/>
    </row>
    <row r="1356" spans="16:29" x14ac:dyDescent="0.25">
      <c r="P1356" s="78">
        <v>612</v>
      </c>
      <c r="Q1356" s="79">
        <v>59980.794408000002</v>
      </c>
      <c r="R1356" s="77" t="s">
        <v>394</v>
      </c>
      <c r="S1356" s="77">
        <v>7414000005</v>
      </c>
      <c r="AB1356"/>
      <c r="AC1356"/>
    </row>
    <row r="1357" spans="16:29" x14ac:dyDescent="0.25">
      <c r="P1357" s="78">
        <v>259</v>
      </c>
      <c r="Q1357" s="79">
        <v>176780.45</v>
      </c>
      <c r="R1357" s="77" t="s">
        <v>394</v>
      </c>
      <c r="S1357" s="77">
        <v>7414000005</v>
      </c>
      <c r="AB1357"/>
      <c r="AC1357"/>
    </row>
    <row r="1358" spans="16:29" x14ac:dyDescent="0.25">
      <c r="P1358" s="78">
        <v>425160</v>
      </c>
      <c r="Q1358" s="79">
        <v>1334594.2464000001</v>
      </c>
      <c r="R1358" s="77" t="s">
        <v>394</v>
      </c>
      <c r="S1358" s="77">
        <v>7414000005</v>
      </c>
      <c r="AB1358"/>
      <c r="AC1358"/>
    </row>
    <row r="1359" spans="16:29" x14ac:dyDescent="0.25">
      <c r="P1359" s="78">
        <v>609520</v>
      </c>
      <c r="Q1359" s="79">
        <v>2070400.4694399999</v>
      </c>
      <c r="R1359" s="77" t="s">
        <v>394</v>
      </c>
      <c r="S1359" s="77">
        <v>7414000005</v>
      </c>
      <c r="AB1359"/>
      <c r="AC1359"/>
    </row>
    <row r="1360" spans="16:29" x14ac:dyDescent="0.25">
      <c r="P1360" s="78">
        <v>31</v>
      </c>
      <c r="Q1360" s="79">
        <v>23162.531392000001</v>
      </c>
      <c r="R1360" s="77" t="s">
        <v>394</v>
      </c>
      <c r="S1360" s="77">
        <v>7414000005</v>
      </c>
      <c r="AB1360"/>
      <c r="AC1360"/>
    </row>
    <row r="1361" spans="16:29" x14ac:dyDescent="0.25">
      <c r="P1361" s="78">
        <v>158</v>
      </c>
      <c r="Q1361" s="79">
        <v>121015.973514</v>
      </c>
      <c r="R1361" s="77" t="s">
        <v>394</v>
      </c>
      <c r="S1361" s="77">
        <v>7414000005</v>
      </c>
      <c r="AB1361"/>
      <c r="AC1361"/>
    </row>
    <row r="1362" spans="16:29" x14ac:dyDescent="0.25">
      <c r="P1362" s="78">
        <v>50</v>
      </c>
      <c r="Q1362" s="79">
        <v>34244.457900000001</v>
      </c>
      <c r="R1362" s="77" t="s">
        <v>394</v>
      </c>
      <c r="S1362" s="77">
        <v>7414000005</v>
      </c>
      <c r="AB1362"/>
      <c r="AC1362"/>
    </row>
    <row r="1363" spans="16:29" x14ac:dyDescent="0.25">
      <c r="P1363" s="78">
        <v>7</v>
      </c>
      <c r="Q1363" s="79">
        <v>5410.4887550000003</v>
      </c>
      <c r="R1363" s="77" t="s">
        <v>394</v>
      </c>
      <c r="S1363" s="77">
        <v>7414000005</v>
      </c>
      <c r="AB1363"/>
      <c r="AC1363"/>
    </row>
    <row r="1364" spans="16:29" x14ac:dyDescent="0.25">
      <c r="P1364" s="78">
        <v>143</v>
      </c>
      <c r="Q1364" s="79">
        <v>103188.03352</v>
      </c>
      <c r="R1364" s="77" t="s">
        <v>394</v>
      </c>
      <c r="S1364" s="77">
        <v>7414000005</v>
      </c>
      <c r="AB1364"/>
      <c r="AC1364"/>
    </row>
    <row r="1365" spans="16:29" x14ac:dyDescent="0.25">
      <c r="P1365" s="78">
        <v>77</v>
      </c>
      <c r="Q1365" s="79">
        <v>48969.160163</v>
      </c>
      <c r="R1365" s="77" t="s">
        <v>394</v>
      </c>
      <c r="S1365" s="77">
        <v>7414000005</v>
      </c>
      <c r="AB1365"/>
      <c r="AC1365"/>
    </row>
    <row r="1366" spans="16:29" x14ac:dyDescent="0.25">
      <c r="P1366" s="78">
        <v>233</v>
      </c>
      <c r="Q1366" s="79">
        <v>165283.149653</v>
      </c>
      <c r="R1366" s="77" t="s">
        <v>394</v>
      </c>
      <c r="S1366" s="77">
        <v>7414000005</v>
      </c>
      <c r="AB1366"/>
      <c r="AC1366"/>
    </row>
    <row r="1367" spans="16:29" x14ac:dyDescent="0.25">
      <c r="P1367" s="78">
        <v>378</v>
      </c>
      <c r="Q1367" s="79">
        <v>262487.428686</v>
      </c>
      <c r="R1367" s="77" t="s">
        <v>394</v>
      </c>
      <c r="S1367" s="77">
        <v>7414000005</v>
      </c>
      <c r="AB1367"/>
      <c r="AC1367"/>
    </row>
    <row r="1368" spans="16:29" x14ac:dyDescent="0.25">
      <c r="P1368" s="78">
        <v>175</v>
      </c>
      <c r="Q1368" s="79">
        <v>190750</v>
      </c>
      <c r="R1368" s="77" t="s">
        <v>394</v>
      </c>
      <c r="S1368" s="77">
        <v>7414000005</v>
      </c>
      <c r="AB1368"/>
      <c r="AC1368"/>
    </row>
    <row r="1369" spans="16:29" x14ac:dyDescent="0.25">
      <c r="P1369" s="78">
        <v>7000</v>
      </c>
      <c r="Q1369" s="79">
        <v>1180480</v>
      </c>
      <c r="R1369" s="77" t="s">
        <v>394</v>
      </c>
      <c r="S1369" s="77">
        <v>7414000005</v>
      </c>
      <c r="AB1369"/>
      <c r="AC1369"/>
    </row>
    <row r="1370" spans="16:29" x14ac:dyDescent="0.25">
      <c r="P1370" s="78">
        <v>22000</v>
      </c>
      <c r="Q1370" s="79">
        <v>260920</v>
      </c>
      <c r="R1370" s="77" t="s">
        <v>394</v>
      </c>
      <c r="S1370" s="77">
        <v>7414000005</v>
      </c>
      <c r="AB1370"/>
      <c r="AC1370"/>
    </row>
    <row r="1371" spans="16:29" x14ac:dyDescent="0.25">
      <c r="P1371" s="78">
        <v>19300</v>
      </c>
      <c r="Q1371" s="79">
        <v>1416041</v>
      </c>
      <c r="R1371" s="77" t="s">
        <v>394</v>
      </c>
      <c r="S1371" s="77">
        <v>7414000005</v>
      </c>
      <c r="AB1371"/>
      <c r="AC1371"/>
    </row>
    <row r="1372" spans="16:29" x14ac:dyDescent="0.25">
      <c r="P1372" s="78">
        <v>295000</v>
      </c>
      <c r="Q1372" s="79">
        <v>4460400</v>
      </c>
      <c r="R1372" s="77" t="s">
        <v>394</v>
      </c>
      <c r="S1372" s="77">
        <v>7414000005</v>
      </c>
      <c r="AB1372"/>
      <c r="AC1372"/>
    </row>
    <row r="1373" spans="16:29" x14ac:dyDescent="0.25">
      <c r="P1373" s="78">
        <v>5500</v>
      </c>
      <c r="Q1373" s="79">
        <v>2887995</v>
      </c>
      <c r="R1373" s="77" t="s">
        <v>394</v>
      </c>
      <c r="S1373" s="77">
        <v>7414000005</v>
      </c>
      <c r="AB1373"/>
      <c r="AC1373"/>
    </row>
    <row r="1374" spans="16:29" x14ac:dyDescent="0.25">
      <c r="P1374" s="78">
        <v>12800</v>
      </c>
      <c r="Q1374" s="79">
        <v>873600</v>
      </c>
      <c r="R1374" s="77" t="s">
        <v>394</v>
      </c>
      <c r="S1374" s="77">
        <v>7414000005</v>
      </c>
      <c r="AB1374"/>
      <c r="AC1374"/>
    </row>
    <row r="1375" spans="16:29" x14ac:dyDescent="0.25">
      <c r="P1375" s="78">
        <v>358800</v>
      </c>
      <c r="Q1375" s="79">
        <v>5141604</v>
      </c>
      <c r="R1375" s="77" t="s">
        <v>394</v>
      </c>
      <c r="S1375" s="77">
        <v>7414000005</v>
      </c>
      <c r="AB1375"/>
      <c r="AC1375"/>
    </row>
    <row r="1376" spans="16:29" x14ac:dyDescent="0.25">
      <c r="P1376" s="78">
        <v>4144</v>
      </c>
      <c r="Q1376" s="79">
        <v>404679.92062400002</v>
      </c>
      <c r="R1376" s="77" t="s">
        <v>394</v>
      </c>
      <c r="S1376" s="77">
        <v>7414000005</v>
      </c>
      <c r="AB1376"/>
      <c r="AC1376"/>
    </row>
    <row r="1377" spans="16:29" x14ac:dyDescent="0.25">
      <c r="P1377" s="78">
        <v>496336</v>
      </c>
      <c r="Q1377" s="79">
        <v>4712009.4935680004</v>
      </c>
      <c r="R1377" s="77" t="s">
        <v>394</v>
      </c>
      <c r="S1377" s="77">
        <v>7414000005</v>
      </c>
      <c r="AB1377"/>
      <c r="AC1377"/>
    </row>
    <row r="1378" spans="16:29" x14ac:dyDescent="0.25">
      <c r="P1378" s="78">
        <v>7900</v>
      </c>
      <c r="Q1378" s="79">
        <v>5335502</v>
      </c>
      <c r="R1378" s="77" t="s">
        <v>394</v>
      </c>
      <c r="S1378" s="77">
        <v>7414000005</v>
      </c>
      <c r="AB1378"/>
      <c r="AC1378"/>
    </row>
    <row r="1379" spans="16:29" x14ac:dyDescent="0.25">
      <c r="P1379" s="78">
        <v>0</v>
      </c>
      <c r="Q1379" s="79">
        <v>0</v>
      </c>
      <c r="R1379" s="77" t="s">
        <v>394</v>
      </c>
      <c r="S1379" s="77">
        <v>7414000005</v>
      </c>
      <c r="AB1379"/>
      <c r="AC1379"/>
    </row>
    <row r="1380" spans="16:29" x14ac:dyDescent="0.25">
      <c r="P1380" s="78">
        <v>1840</v>
      </c>
      <c r="Q1380" s="79">
        <v>1289196</v>
      </c>
      <c r="R1380" s="77" t="s">
        <v>394</v>
      </c>
      <c r="S1380" s="77">
        <v>7414000005</v>
      </c>
      <c r="AB1380"/>
      <c r="AC1380"/>
    </row>
    <row r="1381" spans="16:29" x14ac:dyDescent="0.25">
      <c r="P1381" s="78">
        <v>3240</v>
      </c>
      <c r="Q1381" s="79">
        <v>3729240</v>
      </c>
      <c r="R1381" s="77" t="s">
        <v>394</v>
      </c>
      <c r="S1381" s="77">
        <v>7414000005</v>
      </c>
      <c r="AB1381"/>
      <c r="AC1381"/>
    </row>
    <row r="1382" spans="16:29" x14ac:dyDescent="0.25">
      <c r="P1382" s="78">
        <v>26700</v>
      </c>
      <c r="Q1382" s="79">
        <v>5548527</v>
      </c>
      <c r="R1382" s="77" t="s">
        <v>394</v>
      </c>
      <c r="S1382" s="77">
        <v>7414000005</v>
      </c>
      <c r="AB1382"/>
      <c r="AC1382"/>
    </row>
    <row r="1383" spans="16:29" x14ac:dyDescent="0.25">
      <c r="P1383" s="78">
        <v>26</v>
      </c>
      <c r="Q1383" s="79">
        <v>754</v>
      </c>
      <c r="R1383" s="77" t="s">
        <v>394</v>
      </c>
      <c r="S1383" s="77">
        <v>7414000005</v>
      </c>
      <c r="AB1383"/>
      <c r="AC1383"/>
    </row>
    <row r="1384" spans="16:29" x14ac:dyDescent="0.25">
      <c r="P1384" s="78">
        <v>2800</v>
      </c>
      <c r="Q1384" s="79">
        <v>761432</v>
      </c>
      <c r="R1384" s="77" t="s">
        <v>394</v>
      </c>
      <c r="S1384" s="77">
        <v>7414000005</v>
      </c>
      <c r="AB1384"/>
      <c r="AC1384"/>
    </row>
    <row r="1385" spans="16:29" x14ac:dyDescent="0.25">
      <c r="P1385" s="78">
        <v>10000</v>
      </c>
      <c r="Q1385" s="79">
        <v>1931500</v>
      </c>
      <c r="R1385" s="77" t="s">
        <v>394</v>
      </c>
      <c r="S1385" s="77">
        <v>7414000005</v>
      </c>
      <c r="AB1385"/>
      <c r="AC1385"/>
    </row>
    <row r="1386" spans="16:29" x14ac:dyDescent="0.25">
      <c r="P1386" s="78">
        <v>70000</v>
      </c>
      <c r="Q1386" s="79">
        <v>1898400</v>
      </c>
      <c r="R1386" s="77" t="s">
        <v>394</v>
      </c>
      <c r="S1386" s="77">
        <v>7414000005</v>
      </c>
      <c r="AB1386"/>
      <c r="AC1386"/>
    </row>
    <row r="1387" spans="16:29" x14ac:dyDescent="0.25">
      <c r="P1387" s="78">
        <v>42000</v>
      </c>
      <c r="Q1387" s="79">
        <v>7410480</v>
      </c>
      <c r="R1387" s="77" t="s">
        <v>394</v>
      </c>
      <c r="S1387" s="77">
        <v>7414000005</v>
      </c>
      <c r="AB1387"/>
      <c r="AC1387"/>
    </row>
    <row r="1388" spans="16:29" x14ac:dyDescent="0.25">
      <c r="P1388" s="78">
        <v>0</v>
      </c>
      <c r="Q1388" s="79">
        <v>0</v>
      </c>
      <c r="R1388" s="77" t="s">
        <v>394</v>
      </c>
      <c r="S1388" s="77">
        <v>7414000005</v>
      </c>
      <c r="AB1388"/>
      <c r="AC1388"/>
    </row>
    <row r="1389" spans="16:29" x14ac:dyDescent="0.25">
      <c r="P1389" s="78">
        <v>53500</v>
      </c>
      <c r="Q1389" s="79">
        <v>5570420</v>
      </c>
      <c r="R1389" s="77" t="s">
        <v>394</v>
      </c>
      <c r="S1389" s="77">
        <v>7414000005</v>
      </c>
      <c r="AB1389"/>
      <c r="AC1389"/>
    </row>
    <row r="1390" spans="16:29" x14ac:dyDescent="0.25">
      <c r="P1390" s="78">
        <v>16870</v>
      </c>
      <c r="Q1390" s="79">
        <v>1665580.9876300001</v>
      </c>
      <c r="R1390" s="77" t="s">
        <v>394</v>
      </c>
      <c r="S1390" s="77">
        <v>7414000005</v>
      </c>
      <c r="AB1390"/>
      <c r="AC1390"/>
    </row>
    <row r="1391" spans="16:29" x14ac:dyDescent="0.25">
      <c r="P1391" s="78">
        <v>61213</v>
      </c>
      <c r="Q1391" s="79">
        <v>6075237.0950739998</v>
      </c>
      <c r="R1391" s="77" t="s">
        <v>394</v>
      </c>
      <c r="S1391" s="77">
        <v>7414000005</v>
      </c>
      <c r="AB1391"/>
      <c r="AC1391"/>
    </row>
    <row r="1392" spans="16:29" x14ac:dyDescent="0.25">
      <c r="P1392" s="78">
        <v>15900</v>
      </c>
      <c r="Q1392" s="79">
        <v>1510073.0373</v>
      </c>
      <c r="R1392" s="77" t="s">
        <v>394</v>
      </c>
      <c r="S1392" s="77">
        <v>7414000005</v>
      </c>
      <c r="AB1392"/>
      <c r="AC1392"/>
    </row>
    <row r="1393" spans="16:29" x14ac:dyDescent="0.25">
      <c r="P1393" s="78">
        <v>81931</v>
      </c>
      <c r="Q1393" s="79">
        <v>7530427.4063510001</v>
      </c>
      <c r="R1393" s="77" t="s">
        <v>394</v>
      </c>
      <c r="S1393" s="77">
        <v>7414000005</v>
      </c>
      <c r="AB1393"/>
      <c r="AC1393"/>
    </row>
    <row r="1394" spans="16:29" x14ac:dyDescent="0.25">
      <c r="P1394" s="78">
        <v>27710</v>
      </c>
      <c r="Q1394" s="79">
        <v>2575769.27813</v>
      </c>
      <c r="R1394" s="77" t="s">
        <v>394</v>
      </c>
      <c r="S1394" s="77">
        <v>7414000005</v>
      </c>
      <c r="AB1394"/>
      <c r="AC1394"/>
    </row>
    <row r="1395" spans="16:29" x14ac:dyDescent="0.25">
      <c r="P1395" s="78">
        <v>33345</v>
      </c>
      <c r="Q1395" s="79">
        <v>2957638.9114350001</v>
      </c>
      <c r="R1395" s="77" t="s">
        <v>394</v>
      </c>
      <c r="S1395" s="77">
        <v>7414000005</v>
      </c>
      <c r="AB1395"/>
      <c r="AC1395"/>
    </row>
    <row r="1396" spans="16:29" x14ac:dyDescent="0.25">
      <c r="P1396" s="78">
        <v>70810</v>
      </c>
      <c r="Q1396" s="79">
        <v>6607577.9355199998</v>
      </c>
      <c r="R1396" s="77" t="s">
        <v>394</v>
      </c>
      <c r="S1396" s="77">
        <v>7414000005</v>
      </c>
      <c r="AB1396"/>
      <c r="AC1396"/>
    </row>
    <row r="1397" spans="16:29" x14ac:dyDescent="0.25">
      <c r="P1397" s="78">
        <v>15230</v>
      </c>
      <c r="Q1397" s="79">
        <v>1444781.2786399999</v>
      </c>
      <c r="R1397" s="77" t="s">
        <v>394</v>
      </c>
      <c r="S1397" s="77">
        <v>7414000005</v>
      </c>
      <c r="AB1397"/>
      <c r="AC1397"/>
    </row>
    <row r="1398" spans="16:29" x14ac:dyDescent="0.25">
      <c r="P1398" s="78">
        <v>123071</v>
      </c>
      <c r="Q1398" s="79">
        <v>11675765.092147</v>
      </c>
      <c r="R1398" s="77" t="s">
        <v>394</v>
      </c>
      <c r="S1398" s="77">
        <v>7414000005</v>
      </c>
      <c r="AB1398"/>
      <c r="AC1398"/>
    </row>
    <row r="1399" spans="16:29" x14ac:dyDescent="0.25">
      <c r="P1399" s="78">
        <v>57611</v>
      </c>
      <c r="Q1399" s="79">
        <v>5155577.5681149997</v>
      </c>
      <c r="R1399" s="77" t="s">
        <v>394</v>
      </c>
      <c r="S1399" s="77">
        <v>7414000005</v>
      </c>
      <c r="AB1399"/>
      <c r="AC1399"/>
    </row>
    <row r="1400" spans="16:29" x14ac:dyDescent="0.25">
      <c r="P1400" s="78">
        <v>101568</v>
      </c>
      <c r="Q1400" s="79">
        <v>8754869.8967039995</v>
      </c>
      <c r="R1400" s="77" t="s">
        <v>394</v>
      </c>
      <c r="S1400" s="77">
        <v>7414000005</v>
      </c>
      <c r="AB1400"/>
      <c r="AC1400"/>
    </row>
    <row r="1401" spans="16:29" x14ac:dyDescent="0.25">
      <c r="P1401" s="78">
        <v>81398</v>
      </c>
      <c r="Q1401" s="79">
        <v>7038432.4768920001</v>
      </c>
      <c r="R1401" s="77" t="s">
        <v>394</v>
      </c>
      <c r="S1401" s="77">
        <v>7414000005</v>
      </c>
      <c r="AB1401"/>
      <c r="AC1401"/>
    </row>
    <row r="1402" spans="16:29" x14ac:dyDescent="0.25">
      <c r="P1402" s="78">
        <v>6218</v>
      </c>
      <c r="Q1402" s="79">
        <v>630822.10658799997</v>
      </c>
      <c r="R1402" s="77" t="s">
        <v>394</v>
      </c>
      <c r="S1402" s="77">
        <v>7414000005</v>
      </c>
      <c r="AB1402"/>
      <c r="AC1402"/>
    </row>
    <row r="1403" spans="16:29" x14ac:dyDescent="0.25">
      <c r="P1403" s="78">
        <v>8901</v>
      </c>
      <c r="Q1403" s="79">
        <v>797913.87397199997</v>
      </c>
      <c r="R1403" s="77" t="s">
        <v>394</v>
      </c>
      <c r="S1403" s="77">
        <v>7414000005</v>
      </c>
      <c r="AB1403"/>
      <c r="AC1403"/>
    </row>
    <row r="1404" spans="16:29" x14ac:dyDescent="0.25">
      <c r="P1404" s="78">
        <v>44784</v>
      </c>
      <c r="Q1404" s="79">
        <v>3660593.1062400001</v>
      </c>
      <c r="R1404" s="77" t="s">
        <v>394</v>
      </c>
      <c r="S1404" s="77">
        <v>7414000005</v>
      </c>
      <c r="AB1404"/>
      <c r="AC1404"/>
    </row>
    <row r="1405" spans="16:29" x14ac:dyDescent="0.25">
      <c r="P1405" s="78">
        <v>25156</v>
      </c>
      <c r="Q1405" s="79">
        <v>2092998.343716</v>
      </c>
      <c r="R1405" s="77" t="s">
        <v>394</v>
      </c>
      <c r="S1405" s="77">
        <v>7414000005</v>
      </c>
      <c r="AB1405"/>
      <c r="AC1405"/>
    </row>
    <row r="1406" spans="16:29" x14ac:dyDescent="0.25">
      <c r="P1406" s="78">
        <v>91319</v>
      </c>
      <c r="Q1406" s="79">
        <v>7502760.5473330002</v>
      </c>
      <c r="R1406" s="77" t="s">
        <v>394</v>
      </c>
      <c r="S1406" s="77">
        <v>7414000005</v>
      </c>
      <c r="AB1406"/>
      <c r="AC1406"/>
    </row>
    <row r="1407" spans="16:29" x14ac:dyDescent="0.25">
      <c r="P1407" s="78">
        <v>4600</v>
      </c>
      <c r="Q1407" s="79">
        <v>1446332</v>
      </c>
      <c r="R1407" s="77" t="s">
        <v>394</v>
      </c>
      <c r="S1407" s="77">
        <v>7414000005</v>
      </c>
      <c r="AB1407"/>
      <c r="AC1407"/>
    </row>
    <row r="1408" spans="16:29" x14ac:dyDescent="0.25">
      <c r="P1408" s="78">
        <v>30700</v>
      </c>
      <c r="Q1408" s="79">
        <v>1346195</v>
      </c>
      <c r="R1408" s="77" t="s">
        <v>394</v>
      </c>
      <c r="S1408" s="77">
        <v>7414000005</v>
      </c>
      <c r="AB1408"/>
      <c r="AC1408"/>
    </row>
    <row r="1409" spans="16:29" x14ac:dyDescent="0.25">
      <c r="P1409" s="78">
        <v>0</v>
      </c>
      <c r="Q1409" s="79">
        <v>0</v>
      </c>
      <c r="R1409" s="77" t="s">
        <v>394</v>
      </c>
      <c r="S1409" s="77">
        <v>7414000005</v>
      </c>
      <c r="AB1409"/>
      <c r="AC1409"/>
    </row>
    <row r="1410" spans="16:29" x14ac:dyDescent="0.25">
      <c r="P1410" s="78">
        <v>3330</v>
      </c>
      <c r="Q1410" s="79">
        <v>28413225</v>
      </c>
      <c r="R1410" s="77" t="s">
        <v>394</v>
      </c>
      <c r="S1410" s="77">
        <v>7414000005</v>
      </c>
      <c r="AB1410"/>
      <c r="AC1410"/>
    </row>
    <row r="1411" spans="16:29" x14ac:dyDescent="0.25">
      <c r="P1411" s="78">
        <v>33000</v>
      </c>
      <c r="Q1411" s="79">
        <v>1197240</v>
      </c>
      <c r="R1411" s="77" t="s">
        <v>394</v>
      </c>
      <c r="S1411" s="77">
        <v>7414000005</v>
      </c>
      <c r="AB1411"/>
      <c r="AC1411"/>
    </row>
    <row r="1412" spans="16:29" x14ac:dyDescent="0.25">
      <c r="P1412" s="78">
        <v>4600</v>
      </c>
      <c r="Q1412" s="79">
        <v>627210</v>
      </c>
      <c r="R1412" s="77" t="s">
        <v>394</v>
      </c>
      <c r="S1412" s="77">
        <v>7414000005</v>
      </c>
      <c r="AB1412"/>
      <c r="AC1412"/>
    </row>
    <row r="1413" spans="16:29" x14ac:dyDescent="0.25">
      <c r="P1413" s="78">
        <v>0</v>
      </c>
      <c r="Q1413" s="79">
        <v>0</v>
      </c>
      <c r="R1413" s="77" t="s">
        <v>394</v>
      </c>
      <c r="S1413" s="77">
        <v>7414000005</v>
      </c>
      <c r="AB1413"/>
      <c r="AC1413"/>
    </row>
    <row r="1414" spans="16:29" x14ac:dyDescent="0.25">
      <c r="P1414" s="78">
        <v>118588</v>
      </c>
      <c r="Q1414" s="79">
        <v>11622553.018392</v>
      </c>
      <c r="R1414" s="77" t="s">
        <v>394</v>
      </c>
      <c r="S1414" s="77">
        <v>7414000005</v>
      </c>
      <c r="AB1414"/>
      <c r="AC1414"/>
    </row>
    <row r="1415" spans="16:29" x14ac:dyDescent="0.25">
      <c r="P1415" s="78">
        <v>10700</v>
      </c>
      <c r="Q1415" s="79">
        <v>1669200</v>
      </c>
      <c r="R1415" s="77" t="s">
        <v>394</v>
      </c>
      <c r="S1415" s="77">
        <v>7414000005</v>
      </c>
      <c r="AB1415"/>
      <c r="AC1415"/>
    </row>
    <row r="1416" spans="16:29" x14ac:dyDescent="0.25">
      <c r="P1416" s="78">
        <v>9130</v>
      </c>
      <c r="Q1416" s="79">
        <v>6231681.5</v>
      </c>
      <c r="R1416" s="77" t="s">
        <v>394</v>
      </c>
      <c r="S1416" s="77">
        <v>7414000005</v>
      </c>
      <c r="AB1416"/>
      <c r="AC1416"/>
    </row>
    <row r="1417" spans="16:29" x14ac:dyDescent="0.25">
      <c r="P1417" s="78">
        <v>508260</v>
      </c>
      <c r="Q1417" s="79">
        <v>1726443.33672</v>
      </c>
      <c r="R1417" s="77" t="s">
        <v>394</v>
      </c>
      <c r="S1417" s="77">
        <v>7414000005</v>
      </c>
      <c r="AB1417"/>
      <c r="AC1417"/>
    </row>
    <row r="1418" spans="16:29" x14ac:dyDescent="0.25">
      <c r="P1418" s="78">
        <v>44000</v>
      </c>
      <c r="Q1418" s="79">
        <v>1382040</v>
      </c>
      <c r="R1418" s="77" t="s">
        <v>394</v>
      </c>
      <c r="S1418" s="77">
        <v>7414000005</v>
      </c>
      <c r="AB1418"/>
      <c r="AC1418"/>
    </row>
    <row r="1419" spans="16:29" x14ac:dyDescent="0.25">
      <c r="P1419" s="78">
        <v>6904</v>
      </c>
      <c r="Q1419" s="79">
        <v>5355376.0974479998</v>
      </c>
      <c r="R1419" s="77" t="s">
        <v>394</v>
      </c>
      <c r="S1419" s="77">
        <v>7414000005</v>
      </c>
      <c r="AB1419"/>
      <c r="AC1419"/>
    </row>
    <row r="1420" spans="16:29" x14ac:dyDescent="0.25">
      <c r="P1420" s="78">
        <v>18689</v>
      </c>
      <c r="Q1420" s="79">
        <v>13964017.715647999</v>
      </c>
      <c r="R1420" s="77" t="s">
        <v>394</v>
      </c>
      <c r="S1420" s="77">
        <v>7414000005</v>
      </c>
      <c r="AB1420"/>
      <c r="AC1420"/>
    </row>
    <row r="1421" spans="16:29" x14ac:dyDescent="0.25">
      <c r="P1421" s="78">
        <v>7111</v>
      </c>
      <c r="Q1421" s="79">
        <v>5446484.7320130002</v>
      </c>
      <c r="R1421" s="77" t="s">
        <v>394</v>
      </c>
      <c r="S1421" s="77">
        <v>7414000005</v>
      </c>
      <c r="AB1421"/>
      <c r="AC1421"/>
    </row>
    <row r="1422" spans="16:29" x14ac:dyDescent="0.25">
      <c r="P1422" s="78">
        <v>9323</v>
      </c>
      <c r="Q1422" s="79">
        <v>6385221.6200339999</v>
      </c>
      <c r="R1422" s="77" t="s">
        <v>394</v>
      </c>
      <c r="S1422" s="77">
        <v>7414000005</v>
      </c>
      <c r="AB1422"/>
      <c r="AC1422"/>
    </row>
    <row r="1423" spans="16:29" x14ac:dyDescent="0.25">
      <c r="P1423" s="78">
        <v>3822</v>
      </c>
      <c r="Q1423" s="79">
        <v>2954126.8602300002</v>
      </c>
      <c r="R1423" s="77" t="s">
        <v>394</v>
      </c>
      <c r="S1423" s="77">
        <v>7414000005</v>
      </c>
      <c r="AB1423"/>
      <c r="AC1423"/>
    </row>
    <row r="1424" spans="16:29" x14ac:dyDescent="0.25">
      <c r="P1424" s="78">
        <v>9412</v>
      </c>
      <c r="Q1424" s="79">
        <v>6791648.7516799998</v>
      </c>
      <c r="R1424" s="77" t="s">
        <v>394</v>
      </c>
      <c r="S1424" s="77">
        <v>7414000005</v>
      </c>
      <c r="AB1424"/>
      <c r="AC1424"/>
    </row>
    <row r="1425" spans="16:29" x14ac:dyDescent="0.25">
      <c r="P1425" s="78">
        <v>3117</v>
      </c>
      <c r="Q1425" s="79">
        <v>1982297.041923</v>
      </c>
      <c r="R1425" s="77" t="s">
        <v>394</v>
      </c>
      <c r="S1425" s="77">
        <v>7414000005</v>
      </c>
      <c r="AB1425"/>
      <c r="AC1425"/>
    </row>
    <row r="1426" spans="16:29" x14ac:dyDescent="0.25">
      <c r="P1426" s="78">
        <v>9760</v>
      </c>
      <c r="Q1426" s="79">
        <v>6923448.6721599996</v>
      </c>
      <c r="R1426" s="77" t="s">
        <v>394</v>
      </c>
      <c r="S1426" s="77">
        <v>7414000005</v>
      </c>
      <c r="AB1426"/>
      <c r="AC1426"/>
    </row>
    <row r="1427" spans="16:29" x14ac:dyDescent="0.25">
      <c r="P1427" s="78">
        <v>11554</v>
      </c>
      <c r="Q1427" s="79">
        <v>8023226.8545979997</v>
      </c>
      <c r="R1427" s="77" t="s">
        <v>394</v>
      </c>
      <c r="S1427" s="77">
        <v>7414000005</v>
      </c>
      <c r="AB1427"/>
      <c r="AC1427"/>
    </row>
    <row r="1428" spans="16:29" x14ac:dyDescent="0.25">
      <c r="P1428" s="78">
        <v>35000</v>
      </c>
      <c r="Q1428" s="79">
        <v>2053450</v>
      </c>
      <c r="R1428" s="77" t="s">
        <v>394</v>
      </c>
      <c r="S1428" s="77">
        <v>7414000005</v>
      </c>
      <c r="AB1428"/>
      <c r="AC1428"/>
    </row>
    <row r="1429" spans="16:29" x14ac:dyDescent="0.25">
      <c r="P1429" s="78">
        <v>6900</v>
      </c>
      <c r="Q1429" s="79">
        <v>7521000</v>
      </c>
      <c r="R1429" s="77" t="s">
        <v>394</v>
      </c>
      <c r="S1429" s="77">
        <v>7414000005</v>
      </c>
      <c r="AB1429"/>
      <c r="AC1429"/>
    </row>
    <row r="1430" spans="16:29" x14ac:dyDescent="0.25">
      <c r="P1430" s="78">
        <v>77200</v>
      </c>
      <c r="Q1430" s="79">
        <v>5038072</v>
      </c>
      <c r="R1430" s="77" t="s">
        <v>394</v>
      </c>
      <c r="S1430" s="77">
        <v>7414000005</v>
      </c>
      <c r="AB1430"/>
      <c r="AC1430"/>
    </row>
    <row r="1431" spans="16:29" x14ac:dyDescent="0.25">
      <c r="P1431" s="78">
        <v>20</v>
      </c>
      <c r="Q1431" s="79">
        <v>35730</v>
      </c>
      <c r="R1431" s="77" t="s">
        <v>394</v>
      </c>
      <c r="S1431" s="77">
        <v>7414000005</v>
      </c>
      <c r="AB1431"/>
      <c r="AC1431"/>
    </row>
    <row r="1432" spans="16:29" x14ac:dyDescent="0.25">
      <c r="P1432" s="78">
        <v>24</v>
      </c>
      <c r="Q1432" s="79">
        <v>2343.7061039999999</v>
      </c>
      <c r="R1432" s="77" t="s">
        <v>394</v>
      </c>
      <c r="S1432" s="77">
        <v>7414000005</v>
      </c>
      <c r="AB1432"/>
      <c r="AC1432"/>
    </row>
    <row r="1433" spans="16:29" x14ac:dyDescent="0.25">
      <c r="P1433" s="78">
        <v>11400</v>
      </c>
      <c r="Q1433" s="79">
        <v>35785.055999999997</v>
      </c>
      <c r="R1433" s="77" t="s">
        <v>394</v>
      </c>
      <c r="S1433" s="77">
        <v>7414000005</v>
      </c>
      <c r="AB1433"/>
      <c r="AC1433"/>
    </row>
    <row r="1434" spans="16:29" x14ac:dyDescent="0.25">
      <c r="P1434" s="78">
        <v>34239</v>
      </c>
      <c r="Q1434" s="79">
        <v>116302.076508</v>
      </c>
      <c r="R1434" s="77" t="s">
        <v>394</v>
      </c>
      <c r="S1434" s="77">
        <v>7414000005</v>
      </c>
      <c r="AB1434"/>
      <c r="AC1434"/>
    </row>
    <row r="1435" spans="16:29" x14ac:dyDescent="0.25">
      <c r="P1435" s="78">
        <v>4700</v>
      </c>
      <c r="Q1435" s="79">
        <v>792608</v>
      </c>
      <c r="R1435" s="77" t="s">
        <v>394</v>
      </c>
      <c r="S1435" s="77">
        <v>7414000005</v>
      </c>
      <c r="AB1435"/>
      <c r="AC1435"/>
    </row>
    <row r="1436" spans="16:29" x14ac:dyDescent="0.25">
      <c r="P1436" s="78">
        <v>4520</v>
      </c>
      <c r="Q1436" s="79">
        <v>8074980</v>
      </c>
      <c r="R1436" s="77" t="s">
        <v>394</v>
      </c>
      <c r="S1436" s="77">
        <v>7414000005</v>
      </c>
      <c r="AB1436"/>
      <c r="AC1436"/>
    </row>
    <row r="1437" spans="16:29" x14ac:dyDescent="0.25">
      <c r="P1437" s="78">
        <v>14900</v>
      </c>
      <c r="Q1437" s="79">
        <v>176714</v>
      </c>
      <c r="R1437" s="77" t="s">
        <v>394</v>
      </c>
      <c r="S1437" s="77">
        <v>7414000005</v>
      </c>
      <c r="AB1437"/>
      <c r="AC1437"/>
    </row>
    <row r="1438" spans="16:29" x14ac:dyDescent="0.25">
      <c r="P1438" s="78">
        <v>13200</v>
      </c>
      <c r="Q1438" s="79">
        <v>968484</v>
      </c>
      <c r="R1438" s="77" t="s">
        <v>394</v>
      </c>
      <c r="S1438" s="77">
        <v>7414000005</v>
      </c>
      <c r="AB1438"/>
      <c r="AC1438"/>
    </row>
    <row r="1439" spans="16:29" x14ac:dyDescent="0.25">
      <c r="P1439" s="78">
        <v>197000</v>
      </c>
      <c r="Q1439" s="79">
        <v>2978640</v>
      </c>
      <c r="R1439" s="77" t="s">
        <v>394</v>
      </c>
      <c r="S1439" s="77">
        <v>7414000005</v>
      </c>
      <c r="AB1439"/>
      <c r="AC1439"/>
    </row>
    <row r="1440" spans="16:29" x14ac:dyDescent="0.25">
      <c r="P1440" s="78">
        <v>3600</v>
      </c>
      <c r="Q1440" s="79">
        <v>1890324</v>
      </c>
      <c r="R1440" s="77" t="s">
        <v>394</v>
      </c>
      <c r="S1440" s="77">
        <v>7414000005</v>
      </c>
      <c r="AB1440"/>
      <c r="AC1440"/>
    </row>
    <row r="1441" spans="16:29" x14ac:dyDescent="0.25">
      <c r="P1441" s="78">
        <v>8500</v>
      </c>
      <c r="Q1441" s="79">
        <v>580125</v>
      </c>
      <c r="R1441" s="77" t="s">
        <v>394</v>
      </c>
      <c r="S1441" s="77">
        <v>7414000005</v>
      </c>
      <c r="AB1441"/>
      <c r="AC1441"/>
    </row>
    <row r="1442" spans="16:29" x14ac:dyDescent="0.25">
      <c r="P1442" s="78">
        <v>238500</v>
      </c>
      <c r="Q1442" s="79">
        <v>3417705</v>
      </c>
      <c r="R1442" s="77" t="s">
        <v>394</v>
      </c>
      <c r="S1442" s="77">
        <v>7414000005</v>
      </c>
      <c r="AB1442"/>
      <c r="AC1442"/>
    </row>
    <row r="1443" spans="16:29" x14ac:dyDescent="0.25">
      <c r="P1443" s="78">
        <v>1692</v>
      </c>
      <c r="Q1443" s="79">
        <v>165231.28033199999</v>
      </c>
      <c r="R1443" s="77" t="s">
        <v>394</v>
      </c>
      <c r="S1443" s="77">
        <v>7414000005</v>
      </c>
      <c r="AB1443"/>
      <c r="AC1443"/>
    </row>
    <row r="1444" spans="16:29" x14ac:dyDescent="0.25">
      <c r="P1444" s="78">
        <v>359901</v>
      </c>
      <c r="Q1444" s="79">
        <v>3416751.8147880002</v>
      </c>
      <c r="R1444" s="77" t="s">
        <v>394</v>
      </c>
      <c r="S1444" s="77">
        <v>7414000005</v>
      </c>
      <c r="T1444" s="11"/>
      <c r="AB1444"/>
      <c r="AC1444"/>
    </row>
    <row r="1445" spans="16:29" x14ac:dyDescent="0.25">
      <c r="P1445" s="78">
        <v>490130</v>
      </c>
      <c r="Q1445" s="79">
        <v>4576913.8311900003</v>
      </c>
      <c r="R1445" s="77" t="s">
        <v>394</v>
      </c>
      <c r="S1445" s="77">
        <v>7414000005</v>
      </c>
      <c r="AB1445"/>
      <c r="AC1445"/>
    </row>
    <row r="1446" spans="16:29" x14ac:dyDescent="0.25">
      <c r="P1446" s="78">
        <v>4000</v>
      </c>
      <c r="Q1446" s="79">
        <v>2701520</v>
      </c>
      <c r="R1446" s="77" t="s">
        <v>394</v>
      </c>
      <c r="S1446" s="77">
        <v>7414000005</v>
      </c>
      <c r="T1446" s="11"/>
      <c r="AB1446"/>
      <c r="AC1446"/>
    </row>
    <row r="1447" spans="16:29" x14ac:dyDescent="0.25">
      <c r="P1447" s="78">
        <v>890</v>
      </c>
      <c r="Q1447" s="79">
        <v>623578.5</v>
      </c>
      <c r="R1447" s="77" t="s">
        <v>394</v>
      </c>
      <c r="S1447" s="77">
        <v>7414000005</v>
      </c>
      <c r="T1447" s="11"/>
      <c r="AB1447"/>
      <c r="AC1447"/>
    </row>
    <row r="1448" spans="16:29" x14ac:dyDescent="0.25">
      <c r="P1448" s="78">
        <v>1720</v>
      </c>
      <c r="Q1448" s="79">
        <v>1979720</v>
      </c>
      <c r="R1448" s="77" t="s">
        <v>394</v>
      </c>
      <c r="S1448" s="77">
        <v>7414000005</v>
      </c>
      <c r="T1448" s="11"/>
      <c r="AB1448"/>
      <c r="AC1448"/>
    </row>
    <row r="1449" spans="16:29" x14ac:dyDescent="0.25">
      <c r="P1449" s="78">
        <v>17800</v>
      </c>
      <c r="Q1449" s="79">
        <v>3699018</v>
      </c>
      <c r="R1449" s="77" t="s">
        <v>394</v>
      </c>
      <c r="S1449" s="77">
        <v>7414000005</v>
      </c>
      <c r="T1449" s="11"/>
      <c r="AB1449"/>
      <c r="AC1449"/>
    </row>
    <row r="1450" spans="16:29" x14ac:dyDescent="0.25">
      <c r="P1450" s="78">
        <v>1900</v>
      </c>
      <c r="Q1450" s="79">
        <v>516686</v>
      </c>
      <c r="R1450" s="77" t="s">
        <v>394</v>
      </c>
      <c r="S1450" s="77">
        <v>7414000005</v>
      </c>
      <c r="T1450" s="11"/>
      <c r="AB1450"/>
      <c r="AC1450"/>
    </row>
    <row r="1451" spans="16:29" x14ac:dyDescent="0.25">
      <c r="P1451" s="78">
        <v>6000</v>
      </c>
      <c r="Q1451" s="79">
        <v>1158900</v>
      </c>
      <c r="R1451" s="77" t="s">
        <v>394</v>
      </c>
      <c r="S1451" s="77">
        <v>7414000005</v>
      </c>
      <c r="T1451" s="11"/>
      <c r="AB1451"/>
      <c r="AC1451"/>
    </row>
    <row r="1452" spans="16:29" x14ac:dyDescent="0.25">
      <c r="P1452" s="78">
        <v>45000</v>
      </c>
      <c r="Q1452" s="79">
        <v>1220400</v>
      </c>
      <c r="R1452" s="77" t="s">
        <v>394</v>
      </c>
      <c r="S1452" s="77">
        <v>7414000005</v>
      </c>
      <c r="AB1452"/>
      <c r="AC1452"/>
    </row>
    <row r="1453" spans="16:29" x14ac:dyDescent="0.25">
      <c r="P1453" s="78">
        <v>28100</v>
      </c>
      <c r="Q1453" s="79">
        <v>4957964</v>
      </c>
      <c r="R1453" s="77" t="s">
        <v>394</v>
      </c>
      <c r="S1453" s="77">
        <v>7414000005</v>
      </c>
      <c r="T1453" s="11"/>
      <c r="AB1453"/>
      <c r="AC1453"/>
    </row>
    <row r="1454" spans="16:29" x14ac:dyDescent="0.25">
      <c r="P1454" s="78">
        <v>35600</v>
      </c>
      <c r="Q1454" s="79">
        <v>3706672</v>
      </c>
      <c r="R1454" s="77" t="s">
        <v>394</v>
      </c>
      <c r="S1454" s="77">
        <v>7414000005</v>
      </c>
      <c r="AB1454"/>
      <c r="AC1454"/>
    </row>
    <row r="1455" spans="16:29" x14ac:dyDescent="0.25">
      <c r="P1455" s="78">
        <v>23840</v>
      </c>
      <c r="Q1455" s="79">
        <v>2353731.5201599998</v>
      </c>
      <c r="R1455" s="77" t="s">
        <v>394</v>
      </c>
      <c r="S1455" s="77">
        <v>7414000005</v>
      </c>
      <c r="T1455" s="11"/>
      <c r="AB1455"/>
      <c r="AC1455"/>
    </row>
    <row r="1456" spans="16:29" x14ac:dyDescent="0.25">
      <c r="P1456" s="78">
        <v>27222</v>
      </c>
      <c r="Q1456" s="79">
        <v>2701715.3905560002</v>
      </c>
      <c r="R1456" s="77" t="s">
        <v>394</v>
      </c>
      <c r="S1456" s="77">
        <v>7414000005</v>
      </c>
      <c r="T1456" s="11"/>
      <c r="AB1456"/>
      <c r="AC1456"/>
    </row>
    <row r="1457" spans="16:29" x14ac:dyDescent="0.25">
      <c r="P1457" s="78">
        <v>8490</v>
      </c>
      <c r="Q1457" s="79">
        <v>806322.01803000004</v>
      </c>
      <c r="R1457" s="77" t="s">
        <v>394</v>
      </c>
      <c r="S1457" s="77">
        <v>7414000005</v>
      </c>
      <c r="T1457" s="11"/>
      <c r="AB1457"/>
      <c r="AC1457"/>
    </row>
    <row r="1458" spans="16:29" x14ac:dyDescent="0.25">
      <c r="P1458" s="78">
        <v>29069</v>
      </c>
      <c r="Q1458" s="79">
        <v>2671784.724649</v>
      </c>
      <c r="R1458" s="77" t="s">
        <v>394</v>
      </c>
      <c r="S1458" s="77">
        <v>7414000005</v>
      </c>
      <c r="T1458" s="11"/>
      <c r="AB1458"/>
      <c r="AC1458"/>
    </row>
    <row r="1459" spans="16:29" x14ac:dyDescent="0.25">
      <c r="P1459" s="78">
        <v>14810</v>
      </c>
      <c r="Q1459" s="79">
        <v>1376656.18943</v>
      </c>
      <c r="R1459" s="77" t="s">
        <v>394</v>
      </c>
      <c r="S1459" s="77">
        <v>7414000005</v>
      </c>
      <c r="T1459" s="11"/>
      <c r="AB1459"/>
      <c r="AC1459"/>
    </row>
    <row r="1460" spans="16:29" x14ac:dyDescent="0.25">
      <c r="P1460" s="78">
        <v>14718</v>
      </c>
      <c r="Q1460" s="79">
        <v>1305458.974314</v>
      </c>
      <c r="R1460" s="77" t="s">
        <v>394</v>
      </c>
      <c r="S1460" s="77">
        <v>7414000005</v>
      </c>
      <c r="AB1460"/>
      <c r="AC1460"/>
    </row>
    <row r="1461" spans="16:29" x14ac:dyDescent="0.25">
      <c r="P1461" s="78">
        <v>30790</v>
      </c>
      <c r="Q1461" s="79">
        <v>2873143.97168</v>
      </c>
      <c r="R1461" s="77" t="s">
        <v>394</v>
      </c>
      <c r="S1461" s="77">
        <v>7414000005</v>
      </c>
      <c r="T1461" s="11"/>
      <c r="AB1461"/>
      <c r="AC1461"/>
    </row>
    <row r="1462" spans="16:29" ht="18.75" customHeight="1" x14ac:dyDescent="0.25">
      <c r="P1462" s="78">
        <v>26160</v>
      </c>
      <c r="Q1462" s="79">
        <v>2481646.6348799998</v>
      </c>
      <c r="R1462" s="77" t="s">
        <v>394</v>
      </c>
      <c r="S1462" s="77">
        <v>7414000005</v>
      </c>
      <c r="AB1462"/>
      <c r="AC1462"/>
    </row>
    <row r="1463" spans="16:29" x14ac:dyDescent="0.25">
      <c r="P1463" s="78">
        <v>74693</v>
      </c>
      <c r="Q1463" s="79">
        <v>7086136.6368009998</v>
      </c>
      <c r="R1463" s="77" t="s">
        <v>394</v>
      </c>
      <c r="S1463" s="77">
        <v>7414000005</v>
      </c>
      <c r="T1463" s="11"/>
      <c r="X1463" s="12"/>
      <c r="AB1463"/>
      <c r="AC1463"/>
    </row>
    <row r="1464" spans="16:29" x14ac:dyDescent="0.25">
      <c r="P1464" s="78">
        <v>37617</v>
      </c>
      <c r="Q1464" s="79">
        <v>3366325.204905</v>
      </c>
      <c r="R1464" s="77" t="s">
        <v>394</v>
      </c>
      <c r="S1464" s="77">
        <v>7414000005</v>
      </c>
      <c r="X1464" s="12"/>
      <c r="AB1464"/>
      <c r="AC1464"/>
    </row>
    <row r="1465" spans="16:29" x14ac:dyDescent="0.25">
      <c r="P1465" s="78">
        <v>73602</v>
      </c>
      <c r="Q1465" s="79">
        <v>6344281.0150560001</v>
      </c>
      <c r="R1465" s="77" t="s">
        <v>394</v>
      </c>
      <c r="S1465" s="77">
        <v>7414000005</v>
      </c>
      <c r="T1465" s="11"/>
      <c r="AB1465"/>
      <c r="AC1465"/>
    </row>
    <row r="1466" spans="16:29" x14ac:dyDescent="0.25">
      <c r="P1466" s="78">
        <v>54592</v>
      </c>
      <c r="Q1466" s="79">
        <v>4720534.9735679999</v>
      </c>
      <c r="R1466" s="77" t="s">
        <v>394</v>
      </c>
      <c r="S1466" s="77">
        <v>7414000005</v>
      </c>
      <c r="AB1466"/>
      <c r="AC1466"/>
    </row>
    <row r="1467" spans="16:29" x14ac:dyDescent="0.25">
      <c r="P1467" s="78">
        <v>2384</v>
      </c>
      <c r="Q1467" s="79">
        <v>241859.10294400001</v>
      </c>
      <c r="R1467" s="77" t="s">
        <v>394</v>
      </c>
      <c r="S1467" s="77">
        <v>7414000005</v>
      </c>
      <c r="AB1467"/>
      <c r="AC1467"/>
    </row>
    <row r="1468" spans="16:29" x14ac:dyDescent="0.25">
      <c r="P1468" s="78">
        <v>2262</v>
      </c>
      <c r="Q1468" s="79">
        <v>202772.855064</v>
      </c>
      <c r="R1468" s="77" t="s">
        <v>394</v>
      </c>
      <c r="S1468" s="77">
        <v>7414000005</v>
      </c>
      <c r="AB1468"/>
      <c r="AC1468"/>
    </row>
    <row r="1469" spans="16:29" x14ac:dyDescent="0.25">
      <c r="P1469" s="78">
        <v>57197</v>
      </c>
      <c r="Q1469" s="79">
        <v>4675217.5754199997</v>
      </c>
      <c r="R1469" s="77" t="s">
        <v>394</v>
      </c>
      <c r="S1469" s="77">
        <v>7414000005</v>
      </c>
      <c r="AB1469"/>
      <c r="AC1469"/>
    </row>
    <row r="1470" spans="16:29" x14ac:dyDescent="0.25">
      <c r="P1470" s="78">
        <v>7361</v>
      </c>
      <c r="Q1470" s="79">
        <v>612440.801721</v>
      </c>
      <c r="R1470" s="77" t="s">
        <v>394</v>
      </c>
      <c r="S1470" s="77">
        <v>7414000005</v>
      </c>
      <c r="T1470" s="11"/>
      <c r="AB1470"/>
      <c r="AC1470"/>
    </row>
    <row r="1471" spans="16:29" x14ac:dyDescent="0.25">
      <c r="P1471" s="78">
        <v>66857</v>
      </c>
      <c r="Q1471" s="79">
        <v>5492964.902299</v>
      </c>
      <c r="R1471" s="77" t="s">
        <v>394</v>
      </c>
      <c r="S1471" s="77">
        <v>7414000005</v>
      </c>
      <c r="AB1471"/>
      <c r="AC1471"/>
    </row>
    <row r="1472" spans="16:29" x14ac:dyDescent="0.25">
      <c r="P1472" s="78">
        <v>3000</v>
      </c>
      <c r="Q1472" s="79">
        <v>943260</v>
      </c>
      <c r="R1472" s="77" t="s">
        <v>394</v>
      </c>
      <c r="S1472" s="77">
        <v>7414000005</v>
      </c>
      <c r="AB1472"/>
      <c r="AC1472"/>
    </row>
    <row r="1473" spans="16:29" x14ac:dyDescent="0.25">
      <c r="P1473" s="78">
        <v>18200</v>
      </c>
      <c r="Q1473" s="79">
        <v>798070</v>
      </c>
      <c r="R1473" s="77" t="s">
        <v>394</v>
      </c>
      <c r="S1473" s="77">
        <v>7414000005</v>
      </c>
      <c r="AB1473"/>
      <c r="AC1473"/>
    </row>
    <row r="1474" spans="16:29" x14ac:dyDescent="0.25">
      <c r="P1474" s="78">
        <v>0</v>
      </c>
      <c r="Q1474" s="79">
        <v>0</v>
      </c>
      <c r="R1474" s="77" t="s">
        <v>394</v>
      </c>
      <c r="S1474" s="77">
        <v>7414000005</v>
      </c>
      <c r="AB1474"/>
      <c r="AC1474"/>
    </row>
    <row r="1475" spans="16:29" ht="21.75" customHeight="1" x14ac:dyDescent="0.25">
      <c r="P1475" s="78">
        <v>1550</v>
      </c>
      <c r="Q1475" s="79">
        <v>13225375</v>
      </c>
      <c r="R1475" s="77" t="s">
        <v>394</v>
      </c>
      <c r="S1475" s="77">
        <v>7414000005</v>
      </c>
      <c r="AB1475"/>
      <c r="AC1475"/>
    </row>
    <row r="1476" spans="16:29" x14ac:dyDescent="0.25">
      <c r="P1476" s="78">
        <v>22000</v>
      </c>
      <c r="Q1476" s="79">
        <v>798160</v>
      </c>
      <c r="R1476" s="77" t="s">
        <v>394</v>
      </c>
      <c r="S1476" s="77">
        <v>7414000005</v>
      </c>
      <c r="AB1476"/>
      <c r="AC1476"/>
    </row>
    <row r="1477" spans="16:29" x14ac:dyDescent="0.25">
      <c r="P1477" s="78">
        <v>2900</v>
      </c>
      <c r="Q1477" s="79">
        <v>395415</v>
      </c>
      <c r="R1477" s="77" t="s">
        <v>394</v>
      </c>
      <c r="S1477" s="77">
        <v>7414000005</v>
      </c>
      <c r="T1477" s="11"/>
      <c r="AB1477"/>
      <c r="AC1477"/>
    </row>
    <row r="1478" spans="16:29" x14ac:dyDescent="0.25">
      <c r="P1478" s="78">
        <v>63259</v>
      </c>
      <c r="Q1478" s="79">
        <v>6199877.571006</v>
      </c>
      <c r="R1478" s="77" t="s">
        <v>394</v>
      </c>
      <c r="S1478" s="77">
        <v>7414000005</v>
      </c>
      <c r="AB1478"/>
      <c r="AC1478"/>
    </row>
    <row r="1479" spans="16:29" x14ac:dyDescent="0.25">
      <c r="P1479" s="78">
        <v>6800</v>
      </c>
      <c r="Q1479" s="79">
        <v>1060800</v>
      </c>
      <c r="R1479" s="77" t="s">
        <v>394</v>
      </c>
      <c r="S1479" s="77">
        <v>7414000005</v>
      </c>
      <c r="T1479" s="11"/>
      <c r="AB1479"/>
      <c r="AC1479"/>
    </row>
    <row r="1480" spans="16:29" x14ac:dyDescent="0.25">
      <c r="P1480" s="78">
        <v>6194</v>
      </c>
      <c r="Q1480" s="79">
        <v>4227714.7</v>
      </c>
      <c r="R1480" s="77" t="s">
        <v>394</v>
      </c>
      <c r="S1480" s="77">
        <v>7414000005</v>
      </c>
      <c r="AB1480"/>
      <c r="AC1480"/>
    </row>
    <row r="1481" spans="16:29" x14ac:dyDescent="0.25">
      <c r="P1481" s="78">
        <v>2407062</v>
      </c>
      <c r="Q1481" s="79">
        <v>8176240.8038640004</v>
      </c>
      <c r="R1481" s="77" t="s">
        <v>394</v>
      </c>
      <c r="S1481" s="77">
        <v>7414000005</v>
      </c>
      <c r="AB1481"/>
      <c r="AC1481"/>
    </row>
    <row r="1482" spans="16:29" x14ac:dyDescent="0.25">
      <c r="P1482" s="78">
        <v>28000</v>
      </c>
      <c r="Q1482" s="79">
        <v>879480</v>
      </c>
      <c r="R1482" s="77" t="s">
        <v>394</v>
      </c>
      <c r="S1482" s="77">
        <v>7414000005</v>
      </c>
      <c r="AB1482"/>
      <c r="AC1482"/>
    </row>
    <row r="1483" spans="16:29" x14ac:dyDescent="0.25">
      <c r="P1483" s="78">
        <v>5030</v>
      </c>
      <c r="Q1483" s="79">
        <v>3901729.6886100001</v>
      </c>
      <c r="R1483" s="77" t="s">
        <v>394</v>
      </c>
      <c r="S1483" s="77">
        <v>7414000005</v>
      </c>
      <c r="AB1483"/>
      <c r="AC1483"/>
    </row>
    <row r="1484" spans="16:29" x14ac:dyDescent="0.25">
      <c r="P1484" s="78">
        <v>10032</v>
      </c>
      <c r="Q1484" s="79">
        <v>7495694.0298239999</v>
      </c>
      <c r="R1484" s="77" t="s">
        <v>394</v>
      </c>
      <c r="S1484" s="77">
        <v>7414000005</v>
      </c>
      <c r="AB1484"/>
      <c r="AC1484"/>
    </row>
    <row r="1485" spans="16:29" x14ac:dyDescent="0.25">
      <c r="P1485" s="78">
        <v>1902</v>
      </c>
      <c r="Q1485" s="79">
        <v>1456787.2254659999</v>
      </c>
      <c r="R1485" s="77" t="s">
        <v>394</v>
      </c>
      <c r="S1485" s="77">
        <v>7414000005</v>
      </c>
      <c r="AB1485"/>
      <c r="AC1485"/>
    </row>
    <row r="1486" spans="16:29" x14ac:dyDescent="0.25">
      <c r="P1486" s="78">
        <v>5656</v>
      </c>
      <c r="Q1486" s="79">
        <v>3873733.0776479999</v>
      </c>
      <c r="R1486" s="77" t="s">
        <v>394</v>
      </c>
      <c r="S1486" s="77">
        <v>7414000005</v>
      </c>
      <c r="AB1486"/>
      <c r="AC1486"/>
    </row>
    <row r="1487" spans="16:29" x14ac:dyDescent="0.25">
      <c r="P1487" s="78">
        <v>3325</v>
      </c>
      <c r="Q1487" s="79">
        <v>2569982.1586250002</v>
      </c>
      <c r="R1487" s="77" t="s">
        <v>394</v>
      </c>
      <c r="S1487" s="77">
        <v>7414000005</v>
      </c>
      <c r="AB1487"/>
      <c r="AC1487"/>
    </row>
    <row r="1488" spans="16:29" x14ac:dyDescent="0.25">
      <c r="P1488" s="78">
        <v>3866</v>
      </c>
      <c r="Q1488" s="79">
        <v>2789684.87824</v>
      </c>
      <c r="R1488" s="77" t="s">
        <v>394</v>
      </c>
      <c r="S1488" s="77">
        <v>7414000005</v>
      </c>
      <c r="AB1488"/>
      <c r="AC1488"/>
    </row>
    <row r="1489" spans="16:29" x14ac:dyDescent="0.25">
      <c r="P1489" s="78">
        <v>1894</v>
      </c>
      <c r="Q1489" s="79">
        <v>1204514.147386</v>
      </c>
      <c r="R1489" s="77" t="s">
        <v>394</v>
      </c>
      <c r="S1489" s="77">
        <v>7414000005</v>
      </c>
      <c r="AB1489"/>
      <c r="AC1489"/>
    </row>
    <row r="1490" spans="16:29" x14ac:dyDescent="0.25">
      <c r="P1490" s="78">
        <v>4441</v>
      </c>
      <c r="Q1490" s="79">
        <v>3150311.019781</v>
      </c>
      <c r="R1490" s="77" t="s">
        <v>394</v>
      </c>
      <c r="S1490" s="77">
        <v>7414000005</v>
      </c>
      <c r="AB1490"/>
      <c r="AC1490"/>
    </row>
    <row r="1491" spans="16:29" x14ac:dyDescent="0.25">
      <c r="P1491" s="78">
        <v>7642</v>
      </c>
      <c r="Q1491" s="79">
        <v>5306690.2910540001</v>
      </c>
      <c r="R1491" s="77" t="s">
        <v>394</v>
      </c>
      <c r="S1491" s="77">
        <v>7414000005</v>
      </c>
      <c r="AB1491"/>
      <c r="AC1491"/>
    </row>
    <row r="1492" spans="16:29" x14ac:dyDescent="0.25">
      <c r="P1492" s="78">
        <v>22000</v>
      </c>
      <c r="Q1492" s="79">
        <v>1290740</v>
      </c>
      <c r="R1492" s="77" t="s">
        <v>394</v>
      </c>
      <c r="S1492" s="77">
        <v>7414000005</v>
      </c>
      <c r="AB1492"/>
      <c r="AC1492"/>
    </row>
    <row r="1493" spans="16:29" x14ac:dyDescent="0.25">
      <c r="P1493" s="78">
        <v>3440</v>
      </c>
      <c r="Q1493" s="79">
        <v>3749600</v>
      </c>
      <c r="R1493" s="77" t="s">
        <v>394</v>
      </c>
      <c r="S1493" s="77">
        <v>7414000005</v>
      </c>
      <c r="AB1493"/>
      <c r="AC1493"/>
    </row>
    <row r="1494" spans="16:29" x14ac:dyDescent="0.25">
      <c r="P1494" s="78">
        <v>51500</v>
      </c>
      <c r="Q1494" s="79">
        <v>3360890</v>
      </c>
      <c r="R1494" s="77" t="s">
        <v>394</v>
      </c>
      <c r="S1494" s="77">
        <v>7414000005</v>
      </c>
      <c r="AB1494"/>
      <c r="AC1494"/>
    </row>
    <row r="1495" spans="16:29" x14ac:dyDescent="0.25">
      <c r="P1495" s="78">
        <v>500000</v>
      </c>
      <c r="Q1495" s="79">
        <v>4807076</v>
      </c>
      <c r="R1495" s="77" t="s">
        <v>394</v>
      </c>
      <c r="S1495" s="77">
        <v>7414000005</v>
      </c>
      <c r="AB1495"/>
      <c r="AC1495"/>
    </row>
    <row r="1496" spans="16:29" x14ac:dyDescent="0.25">
      <c r="P1496" s="78">
        <v>31388</v>
      </c>
      <c r="Q1496" s="79">
        <v>297984.74014399998</v>
      </c>
      <c r="R1496" s="77" t="s">
        <v>394</v>
      </c>
      <c r="S1496" s="77">
        <v>7414000005</v>
      </c>
      <c r="AB1496"/>
      <c r="AC1496"/>
    </row>
    <row r="1497" spans="16:29" x14ac:dyDescent="0.25">
      <c r="P1497" s="78">
        <v>152677</v>
      </c>
      <c r="Q1497" s="79">
        <v>1425722.7123509999</v>
      </c>
      <c r="R1497" s="77" t="s">
        <v>394</v>
      </c>
      <c r="S1497" s="77">
        <v>7414000005</v>
      </c>
      <c r="AB1497"/>
      <c r="AC1497"/>
    </row>
    <row r="1498" spans="16:29" x14ac:dyDescent="0.25">
      <c r="P1498" s="78">
        <v>156950</v>
      </c>
      <c r="Q1498" s="79">
        <v>1442392.0021500001</v>
      </c>
      <c r="R1498" s="77" t="s">
        <v>394</v>
      </c>
      <c r="S1498" s="77">
        <v>7414000005</v>
      </c>
      <c r="AB1498"/>
      <c r="AC1498"/>
    </row>
    <row r="1499" spans="16:29" x14ac:dyDescent="0.25">
      <c r="P1499" s="78">
        <v>34040</v>
      </c>
      <c r="Q1499" s="79">
        <v>306742.88192000001</v>
      </c>
      <c r="R1499" s="77" t="s">
        <v>394</v>
      </c>
      <c r="S1499" s="77">
        <v>7414000005</v>
      </c>
      <c r="AB1499"/>
      <c r="AC1499"/>
    </row>
    <row r="1500" spans="16:29" x14ac:dyDescent="0.25">
      <c r="P1500" s="78">
        <v>64300</v>
      </c>
      <c r="Q1500" s="79">
        <v>530993.57949999999</v>
      </c>
      <c r="R1500" s="77" t="s">
        <v>394</v>
      </c>
      <c r="S1500" s="77">
        <v>7414000005</v>
      </c>
      <c r="AB1500"/>
      <c r="AC1500"/>
    </row>
    <row r="1501" spans="16:29" x14ac:dyDescent="0.25">
      <c r="P1501" s="78">
        <v>0</v>
      </c>
      <c r="Q1501" s="79">
        <v>0</v>
      </c>
      <c r="R1501" s="77" t="s">
        <v>394</v>
      </c>
      <c r="S1501" s="77">
        <v>7414000005</v>
      </c>
      <c r="AB1501"/>
      <c r="AC1501"/>
    </row>
    <row r="1502" spans="16:29" x14ac:dyDescent="0.25">
      <c r="P1502" s="78">
        <v>1930000</v>
      </c>
      <c r="Q1502" s="79">
        <v>8848810.6799999997</v>
      </c>
      <c r="R1502" s="77" t="s">
        <v>394</v>
      </c>
      <c r="S1502" s="77">
        <v>7414000005</v>
      </c>
      <c r="AB1502"/>
      <c r="AC1502"/>
    </row>
    <row r="1503" spans="16:29" x14ac:dyDescent="0.25">
      <c r="P1503" s="78">
        <v>3551953</v>
      </c>
      <c r="Q1503" s="79">
        <v>12065174.495716</v>
      </c>
      <c r="R1503" s="77" t="s">
        <v>394</v>
      </c>
      <c r="S1503" s="77">
        <v>7414000005</v>
      </c>
      <c r="AB1503"/>
      <c r="AC1503"/>
    </row>
    <row r="1504" spans="16:29" x14ac:dyDescent="0.25">
      <c r="P1504" s="78">
        <v>4000</v>
      </c>
      <c r="Q1504" s="79">
        <v>4.0000000000000001E-3</v>
      </c>
      <c r="R1504" s="77" t="s">
        <v>394</v>
      </c>
      <c r="S1504" s="77">
        <v>7414000005</v>
      </c>
      <c r="AB1504"/>
      <c r="AC1504"/>
    </row>
    <row r="1505" spans="16:29" x14ac:dyDescent="0.25">
      <c r="P1505" s="78">
        <v>67</v>
      </c>
      <c r="Q1505" s="79">
        <v>3698.4</v>
      </c>
      <c r="R1505" s="77" t="s">
        <v>394</v>
      </c>
      <c r="S1505" s="77">
        <v>7414000005</v>
      </c>
      <c r="AB1505"/>
      <c r="AC1505"/>
    </row>
    <row r="1506" spans="16:29" x14ac:dyDescent="0.25">
      <c r="P1506" s="78">
        <v>75420</v>
      </c>
      <c r="Q1506" s="79">
        <v>12218040</v>
      </c>
      <c r="R1506" s="77" t="s">
        <v>394</v>
      </c>
      <c r="S1506" s="77">
        <v>7414000005</v>
      </c>
      <c r="AB1506"/>
      <c r="AC1506"/>
    </row>
    <row r="1507" spans="16:29" x14ac:dyDescent="0.25">
      <c r="P1507" s="78">
        <v>154874</v>
      </c>
      <c r="Q1507" s="79">
        <v>485882.01860200003</v>
      </c>
      <c r="R1507" s="77" t="s">
        <v>394</v>
      </c>
      <c r="S1507" s="77">
        <v>7414000005</v>
      </c>
      <c r="AB1507"/>
      <c r="AC1507"/>
    </row>
    <row r="1508" spans="16:29" x14ac:dyDescent="0.25">
      <c r="P1508" s="78">
        <v>1042</v>
      </c>
      <c r="Q1508" s="79">
        <v>1.042E-3</v>
      </c>
      <c r="R1508" s="77" t="s">
        <v>394</v>
      </c>
      <c r="S1508" s="77">
        <v>7414000005</v>
      </c>
      <c r="AB1508"/>
      <c r="AC1508"/>
    </row>
    <row r="1509" spans="16:29" x14ac:dyDescent="0.25">
      <c r="P1509" s="78">
        <v>10</v>
      </c>
      <c r="Q1509" s="79">
        <v>1686.4</v>
      </c>
      <c r="R1509" s="77" t="s">
        <v>394</v>
      </c>
      <c r="S1509" s="77">
        <v>7414000005</v>
      </c>
      <c r="AB1509"/>
      <c r="AC1509"/>
    </row>
    <row r="1510" spans="16:29" x14ac:dyDescent="0.25">
      <c r="P1510" s="78">
        <v>31</v>
      </c>
      <c r="Q1510" s="79">
        <v>367.66</v>
      </c>
      <c r="R1510" s="77" t="s">
        <v>394</v>
      </c>
      <c r="S1510" s="77">
        <v>7414000005</v>
      </c>
      <c r="AB1510"/>
      <c r="AC1510"/>
    </row>
    <row r="1511" spans="16:29" x14ac:dyDescent="0.25">
      <c r="P1511" s="78">
        <v>27</v>
      </c>
      <c r="Q1511" s="79">
        <v>1980.99</v>
      </c>
      <c r="R1511" s="77" t="s">
        <v>394</v>
      </c>
      <c r="S1511" s="77">
        <v>7414000005</v>
      </c>
      <c r="AB1511"/>
      <c r="AC1511"/>
    </row>
    <row r="1512" spans="16:29" x14ac:dyDescent="0.25">
      <c r="P1512" s="78">
        <v>401</v>
      </c>
      <c r="Q1512" s="79">
        <v>6063.12</v>
      </c>
      <c r="R1512" s="77" t="s">
        <v>394</v>
      </c>
      <c r="S1512" s="77">
        <v>7414000005</v>
      </c>
      <c r="AB1512"/>
      <c r="AC1512"/>
    </row>
    <row r="1513" spans="16:29" x14ac:dyDescent="0.25">
      <c r="P1513" s="78">
        <v>8</v>
      </c>
      <c r="Q1513" s="79">
        <v>4200.72</v>
      </c>
      <c r="R1513" s="77" t="s">
        <v>394</v>
      </c>
      <c r="S1513" s="77">
        <v>7414000005</v>
      </c>
      <c r="AB1513"/>
      <c r="AC1513"/>
    </row>
    <row r="1514" spans="16:29" x14ac:dyDescent="0.25">
      <c r="P1514" s="78">
        <v>18</v>
      </c>
      <c r="Q1514" s="79">
        <v>1228.5</v>
      </c>
      <c r="R1514" s="77" t="s">
        <v>394</v>
      </c>
      <c r="S1514" s="77">
        <v>7414000005</v>
      </c>
      <c r="AB1514"/>
      <c r="AC1514"/>
    </row>
    <row r="1515" spans="16:29" x14ac:dyDescent="0.25">
      <c r="P1515" s="78">
        <v>493</v>
      </c>
      <c r="Q1515" s="79">
        <v>7064.69</v>
      </c>
      <c r="R1515" s="77" t="s">
        <v>394</v>
      </c>
      <c r="S1515" s="77">
        <v>7414000005</v>
      </c>
      <c r="AB1515"/>
      <c r="AC1515"/>
    </row>
    <row r="1516" spans="16:29" x14ac:dyDescent="0.25">
      <c r="P1516" s="78">
        <v>109</v>
      </c>
      <c r="Q1516" s="79">
        <v>1.0900000000000001E-4</v>
      </c>
      <c r="R1516" s="77" t="s">
        <v>394</v>
      </c>
      <c r="S1516" s="77">
        <v>7414000005</v>
      </c>
      <c r="AB1516"/>
      <c r="AC1516"/>
    </row>
    <row r="1517" spans="16:29" x14ac:dyDescent="0.25">
      <c r="P1517" s="78">
        <v>37</v>
      </c>
      <c r="Q1517" s="79">
        <v>7688.97</v>
      </c>
      <c r="R1517" s="77" t="s">
        <v>394</v>
      </c>
      <c r="S1517" s="77">
        <v>7414000005</v>
      </c>
      <c r="AB1517"/>
      <c r="AC1517"/>
    </row>
    <row r="1518" spans="16:29" x14ac:dyDescent="0.25">
      <c r="P1518" s="78">
        <v>4</v>
      </c>
      <c r="Q1518" s="79">
        <v>1087.76</v>
      </c>
      <c r="R1518" s="77" t="s">
        <v>394</v>
      </c>
      <c r="S1518" s="77">
        <v>7414000005</v>
      </c>
      <c r="AB1518"/>
      <c r="AC1518"/>
    </row>
    <row r="1519" spans="16:29" x14ac:dyDescent="0.25">
      <c r="P1519" s="78">
        <v>13</v>
      </c>
      <c r="Q1519" s="79">
        <v>2510.9499999999998</v>
      </c>
      <c r="R1519" s="77" t="s">
        <v>394</v>
      </c>
      <c r="S1519" s="77">
        <v>7414000005</v>
      </c>
      <c r="AB1519"/>
      <c r="AC1519"/>
    </row>
    <row r="1520" spans="16:29" x14ac:dyDescent="0.25">
      <c r="P1520" s="78">
        <v>91</v>
      </c>
      <c r="Q1520" s="79">
        <v>2467.92</v>
      </c>
      <c r="R1520" s="77" t="s">
        <v>394</v>
      </c>
      <c r="S1520" s="77">
        <v>7414000005</v>
      </c>
      <c r="AB1520"/>
      <c r="AC1520"/>
    </row>
    <row r="1521" spans="16:29" x14ac:dyDescent="0.25">
      <c r="P1521" s="78">
        <v>58</v>
      </c>
      <c r="Q1521" s="79">
        <v>10233.52</v>
      </c>
      <c r="R1521" s="77" t="s">
        <v>394</v>
      </c>
      <c r="S1521" s="77">
        <v>7414000005</v>
      </c>
      <c r="AB1521"/>
      <c r="AC1521"/>
    </row>
    <row r="1522" spans="16:29" x14ac:dyDescent="0.25">
      <c r="P1522" s="78">
        <v>74</v>
      </c>
      <c r="Q1522" s="79">
        <v>7704.88</v>
      </c>
      <c r="R1522" s="77" t="s">
        <v>394</v>
      </c>
      <c r="S1522" s="77">
        <v>7414000005</v>
      </c>
      <c r="AB1522"/>
      <c r="AC1522"/>
    </row>
    <row r="1523" spans="16:29" x14ac:dyDescent="0.25">
      <c r="P1523" s="78">
        <v>6</v>
      </c>
      <c r="Q1523" s="79">
        <v>1886.52</v>
      </c>
      <c r="R1523" s="77" t="s">
        <v>394</v>
      </c>
      <c r="S1523" s="77">
        <v>7414000005</v>
      </c>
      <c r="AB1523"/>
      <c r="AC1523"/>
    </row>
    <row r="1524" spans="16:29" x14ac:dyDescent="0.25">
      <c r="P1524" s="78">
        <v>41</v>
      </c>
      <c r="Q1524" s="79">
        <v>1797.85</v>
      </c>
      <c r="R1524" s="77" t="s">
        <v>394</v>
      </c>
      <c r="S1524" s="77">
        <v>7414000005</v>
      </c>
      <c r="AB1524"/>
      <c r="AC1524"/>
    </row>
    <row r="1525" spans="16:29" x14ac:dyDescent="0.25">
      <c r="P1525" s="78">
        <v>0</v>
      </c>
      <c r="Q1525" s="79">
        <v>0</v>
      </c>
      <c r="R1525" s="77" t="s">
        <v>394</v>
      </c>
      <c r="S1525" s="77">
        <v>7414000005</v>
      </c>
      <c r="AB1525"/>
      <c r="AC1525"/>
    </row>
    <row r="1526" spans="16:29" x14ac:dyDescent="0.25">
      <c r="P1526" s="78">
        <v>45</v>
      </c>
      <c r="Q1526" s="79">
        <v>1632.6</v>
      </c>
      <c r="R1526" s="77" t="s">
        <v>394</v>
      </c>
      <c r="S1526" s="77">
        <v>7414000005</v>
      </c>
      <c r="AB1526"/>
      <c r="AC1526"/>
    </row>
    <row r="1527" spans="16:29" x14ac:dyDescent="0.25">
      <c r="P1527" s="78">
        <v>6</v>
      </c>
      <c r="Q1527" s="79">
        <v>818.1</v>
      </c>
      <c r="R1527" s="77" t="s">
        <v>394</v>
      </c>
      <c r="S1527" s="77">
        <v>7414000005</v>
      </c>
      <c r="AB1527"/>
      <c r="AC1527"/>
    </row>
    <row r="1528" spans="16:29" x14ac:dyDescent="0.25">
      <c r="P1528" s="78">
        <v>14</v>
      </c>
      <c r="Q1528" s="79">
        <v>2184</v>
      </c>
      <c r="R1528" s="77" t="s">
        <v>394</v>
      </c>
      <c r="S1528" s="77">
        <v>7414000005</v>
      </c>
      <c r="AB1528"/>
      <c r="AC1528"/>
    </row>
    <row r="1529" spans="16:29" x14ac:dyDescent="0.25">
      <c r="P1529" s="78">
        <v>82879</v>
      </c>
      <c r="Q1529" s="79">
        <v>291916.74531600002</v>
      </c>
      <c r="R1529" s="77" t="s">
        <v>394</v>
      </c>
      <c r="S1529" s="77">
        <v>7414000005</v>
      </c>
      <c r="AB1529"/>
      <c r="AC1529"/>
    </row>
    <row r="1530" spans="16:29" x14ac:dyDescent="0.25">
      <c r="P1530" s="78">
        <v>58</v>
      </c>
      <c r="Q1530" s="79">
        <v>1821.78</v>
      </c>
      <c r="R1530" s="77" t="s">
        <v>394</v>
      </c>
      <c r="S1530" s="77">
        <v>7414000005</v>
      </c>
      <c r="AB1530"/>
      <c r="AC1530"/>
    </row>
    <row r="1531" spans="16:29" x14ac:dyDescent="0.25">
      <c r="P1531" s="78">
        <v>46</v>
      </c>
      <c r="Q1531" s="79">
        <v>2698.82</v>
      </c>
      <c r="R1531" s="77" t="s">
        <v>394</v>
      </c>
      <c r="S1531" s="77">
        <v>7414000005</v>
      </c>
      <c r="AB1531"/>
      <c r="AC1531"/>
    </row>
    <row r="1532" spans="16:29" x14ac:dyDescent="0.25">
      <c r="P1532" s="78">
        <v>105</v>
      </c>
      <c r="Q1532" s="79">
        <v>6852.3</v>
      </c>
      <c r="R1532" s="77" t="s">
        <v>394</v>
      </c>
      <c r="S1532" s="77">
        <v>7414000005</v>
      </c>
      <c r="AB1532"/>
      <c r="AC1532"/>
    </row>
    <row r="1533" spans="16:29" x14ac:dyDescent="0.25">
      <c r="P1533" s="78">
        <v>4300</v>
      </c>
      <c r="Q1533" s="79">
        <v>4.3E-3</v>
      </c>
      <c r="R1533" s="77" t="s">
        <v>394</v>
      </c>
      <c r="S1533" s="77">
        <v>7414000005</v>
      </c>
      <c r="AB1533"/>
      <c r="AC1533"/>
    </row>
    <row r="1534" spans="16:29" x14ac:dyDescent="0.25">
      <c r="P1534" s="78">
        <v>103815</v>
      </c>
      <c r="Q1534" s="79">
        <v>352635.88517999998</v>
      </c>
      <c r="R1534" s="77" t="s">
        <v>394</v>
      </c>
      <c r="S1534" s="77">
        <v>7414000005</v>
      </c>
      <c r="AB1534"/>
      <c r="AC1534"/>
    </row>
    <row r="1535" spans="16:29" x14ac:dyDescent="0.25">
      <c r="P1535" s="78">
        <v>1405059</v>
      </c>
      <c r="Q1535" s="79">
        <v>5071717.8271080004</v>
      </c>
      <c r="R1535" s="77" t="s">
        <v>394</v>
      </c>
      <c r="S1535" s="77">
        <v>7414000005</v>
      </c>
      <c r="AB1535"/>
      <c r="AC1535"/>
    </row>
    <row r="1536" spans="16:29" x14ac:dyDescent="0.25">
      <c r="P1536" s="78">
        <v>595924</v>
      </c>
      <c r="Q1536" s="79">
        <v>1648851.388968</v>
      </c>
      <c r="R1536" s="77" t="s">
        <v>394</v>
      </c>
      <c r="S1536" s="77">
        <v>7414000005</v>
      </c>
      <c r="AB1536"/>
      <c r="AC1536"/>
    </row>
    <row r="1537" spans="16:29" x14ac:dyDescent="0.25">
      <c r="P1537" s="78">
        <v>5910</v>
      </c>
      <c r="Q1537" s="79">
        <v>583496.36259000003</v>
      </c>
      <c r="R1537" s="77" t="s">
        <v>394</v>
      </c>
      <c r="S1537" s="77">
        <v>7414000005</v>
      </c>
      <c r="AB1537"/>
      <c r="AC1537"/>
    </row>
    <row r="1538" spans="16:29" x14ac:dyDescent="0.25">
      <c r="P1538" s="78">
        <v>1120</v>
      </c>
      <c r="Q1538" s="79">
        <v>111157.19776</v>
      </c>
      <c r="R1538" s="77" t="s">
        <v>394</v>
      </c>
      <c r="S1538" s="77">
        <v>7414000005</v>
      </c>
      <c r="AB1538"/>
      <c r="AC1538"/>
    </row>
    <row r="1539" spans="16:29" x14ac:dyDescent="0.25">
      <c r="P1539" s="78">
        <v>10000</v>
      </c>
      <c r="Q1539" s="79">
        <v>949731.47</v>
      </c>
      <c r="R1539" s="77" t="s">
        <v>394</v>
      </c>
      <c r="S1539" s="77">
        <v>7414000005</v>
      </c>
      <c r="AB1539"/>
      <c r="AC1539"/>
    </row>
    <row r="1540" spans="16:29" x14ac:dyDescent="0.25">
      <c r="P1540" s="78">
        <v>25555</v>
      </c>
      <c r="Q1540" s="79">
        <v>2348806.5856550001</v>
      </c>
      <c r="R1540" s="77" t="s">
        <v>394</v>
      </c>
      <c r="S1540" s="77">
        <v>7414000005</v>
      </c>
      <c r="AB1540"/>
      <c r="AC1540"/>
    </row>
    <row r="1541" spans="16:29" x14ac:dyDescent="0.25">
      <c r="P1541" s="78">
        <v>2010</v>
      </c>
      <c r="Q1541" s="79">
        <v>178283.22722999999</v>
      </c>
      <c r="R1541" s="77" t="s">
        <v>394</v>
      </c>
      <c r="S1541" s="77">
        <v>7414000005</v>
      </c>
      <c r="AB1541"/>
      <c r="AC1541"/>
    </row>
    <row r="1542" spans="16:29" x14ac:dyDescent="0.25">
      <c r="P1542" s="78">
        <v>20130</v>
      </c>
      <c r="Q1542" s="79">
        <v>1878414.68496</v>
      </c>
      <c r="R1542" s="77" t="s">
        <v>394</v>
      </c>
      <c r="S1542" s="77">
        <v>7414000005</v>
      </c>
      <c r="AB1542"/>
      <c r="AC1542"/>
    </row>
    <row r="1543" spans="16:29" x14ac:dyDescent="0.25">
      <c r="P1543" s="78">
        <v>980</v>
      </c>
      <c r="Q1543" s="79">
        <v>92972.753859999997</v>
      </c>
      <c r="R1543" s="77" t="s">
        <v>394</v>
      </c>
      <c r="S1543" s="77">
        <v>7414000005</v>
      </c>
      <c r="AB1543"/>
      <c r="AC1543"/>
    </row>
    <row r="1544" spans="16:29" x14ac:dyDescent="0.25">
      <c r="P1544" s="78">
        <v>15123</v>
      </c>
      <c r="Q1544" s="79">
        <v>1353349.1791950001</v>
      </c>
      <c r="R1544" s="77" t="s">
        <v>394</v>
      </c>
      <c r="S1544" s="77">
        <v>7414000005</v>
      </c>
      <c r="AB1544"/>
      <c r="AC1544"/>
    </row>
    <row r="1545" spans="16:29" x14ac:dyDescent="0.25">
      <c r="P1545" s="78">
        <v>2735</v>
      </c>
      <c r="Q1545" s="79">
        <v>236493.68319000001</v>
      </c>
      <c r="R1545" s="77" t="s">
        <v>394</v>
      </c>
      <c r="S1545" s="77">
        <v>7414000005</v>
      </c>
      <c r="AB1545"/>
      <c r="AC1545"/>
    </row>
    <row r="1546" spans="16:29" x14ac:dyDescent="0.25">
      <c r="P1546" s="78">
        <v>950</v>
      </c>
      <c r="Q1546" s="79">
        <v>96378.417700000005</v>
      </c>
      <c r="R1546" s="77" t="s">
        <v>394</v>
      </c>
      <c r="S1546" s="77">
        <v>7414000005</v>
      </c>
      <c r="AB1546"/>
      <c r="AC1546"/>
    </row>
    <row r="1547" spans="16:29" x14ac:dyDescent="0.25">
      <c r="P1547" s="78">
        <v>605</v>
      </c>
      <c r="Q1547" s="79">
        <v>54234.119059999997</v>
      </c>
      <c r="R1547" s="77" t="s">
        <v>394</v>
      </c>
      <c r="S1547" s="77">
        <v>7414000005</v>
      </c>
      <c r="AB1547"/>
      <c r="AC1547"/>
    </row>
    <row r="1548" spans="16:29" x14ac:dyDescent="0.25">
      <c r="P1548" s="78">
        <v>1843</v>
      </c>
      <c r="Q1548" s="79">
        <v>150644.71898000001</v>
      </c>
      <c r="R1548" s="77" t="s">
        <v>394</v>
      </c>
      <c r="S1548" s="77">
        <v>7414000005</v>
      </c>
      <c r="AB1548"/>
      <c r="AC1548"/>
    </row>
    <row r="1549" spans="16:29" x14ac:dyDescent="0.25">
      <c r="P1549" s="78">
        <v>85</v>
      </c>
      <c r="Q1549" s="79">
        <v>7072.0646850000003</v>
      </c>
      <c r="R1549" s="77" t="s">
        <v>394</v>
      </c>
      <c r="S1549" s="77">
        <v>7414000005</v>
      </c>
      <c r="AB1549"/>
      <c r="AC1549"/>
    </row>
    <row r="1550" spans="16:29" x14ac:dyDescent="0.25">
      <c r="P1550" s="78">
        <v>10000</v>
      </c>
      <c r="Q1550" s="79">
        <v>980078.34</v>
      </c>
      <c r="R1550" s="77" t="s">
        <v>394</v>
      </c>
      <c r="S1550" s="77">
        <v>7414000005</v>
      </c>
      <c r="AB1550"/>
      <c r="AC1550"/>
    </row>
    <row r="1551" spans="16:29" x14ac:dyDescent="0.25">
      <c r="P1551" s="78">
        <v>15736059</v>
      </c>
      <c r="Q1551" s="79">
        <v>53451804.601548001</v>
      </c>
      <c r="R1551" s="77" t="s">
        <v>394</v>
      </c>
      <c r="S1551" s="77">
        <v>7414000005</v>
      </c>
      <c r="AB1551"/>
      <c r="AC1551"/>
    </row>
    <row r="1552" spans="16:29" x14ac:dyDescent="0.25">
      <c r="P1552" s="78">
        <v>4763003</v>
      </c>
      <c r="Q1552" s="79">
        <v>13261272.027674999</v>
      </c>
      <c r="R1552" s="77" t="s">
        <v>394</v>
      </c>
      <c r="S1552" s="77">
        <v>7414000005</v>
      </c>
      <c r="AB1552"/>
      <c r="AC1552"/>
    </row>
    <row r="1553" spans="16:29" x14ac:dyDescent="0.25">
      <c r="P1553" s="78">
        <v>564</v>
      </c>
      <c r="Q1553" s="79">
        <v>144412.26486</v>
      </c>
      <c r="R1553" s="77" t="s">
        <v>394</v>
      </c>
      <c r="S1553" s="77">
        <v>7414000005</v>
      </c>
      <c r="AB1553"/>
      <c r="AC1553"/>
    </row>
    <row r="1554" spans="16:29" x14ac:dyDescent="0.25">
      <c r="P1554" s="78">
        <v>1840</v>
      </c>
      <c r="Q1554" s="79">
        <v>1427272.8880799999</v>
      </c>
      <c r="R1554" s="77" t="s">
        <v>394</v>
      </c>
      <c r="S1554" s="77">
        <v>7414000005</v>
      </c>
      <c r="AB1554"/>
      <c r="AC1554"/>
    </row>
    <row r="1555" spans="16:29" x14ac:dyDescent="0.25">
      <c r="P1555" s="78">
        <v>1540</v>
      </c>
      <c r="Q1555" s="79">
        <v>1150654.78528</v>
      </c>
      <c r="R1555" s="77" t="s">
        <v>394</v>
      </c>
      <c r="S1555" s="77">
        <v>7414000005</v>
      </c>
      <c r="AB1555"/>
      <c r="AC1555"/>
    </row>
    <row r="1556" spans="16:29" x14ac:dyDescent="0.25">
      <c r="P1556" s="78">
        <v>2320</v>
      </c>
      <c r="Q1556" s="79">
        <v>1776943.4085599999</v>
      </c>
      <c r="R1556" s="77" t="s">
        <v>394</v>
      </c>
      <c r="S1556" s="77">
        <v>7414000005</v>
      </c>
      <c r="AB1556"/>
      <c r="AC1556"/>
    </row>
    <row r="1557" spans="16:29" x14ac:dyDescent="0.25">
      <c r="P1557" s="78">
        <v>570</v>
      </c>
      <c r="Q1557" s="79">
        <v>390386.82006</v>
      </c>
      <c r="R1557" s="77" t="s">
        <v>394</v>
      </c>
      <c r="S1557" s="77">
        <v>7414000005</v>
      </c>
      <c r="AB1557"/>
      <c r="AC1557"/>
    </row>
    <row r="1558" spans="16:29" x14ac:dyDescent="0.25">
      <c r="P1558" s="78">
        <v>408</v>
      </c>
      <c r="Q1558" s="79">
        <v>315354.20172000001</v>
      </c>
      <c r="R1558" s="77" t="s">
        <v>394</v>
      </c>
      <c r="S1558" s="77">
        <v>7414000005</v>
      </c>
      <c r="AB1558"/>
      <c r="AC1558"/>
    </row>
    <row r="1559" spans="16:29" x14ac:dyDescent="0.25">
      <c r="P1559" s="78">
        <v>0</v>
      </c>
      <c r="Q1559" s="79">
        <v>0</v>
      </c>
      <c r="R1559" s="77" t="s">
        <v>394</v>
      </c>
      <c r="S1559" s="77">
        <v>7414000005</v>
      </c>
      <c r="AB1559"/>
      <c r="AC1559"/>
    </row>
    <row r="1560" spans="16:29" x14ac:dyDescent="0.25">
      <c r="P1560" s="78">
        <v>2867</v>
      </c>
      <c r="Q1560" s="79">
        <v>1823306.262173</v>
      </c>
      <c r="R1560" s="77" t="s">
        <v>394</v>
      </c>
      <c r="S1560" s="77">
        <v>7414000005</v>
      </c>
      <c r="AB1560"/>
      <c r="AC1560"/>
    </row>
    <row r="1561" spans="16:29" x14ac:dyDescent="0.25">
      <c r="P1561" s="78">
        <v>872</v>
      </c>
      <c r="Q1561" s="79">
        <v>618570.41415199998</v>
      </c>
      <c r="R1561" s="77" t="s">
        <v>394</v>
      </c>
      <c r="S1561" s="77">
        <v>7414000005</v>
      </c>
      <c r="AB1561"/>
      <c r="AC1561"/>
    </row>
    <row r="1562" spans="16:29" x14ac:dyDescent="0.25">
      <c r="P1562" s="78">
        <v>3237</v>
      </c>
      <c r="Q1562" s="79">
        <v>2247809.012319</v>
      </c>
      <c r="R1562" s="77" t="s">
        <v>394</v>
      </c>
      <c r="S1562" s="77">
        <v>7414000005</v>
      </c>
      <c r="AB1562"/>
      <c r="AC1562"/>
    </row>
    <row r="1563" spans="16:29" x14ac:dyDescent="0.25">
      <c r="P1563" s="78">
        <v>0</v>
      </c>
      <c r="Q1563" s="79">
        <v>0</v>
      </c>
      <c r="R1563" s="77" t="s">
        <v>394</v>
      </c>
      <c r="S1563" s="77">
        <v>7414000005</v>
      </c>
      <c r="AB1563"/>
      <c r="AC1563"/>
    </row>
    <row r="1564" spans="16:29" x14ac:dyDescent="0.25">
      <c r="P1564" s="78">
        <v>0</v>
      </c>
      <c r="Q1564" s="79">
        <v>0</v>
      </c>
      <c r="R1564" s="77" t="s">
        <v>394</v>
      </c>
      <c r="S1564" s="77">
        <v>7414000005</v>
      </c>
      <c r="AB1564"/>
      <c r="AC1564"/>
    </row>
    <row r="1565" spans="16:29" x14ac:dyDescent="0.25">
      <c r="P1565" s="78">
        <v>0</v>
      </c>
      <c r="Q1565" s="79">
        <v>0</v>
      </c>
      <c r="R1565" s="77" t="s">
        <v>394</v>
      </c>
      <c r="S1565" s="77">
        <v>7414000005</v>
      </c>
      <c r="AB1565"/>
      <c r="AC1565"/>
    </row>
    <row r="1566" spans="16:29" x14ac:dyDescent="0.25">
      <c r="P1566" s="78">
        <v>0</v>
      </c>
      <c r="Q1566" s="79">
        <v>0</v>
      </c>
      <c r="R1566" s="77" t="s">
        <v>394</v>
      </c>
      <c r="S1566" s="77">
        <v>7414000005</v>
      </c>
      <c r="AB1566"/>
      <c r="AC1566"/>
    </row>
    <row r="1567" spans="16:29" x14ac:dyDescent="0.25">
      <c r="P1567" s="78">
        <v>0</v>
      </c>
      <c r="Q1567" s="79">
        <v>0</v>
      </c>
      <c r="R1567" s="77" t="s">
        <v>394</v>
      </c>
      <c r="S1567" s="77">
        <v>7414000005</v>
      </c>
      <c r="AB1567"/>
      <c r="AC1567"/>
    </row>
    <row r="1568" spans="16:29" x14ac:dyDescent="0.25">
      <c r="P1568" s="78">
        <v>0</v>
      </c>
      <c r="Q1568" s="79">
        <v>0</v>
      </c>
      <c r="R1568" s="77" t="s">
        <v>394</v>
      </c>
      <c r="S1568" s="77">
        <v>7414000005</v>
      </c>
      <c r="AB1568"/>
      <c r="AC1568"/>
    </row>
    <row r="1569" spans="16:29" x14ac:dyDescent="0.25">
      <c r="P1569" s="78">
        <v>0</v>
      </c>
      <c r="Q1569" s="79">
        <v>0</v>
      </c>
      <c r="R1569" s="77" t="s">
        <v>394</v>
      </c>
      <c r="S1569" s="77">
        <v>7414000005</v>
      </c>
      <c r="AB1569"/>
      <c r="AC1569"/>
    </row>
    <row r="1570" spans="16:29" x14ac:dyDescent="0.25">
      <c r="P1570" s="78">
        <v>0</v>
      </c>
      <c r="Q1570" s="79">
        <v>0</v>
      </c>
      <c r="R1570" s="77" t="s">
        <v>394</v>
      </c>
      <c r="S1570" s="77">
        <v>7414000005</v>
      </c>
      <c r="AB1570"/>
      <c r="AC1570"/>
    </row>
    <row r="1571" spans="16:29" x14ac:dyDescent="0.25">
      <c r="P1571" s="78">
        <v>0</v>
      </c>
      <c r="Q1571" s="79">
        <v>0</v>
      </c>
      <c r="R1571" s="77" t="s">
        <v>394</v>
      </c>
      <c r="S1571" s="77">
        <v>7414000005</v>
      </c>
      <c r="AB1571"/>
      <c r="AC1571"/>
    </row>
    <row r="1572" spans="16:29" x14ac:dyDescent="0.25">
      <c r="P1572" s="78">
        <v>0</v>
      </c>
      <c r="Q1572" s="79">
        <v>0</v>
      </c>
      <c r="R1572" s="77" t="s">
        <v>394</v>
      </c>
      <c r="S1572" s="77">
        <v>7414000005</v>
      </c>
      <c r="AB1572"/>
      <c r="AC1572"/>
    </row>
    <row r="1573" spans="16:29" x14ac:dyDescent="0.25">
      <c r="P1573" s="78">
        <v>0</v>
      </c>
      <c r="Q1573" s="79">
        <v>0</v>
      </c>
      <c r="R1573" s="77" t="s">
        <v>394</v>
      </c>
      <c r="S1573" s="77">
        <v>7414000005</v>
      </c>
      <c r="AB1573"/>
      <c r="AC1573"/>
    </row>
    <row r="1574" spans="16:29" x14ac:dyDescent="0.25">
      <c r="P1574" s="78">
        <v>65</v>
      </c>
      <c r="Q1574" s="79">
        <v>116122.5</v>
      </c>
      <c r="R1574" s="77" t="s">
        <v>394</v>
      </c>
      <c r="S1574" s="77">
        <v>7414000005</v>
      </c>
      <c r="AB1574"/>
      <c r="AC1574"/>
    </row>
    <row r="1575" spans="16:29" x14ac:dyDescent="0.25">
      <c r="P1575" s="78">
        <v>10</v>
      </c>
      <c r="Q1575" s="79">
        <v>976.54421000000002</v>
      </c>
      <c r="R1575" s="77" t="s">
        <v>394</v>
      </c>
      <c r="S1575" s="77">
        <v>7414000005</v>
      </c>
      <c r="AB1575"/>
      <c r="AC1575"/>
    </row>
    <row r="1576" spans="16:29" x14ac:dyDescent="0.25">
      <c r="P1576" s="78">
        <v>1149</v>
      </c>
      <c r="Q1576" s="79">
        <v>10908.132611999999</v>
      </c>
      <c r="R1576" s="77" t="s">
        <v>394</v>
      </c>
      <c r="S1576" s="77">
        <v>7414000005</v>
      </c>
      <c r="AB1576"/>
      <c r="AC1576"/>
    </row>
    <row r="1577" spans="16:29" x14ac:dyDescent="0.25">
      <c r="P1577" s="78">
        <v>1600</v>
      </c>
      <c r="Q1577" s="79">
        <v>14941.060799999999</v>
      </c>
      <c r="R1577" s="77" t="s">
        <v>394</v>
      </c>
      <c r="S1577" s="77">
        <v>7414000005</v>
      </c>
      <c r="AB1577"/>
      <c r="AC1577"/>
    </row>
    <row r="1578" spans="16:29" x14ac:dyDescent="0.25">
      <c r="P1578" s="78">
        <v>13</v>
      </c>
      <c r="Q1578" s="79">
        <v>1283.494537</v>
      </c>
      <c r="R1578" s="77" t="s">
        <v>394</v>
      </c>
      <c r="S1578" s="77">
        <v>7414000005</v>
      </c>
      <c r="AB1578"/>
      <c r="AC1578"/>
    </row>
    <row r="1579" spans="16:29" x14ac:dyDescent="0.25">
      <c r="P1579" s="78">
        <v>70</v>
      </c>
      <c r="Q1579" s="79">
        <v>6947.3248599999997</v>
      </c>
      <c r="R1579" s="77" t="s">
        <v>394</v>
      </c>
      <c r="S1579" s="77">
        <v>7414000005</v>
      </c>
      <c r="AB1579"/>
      <c r="AC1579"/>
    </row>
    <row r="1580" spans="16:29" x14ac:dyDescent="0.25">
      <c r="P1580" s="78">
        <v>20</v>
      </c>
      <c r="Q1580" s="79">
        <v>1899.4629399999999</v>
      </c>
      <c r="R1580" s="77" t="s">
        <v>394</v>
      </c>
      <c r="S1580" s="77">
        <v>7414000005</v>
      </c>
      <c r="AB1580"/>
      <c r="AC1580"/>
    </row>
    <row r="1581" spans="16:29" x14ac:dyDescent="0.25">
      <c r="P1581" s="78">
        <v>88</v>
      </c>
      <c r="Q1581" s="79">
        <v>8088.2402480000001</v>
      </c>
      <c r="R1581" s="77" t="s">
        <v>394</v>
      </c>
      <c r="S1581" s="77">
        <v>7414000005</v>
      </c>
      <c r="AB1581"/>
      <c r="AC1581"/>
    </row>
    <row r="1582" spans="16:29" x14ac:dyDescent="0.25">
      <c r="P1582" s="78">
        <v>50</v>
      </c>
      <c r="Q1582" s="79">
        <v>4647.7251500000002</v>
      </c>
      <c r="R1582" s="77" t="s">
        <v>394</v>
      </c>
      <c r="S1582" s="77">
        <v>7414000005</v>
      </c>
      <c r="AB1582"/>
      <c r="AC1582"/>
    </row>
    <row r="1583" spans="16:29" x14ac:dyDescent="0.25">
      <c r="P1583" s="78">
        <v>49</v>
      </c>
      <c r="Q1583" s="79">
        <v>4346.2080269999997</v>
      </c>
      <c r="R1583" s="77" t="s">
        <v>394</v>
      </c>
      <c r="S1583" s="77">
        <v>7414000005</v>
      </c>
      <c r="AB1583"/>
      <c r="AC1583"/>
    </row>
    <row r="1584" spans="16:29" x14ac:dyDescent="0.25">
      <c r="P1584" s="78">
        <v>141</v>
      </c>
      <c r="Q1584" s="79">
        <v>13157.301072</v>
      </c>
      <c r="R1584" s="77" t="s">
        <v>394</v>
      </c>
      <c r="S1584" s="77">
        <v>7414000005</v>
      </c>
      <c r="AB1584"/>
      <c r="AC1584"/>
    </row>
    <row r="1585" spans="16:29" x14ac:dyDescent="0.25">
      <c r="P1585" s="78">
        <v>39</v>
      </c>
      <c r="Q1585" s="79">
        <v>3699.7025520000002</v>
      </c>
      <c r="R1585" s="77" t="s">
        <v>394</v>
      </c>
      <c r="S1585" s="77">
        <v>7414000005</v>
      </c>
      <c r="AB1585"/>
      <c r="AC1585"/>
    </row>
    <row r="1586" spans="16:29" x14ac:dyDescent="0.25">
      <c r="P1586" s="78">
        <v>313</v>
      </c>
      <c r="Q1586" s="79">
        <v>29694.359141000001</v>
      </c>
      <c r="R1586" s="77" t="s">
        <v>394</v>
      </c>
      <c r="S1586" s="77">
        <v>7414000005</v>
      </c>
      <c r="AB1586"/>
      <c r="AC1586"/>
    </row>
    <row r="1587" spans="16:29" x14ac:dyDescent="0.25">
      <c r="P1587" s="78">
        <v>154</v>
      </c>
      <c r="Q1587" s="79">
        <v>13781.37761</v>
      </c>
      <c r="R1587" s="77" t="s">
        <v>394</v>
      </c>
      <c r="S1587" s="77">
        <v>7414000005</v>
      </c>
      <c r="AB1587"/>
      <c r="AC1587"/>
    </row>
    <row r="1588" spans="16:29" x14ac:dyDescent="0.25">
      <c r="P1588" s="78">
        <v>270</v>
      </c>
      <c r="Q1588" s="79">
        <v>23273.224559999999</v>
      </c>
      <c r="R1588" s="77" t="s">
        <v>394</v>
      </c>
      <c r="S1588" s="77">
        <v>7414000005</v>
      </c>
      <c r="AB1588"/>
      <c r="AC1588"/>
    </row>
    <row r="1589" spans="16:29" x14ac:dyDescent="0.25">
      <c r="P1589" s="78">
        <v>133</v>
      </c>
      <c r="Q1589" s="79">
        <v>11500.424082</v>
      </c>
      <c r="R1589" s="77" t="s">
        <v>394</v>
      </c>
      <c r="S1589" s="77">
        <v>7414000005</v>
      </c>
      <c r="AB1589"/>
      <c r="AC1589"/>
    </row>
    <row r="1590" spans="16:29" x14ac:dyDescent="0.25">
      <c r="P1590" s="78">
        <v>3</v>
      </c>
      <c r="Q1590" s="79">
        <v>304.35289799999998</v>
      </c>
      <c r="R1590" s="77" t="s">
        <v>394</v>
      </c>
      <c r="S1590" s="77">
        <v>7414000005</v>
      </c>
      <c r="AB1590"/>
      <c r="AC1590"/>
    </row>
    <row r="1591" spans="16:29" x14ac:dyDescent="0.25">
      <c r="P1591" s="78">
        <v>5</v>
      </c>
      <c r="Q1591" s="79">
        <v>448.21586000000002</v>
      </c>
      <c r="R1591" s="77" t="s">
        <v>394</v>
      </c>
      <c r="S1591" s="77">
        <v>7414000005</v>
      </c>
      <c r="AB1591"/>
      <c r="AC1591"/>
    </row>
    <row r="1592" spans="16:29" x14ac:dyDescent="0.25">
      <c r="P1592" s="78">
        <v>202</v>
      </c>
      <c r="Q1592" s="79">
        <v>16511.24972</v>
      </c>
      <c r="R1592" s="77" t="s">
        <v>394</v>
      </c>
      <c r="S1592" s="77">
        <v>7414000005</v>
      </c>
      <c r="AB1592"/>
      <c r="AC1592"/>
    </row>
    <row r="1593" spans="16:29" x14ac:dyDescent="0.25">
      <c r="P1593" s="78">
        <v>53</v>
      </c>
      <c r="Q1593" s="79">
        <v>4409.6403330000003</v>
      </c>
      <c r="R1593" s="77" t="s">
        <v>394</v>
      </c>
      <c r="S1593" s="77">
        <v>7414000005</v>
      </c>
      <c r="AB1593"/>
      <c r="AC1593"/>
    </row>
    <row r="1594" spans="16:29" x14ac:dyDescent="0.25">
      <c r="P1594" s="78">
        <v>42</v>
      </c>
      <c r="Q1594" s="79">
        <v>3450.7160939999999</v>
      </c>
      <c r="R1594" s="77" t="s">
        <v>394</v>
      </c>
      <c r="S1594" s="77">
        <v>7414000005</v>
      </c>
      <c r="AB1594"/>
      <c r="AC1594"/>
    </row>
    <row r="1595" spans="16:29" x14ac:dyDescent="0.25">
      <c r="P1595" s="78">
        <v>37900</v>
      </c>
      <c r="Q1595" s="79">
        <v>118969.61599999999</v>
      </c>
      <c r="R1595" s="77" t="s">
        <v>394</v>
      </c>
      <c r="S1595" s="77">
        <v>7414000005</v>
      </c>
      <c r="AB1595"/>
      <c r="AC1595"/>
    </row>
    <row r="1596" spans="16:29" x14ac:dyDescent="0.25">
      <c r="P1596" s="78">
        <v>28105</v>
      </c>
      <c r="Q1596" s="79">
        <v>95466.277059999993</v>
      </c>
      <c r="R1596" s="77" t="s">
        <v>394</v>
      </c>
      <c r="S1596" s="77">
        <v>7414000005</v>
      </c>
      <c r="AB1596"/>
      <c r="AC1596"/>
    </row>
    <row r="1597" spans="16:29" x14ac:dyDescent="0.25">
      <c r="P1597" s="78">
        <v>6</v>
      </c>
      <c r="Q1597" s="79">
        <v>4654.1507220000003</v>
      </c>
      <c r="R1597" s="77" t="s">
        <v>394</v>
      </c>
      <c r="S1597" s="77">
        <v>7414000005</v>
      </c>
      <c r="AB1597"/>
      <c r="AC1597"/>
    </row>
    <row r="1598" spans="16:29" x14ac:dyDescent="0.25">
      <c r="P1598" s="78">
        <v>12</v>
      </c>
      <c r="Q1598" s="79">
        <v>8966.1411840000001</v>
      </c>
      <c r="R1598" s="77" t="s">
        <v>394</v>
      </c>
      <c r="S1598" s="77">
        <v>7414000005</v>
      </c>
      <c r="AB1598"/>
      <c r="AC1598"/>
    </row>
    <row r="1599" spans="16:29" x14ac:dyDescent="0.25">
      <c r="P1599" s="78">
        <v>3</v>
      </c>
      <c r="Q1599" s="79">
        <v>2297.7716489999998</v>
      </c>
      <c r="R1599" s="77" t="s">
        <v>394</v>
      </c>
      <c r="S1599" s="77">
        <v>7414000005</v>
      </c>
      <c r="AB1599"/>
      <c r="AC1599"/>
    </row>
    <row r="1600" spans="16:29" x14ac:dyDescent="0.25">
      <c r="P1600" s="78">
        <v>22</v>
      </c>
      <c r="Q1600" s="79">
        <v>15067.561476000001</v>
      </c>
      <c r="R1600" s="77" t="s">
        <v>394</v>
      </c>
      <c r="S1600" s="77">
        <v>7414000005</v>
      </c>
      <c r="AB1600"/>
      <c r="AC1600"/>
    </row>
    <row r="1601" spans="16:29" x14ac:dyDescent="0.25">
      <c r="P1601" s="78">
        <v>13</v>
      </c>
      <c r="Q1601" s="79">
        <v>10048.050545</v>
      </c>
      <c r="R1601" s="77" t="s">
        <v>394</v>
      </c>
      <c r="S1601" s="77">
        <v>7414000005</v>
      </c>
      <c r="AB1601"/>
      <c r="AC1601"/>
    </row>
    <row r="1602" spans="16:29" x14ac:dyDescent="0.25">
      <c r="P1602" s="78">
        <v>13</v>
      </c>
      <c r="Q1602" s="79">
        <v>9380.7303200000006</v>
      </c>
      <c r="R1602" s="77" t="s">
        <v>394</v>
      </c>
      <c r="S1602" s="77">
        <v>7414000005</v>
      </c>
      <c r="AB1602"/>
      <c r="AC1602"/>
    </row>
    <row r="1603" spans="16:29" x14ac:dyDescent="0.25">
      <c r="P1603" s="78">
        <v>3</v>
      </c>
      <c r="Q1603" s="79">
        <v>1907.889357</v>
      </c>
      <c r="R1603" s="77" t="s">
        <v>394</v>
      </c>
      <c r="S1603" s="77">
        <v>7414000005</v>
      </c>
      <c r="AB1603"/>
      <c r="AC1603"/>
    </row>
    <row r="1604" spans="16:29" x14ac:dyDescent="0.25">
      <c r="P1604" s="78">
        <v>15</v>
      </c>
      <c r="Q1604" s="79">
        <v>10640.546114999999</v>
      </c>
      <c r="R1604" s="77" t="s">
        <v>394</v>
      </c>
      <c r="S1604" s="77">
        <v>7414000005</v>
      </c>
      <c r="AB1604"/>
      <c r="AC1604"/>
    </row>
    <row r="1605" spans="16:29" x14ac:dyDescent="0.25">
      <c r="P1605" s="78">
        <v>33</v>
      </c>
      <c r="Q1605" s="79">
        <v>22915.569170999999</v>
      </c>
      <c r="R1605" s="77" t="s">
        <v>394</v>
      </c>
      <c r="S1605" s="77">
        <v>7414000005</v>
      </c>
      <c r="AB1605"/>
      <c r="AC1605"/>
    </row>
    <row r="1606" spans="16:29" x14ac:dyDescent="0.25">
      <c r="P1606" s="78">
        <v>3100</v>
      </c>
      <c r="Q1606" s="79">
        <v>522784</v>
      </c>
      <c r="R1606" s="77" t="s">
        <v>394</v>
      </c>
      <c r="S1606" s="77">
        <v>7414000005</v>
      </c>
      <c r="AB1606"/>
      <c r="AC1606"/>
    </row>
    <row r="1607" spans="16:29" x14ac:dyDescent="0.25">
      <c r="P1607" s="78">
        <v>3700</v>
      </c>
      <c r="Q1607" s="79">
        <v>6610050</v>
      </c>
      <c r="R1607" s="77" t="s">
        <v>394</v>
      </c>
      <c r="S1607" s="77">
        <v>7414000005</v>
      </c>
      <c r="AB1607"/>
      <c r="AC1607"/>
    </row>
    <row r="1608" spans="16:29" x14ac:dyDescent="0.25">
      <c r="P1608" s="78">
        <v>9800</v>
      </c>
      <c r="Q1608" s="79">
        <v>116228</v>
      </c>
      <c r="R1608" s="77" t="s">
        <v>394</v>
      </c>
      <c r="S1608" s="77">
        <v>7414000005</v>
      </c>
      <c r="AB1608"/>
      <c r="AC1608"/>
    </row>
    <row r="1609" spans="16:29" x14ac:dyDescent="0.25">
      <c r="P1609" s="78">
        <v>8600</v>
      </c>
      <c r="Q1609" s="79">
        <v>630982</v>
      </c>
      <c r="R1609" s="77" t="s">
        <v>394</v>
      </c>
      <c r="S1609" s="77">
        <v>7414000005</v>
      </c>
      <c r="AB1609"/>
      <c r="AC1609"/>
    </row>
    <row r="1610" spans="16:29" x14ac:dyDescent="0.25">
      <c r="P1610" s="78">
        <v>129000</v>
      </c>
      <c r="Q1610" s="79">
        <v>1950480</v>
      </c>
      <c r="R1610" s="77" t="s">
        <v>394</v>
      </c>
      <c r="S1610" s="77">
        <v>7414000005</v>
      </c>
      <c r="AB1610"/>
      <c r="AC1610"/>
    </row>
    <row r="1611" spans="16:29" x14ac:dyDescent="0.25">
      <c r="P1611" s="78">
        <v>2400</v>
      </c>
      <c r="Q1611" s="79">
        <v>1260216</v>
      </c>
      <c r="R1611" s="77" t="s">
        <v>394</v>
      </c>
      <c r="S1611" s="77">
        <v>7414000005</v>
      </c>
      <c r="AB1611"/>
      <c r="AC1611"/>
    </row>
    <row r="1612" spans="16:29" x14ac:dyDescent="0.25">
      <c r="P1612" s="78">
        <v>5600</v>
      </c>
      <c r="Q1612" s="79">
        <v>382200</v>
      </c>
      <c r="R1612" s="77" t="s">
        <v>394</v>
      </c>
      <c r="S1612" s="77">
        <v>7414000005</v>
      </c>
      <c r="AB1612"/>
      <c r="AC1612"/>
    </row>
    <row r="1613" spans="16:29" x14ac:dyDescent="0.25">
      <c r="P1613" s="78">
        <v>156400</v>
      </c>
      <c r="Q1613" s="79">
        <v>2241212</v>
      </c>
      <c r="R1613" s="77" t="s">
        <v>394</v>
      </c>
      <c r="S1613" s="77">
        <v>7414000005</v>
      </c>
      <c r="AB1613"/>
      <c r="AC1613"/>
    </row>
    <row r="1614" spans="16:29" x14ac:dyDescent="0.25">
      <c r="P1614" s="78">
        <v>1072</v>
      </c>
      <c r="Q1614" s="79">
        <v>104685.53931199999</v>
      </c>
      <c r="R1614" s="77" t="s">
        <v>394</v>
      </c>
      <c r="S1614" s="77">
        <v>7414000005</v>
      </c>
      <c r="AB1614"/>
      <c r="AC1614"/>
    </row>
    <row r="1615" spans="16:29" x14ac:dyDescent="0.25">
      <c r="P1615" s="78">
        <v>228935</v>
      </c>
      <c r="Q1615" s="79">
        <v>2173414.5687799999</v>
      </c>
      <c r="R1615" s="77" t="s">
        <v>394</v>
      </c>
      <c r="S1615" s="77">
        <v>7414000005</v>
      </c>
      <c r="AB1615"/>
      <c r="AC1615"/>
    </row>
    <row r="1616" spans="16:29" x14ac:dyDescent="0.25">
      <c r="P1616" s="78">
        <v>311790</v>
      </c>
      <c r="Q1616" s="79">
        <v>2911545.8417699998</v>
      </c>
      <c r="R1616" s="77" t="s">
        <v>394</v>
      </c>
      <c r="S1616" s="77">
        <v>7414000005</v>
      </c>
      <c r="AB1616"/>
      <c r="AC1616"/>
    </row>
    <row r="1617" spans="16:29" x14ac:dyDescent="0.25">
      <c r="P1617" s="78">
        <v>2430</v>
      </c>
      <c r="Q1617" s="79">
        <v>1641173.4</v>
      </c>
      <c r="R1617" s="77" t="s">
        <v>394</v>
      </c>
      <c r="S1617" s="77">
        <v>7414000005</v>
      </c>
      <c r="AB1617"/>
      <c r="AC1617"/>
    </row>
    <row r="1618" spans="16:29" x14ac:dyDescent="0.25">
      <c r="P1618" s="78">
        <v>525</v>
      </c>
      <c r="Q1618" s="79">
        <v>367841.25</v>
      </c>
      <c r="R1618" s="77" t="s">
        <v>394</v>
      </c>
      <c r="S1618" s="77">
        <v>7414000005</v>
      </c>
      <c r="AB1618"/>
      <c r="AC1618"/>
    </row>
    <row r="1619" spans="16:29" x14ac:dyDescent="0.25">
      <c r="P1619" s="78">
        <v>1080</v>
      </c>
      <c r="Q1619" s="79">
        <v>1243080</v>
      </c>
      <c r="R1619" s="77" t="s">
        <v>394</v>
      </c>
      <c r="S1619" s="77">
        <v>7414000005</v>
      </c>
      <c r="AB1619"/>
      <c r="AC1619"/>
    </row>
    <row r="1620" spans="16:29" x14ac:dyDescent="0.25">
      <c r="P1620" s="78">
        <v>11600</v>
      </c>
      <c r="Q1620" s="79">
        <v>2410596</v>
      </c>
      <c r="R1620" s="77" t="s">
        <v>394</v>
      </c>
      <c r="S1620" s="77">
        <v>7414000005</v>
      </c>
      <c r="AB1620"/>
      <c r="AC1620"/>
    </row>
    <row r="1621" spans="16:29" x14ac:dyDescent="0.25">
      <c r="P1621" s="78">
        <v>1200</v>
      </c>
      <c r="Q1621" s="79">
        <v>326328</v>
      </c>
      <c r="R1621" s="77" t="s">
        <v>394</v>
      </c>
      <c r="S1621" s="77">
        <v>7414000005</v>
      </c>
      <c r="AB1621"/>
      <c r="AC1621"/>
    </row>
    <row r="1622" spans="16:29" x14ac:dyDescent="0.25">
      <c r="P1622" s="78">
        <v>4000</v>
      </c>
      <c r="Q1622" s="79">
        <v>772600</v>
      </c>
      <c r="R1622" s="77" t="s">
        <v>394</v>
      </c>
      <c r="S1622" s="77">
        <v>7414000005</v>
      </c>
      <c r="AB1622"/>
      <c r="AC1622"/>
    </row>
    <row r="1623" spans="16:29" x14ac:dyDescent="0.25">
      <c r="P1623" s="78">
        <v>29000</v>
      </c>
      <c r="Q1623" s="79">
        <v>786480</v>
      </c>
      <c r="R1623" s="77" t="s">
        <v>394</v>
      </c>
      <c r="S1623" s="77">
        <v>7414000005</v>
      </c>
      <c r="AB1623"/>
      <c r="AC1623"/>
    </row>
    <row r="1624" spans="16:29" x14ac:dyDescent="0.25">
      <c r="P1624" s="78">
        <v>18400</v>
      </c>
      <c r="Q1624" s="79">
        <v>3246496</v>
      </c>
      <c r="R1624" s="77" t="s">
        <v>394</v>
      </c>
      <c r="S1624" s="77">
        <v>7414000005</v>
      </c>
      <c r="AB1624"/>
      <c r="AC1624"/>
    </row>
    <row r="1625" spans="16:29" x14ac:dyDescent="0.25">
      <c r="P1625" s="78">
        <v>23300</v>
      </c>
      <c r="Q1625" s="79">
        <v>2425996</v>
      </c>
      <c r="R1625" s="77" t="s">
        <v>394</v>
      </c>
      <c r="S1625" s="77">
        <v>7414000005</v>
      </c>
      <c r="AB1625"/>
      <c r="AC1625"/>
    </row>
    <row r="1626" spans="16:29" x14ac:dyDescent="0.25">
      <c r="P1626" s="78">
        <v>15697</v>
      </c>
      <c r="Q1626" s="79">
        <v>1549770.288253</v>
      </c>
      <c r="R1626" s="77" t="s">
        <v>394</v>
      </c>
      <c r="S1626" s="77">
        <v>7414000005</v>
      </c>
      <c r="AB1626"/>
      <c r="AC1626"/>
    </row>
    <row r="1627" spans="16:29" x14ac:dyDescent="0.25">
      <c r="P1627" s="78">
        <v>17750</v>
      </c>
      <c r="Q1627" s="79">
        <v>1761643.0895</v>
      </c>
      <c r="R1627" s="77" t="s">
        <v>394</v>
      </c>
      <c r="S1627" s="77">
        <v>7414000005</v>
      </c>
      <c r="AB1627"/>
      <c r="AC1627"/>
    </row>
    <row r="1628" spans="16:29" x14ac:dyDescent="0.25">
      <c r="P1628" s="78">
        <v>5330</v>
      </c>
      <c r="Q1628" s="79">
        <v>506206.87351</v>
      </c>
      <c r="R1628" s="77" t="s">
        <v>394</v>
      </c>
      <c r="S1628" s="77">
        <v>7414000005</v>
      </c>
      <c r="AB1628"/>
      <c r="AC1628"/>
    </row>
    <row r="1629" spans="16:29" x14ac:dyDescent="0.25">
      <c r="P1629" s="78">
        <v>18336</v>
      </c>
      <c r="Q1629" s="79">
        <v>1685295.149856</v>
      </c>
      <c r="R1629" s="77" t="s">
        <v>394</v>
      </c>
      <c r="S1629" s="77">
        <v>7414000005</v>
      </c>
      <c r="AB1629"/>
      <c r="AC1629"/>
    </row>
    <row r="1630" spans="16:29" x14ac:dyDescent="0.25">
      <c r="P1630" s="78">
        <v>9390</v>
      </c>
      <c r="Q1630" s="79">
        <v>872842.78316999995</v>
      </c>
      <c r="R1630" s="77" t="s">
        <v>394</v>
      </c>
      <c r="S1630" s="77">
        <v>7414000005</v>
      </c>
      <c r="AB1630"/>
      <c r="AC1630"/>
    </row>
    <row r="1631" spans="16:29" x14ac:dyDescent="0.25">
      <c r="P1631" s="78">
        <v>9384</v>
      </c>
      <c r="Q1631" s="79">
        <v>832343.18623200001</v>
      </c>
      <c r="R1631" s="77" t="s">
        <v>394</v>
      </c>
      <c r="S1631" s="77">
        <v>7414000005</v>
      </c>
      <c r="AB1631"/>
      <c r="AC1631"/>
    </row>
    <row r="1632" spans="16:29" x14ac:dyDescent="0.25">
      <c r="P1632" s="78">
        <v>18740</v>
      </c>
      <c r="Q1632" s="79">
        <v>1748707.95808</v>
      </c>
      <c r="R1632" s="77" t="s">
        <v>394</v>
      </c>
      <c r="S1632" s="77">
        <v>7414000005</v>
      </c>
      <c r="AB1632"/>
      <c r="AC1632"/>
    </row>
    <row r="1633" spans="1:29" x14ac:dyDescent="0.25">
      <c r="P1633" s="78">
        <v>16620</v>
      </c>
      <c r="Q1633" s="79">
        <v>1576642.4721599999</v>
      </c>
      <c r="R1633" s="77" t="s">
        <v>394</v>
      </c>
      <c r="S1633" s="77">
        <v>7414000005</v>
      </c>
      <c r="AB1633"/>
      <c r="AC1633"/>
    </row>
    <row r="1634" spans="1:29" x14ac:dyDescent="0.25">
      <c r="P1634" s="78">
        <v>46662</v>
      </c>
      <c r="Q1634" s="79">
        <v>4426831.2659339998</v>
      </c>
      <c r="R1634" s="77" t="s">
        <v>394</v>
      </c>
      <c r="S1634" s="77">
        <v>7414000005</v>
      </c>
      <c r="AB1634"/>
      <c r="AC1634"/>
    </row>
    <row r="1635" spans="1:29" ht="35.25" customHeight="1" x14ac:dyDescent="0.25">
      <c r="P1635" s="78">
        <v>31021</v>
      </c>
      <c r="Q1635" s="79">
        <v>2776052.693765</v>
      </c>
      <c r="R1635" s="77" t="s">
        <v>394</v>
      </c>
      <c r="S1635" s="77">
        <v>7414000005</v>
      </c>
      <c r="AB1635"/>
      <c r="AC1635"/>
    </row>
    <row r="1636" spans="1:29" x14ac:dyDescent="0.25">
      <c r="P1636" s="78">
        <v>46364</v>
      </c>
      <c r="Q1636" s="79">
        <v>3996443.6425919998</v>
      </c>
      <c r="R1636" s="77" t="s">
        <v>394</v>
      </c>
      <c r="S1636" s="77">
        <v>7414000005</v>
      </c>
      <c r="AB1636"/>
      <c r="AC1636"/>
    </row>
    <row r="1637" spans="1:29" s="13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 s="78">
        <v>31170</v>
      </c>
      <c r="Q1637" s="79">
        <v>2695249.7641799999</v>
      </c>
      <c r="R1637" s="77" t="s">
        <v>394</v>
      </c>
      <c r="S1637" s="77">
        <v>7414000005</v>
      </c>
      <c r="X1637" s="14"/>
      <c r="AA1637"/>
      <c r="AB1637"/>
      <c r="AC1637"/>
    </row>
    <row r="1638" spans="1:29" s="13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 s="78">
        <v>1504</v>
      </c>
      <c r="Q1638" s="79">
        <v>152582.25286400001</v>
      </c>
      <c r="R1638" s="77" t="s">
        <v>394</v>
      </c>
      <c r="S1638" s="77">
        <v>7414000005</v>
      </c>
      <c r="T1638" s="15"/>
      <c r="X1638" s="14"/>
      <c r="AA1638"/>
      <c r="AB1638"/>
      <c r="AC1638"/>
    </row>
    <row r="1639" spans="1:29" x14ac:dyDescent="0.25">
      <c r="P1639" s="78">
        <v>1379</v>
      </c>
      <c r="Q1639" s="79">
        <v>123617.934188</v>
      </c>
      <c r="R1639" s="77" t="s">
        <v>394</v>
      </c>
      <c r="S1639" s="77">
        <v>7414000005</v>
      </c>
      <c r="AB1639"/>
      <c r="AC1639"/>
    </row>
    <row r="1640" spans="1:29" x14ac:dyDescent="0.25">
      <c r="P1640" s="78">
        <v>37318</v>
      </c>
      <c r="Q1640" s="79">
        <v>3050330.7774800002</v>
      </c>
      <c r="R1640" s="77" t="s">
        <v>394</v>
      </c>
      <c r="S1640" s="77">
        <v>7414000005</v>
      </c>
      <c r="AB1640"/>
      <c r="AC1640"/>
    </row>
    <row r="1641" spans="1:29" x14ac:dyDescent="0.25">
      <c r="P1641" s="78">
        <v>5580</v>
      </c>
      <c r="Q1641" s="79">
        <v>464260.24638000003</v>
      </c>
      <c r="R1641" s="77" t="s">
        <v>394</v>
      </c>
      <c r="S1641" s="77">
        <v>7414000005</v>
      </c>
      <c r="AB1641"/>
      <c r="AC1641"/>
    </row>
    <row r="1642" spans="1:29" x14ac:dyDescent="0.25">
      <c r="P1642" s="78">
        <v>45593</v>
      </c>
      <c r="Q1642" s="79">
        <v>3745916.6398510002</v>
      </c>
      <c r="R1642" s="77" t="s">
        <v>394</v>
      </c>
      <c r="S1642" s="77">
        <v>7414000005</v>
      </c>
      <c r="AB1642"/>
      <c r="AC1642"/>
    </row>
    <row r="1643" spans="1:29" x14ac:dyDescent="0.25">
      <c r="P1643" s="78">
        <v>2000</v>
      </c>
      <c r="Q1643" s="79">
        <v>628840</v>
      </c>
      <c r="R1643" s="77" t="s">
        <v>394</v>
      </c>
      <c r="S1643" s="77">
        <v>7414000005</v>
      </c>
      <c r="AB1643"/>
      <c r="AC1643"/>
    </row>
    <row r="1644" spans="1:29" x14ac:dyDescent="0.25">
      <c r="P1644" s="78">
        <v>11900</v>
      </c>
      <c r="Q1644" s="79">
        <v>521815</v>
      </c>
      <c r="R1644" s="77" t="s">
        <v>394</v>
      </c>
      <c r="S1644" s="77">
        <v>7414000005</v>
      </c>
      <c r="AB1644"/>
      <c r="AC1644"/>
    </row>
    <row r="1645" spans="1:29" x14ac:dyDescent="0.25">
      <c r="P1645" s="78">
        <v>0</v>
      </c>
      <c r="Q1645" s="79">
        <v>0</v>
      </c>
      <c r="R1645" s="77" t="s">
        <v>394</v>
      </c>
      <c r="S1645" s="77">
        <v>7414000005</v>
      </c>
      <c r="AB1645"/>
      <c r="AC1645"/>
    </row>
    <row r="1646" spans="1:29" x14ac:dyDescent="0.25">
      <c r="P1646" s="78">
        <v>946</v>
      </c>
      <c r="Q1646" s="79">
        <v>8071745</v>
      </c>
      <c r="R1646" s="77" t="s">
        <v>394</v>
      </c>
      <c r="S1646" s="77">
        <v>7414000005</v>
      </c>
      <c r="AB1646"/>
      <c r="AC1646"/>
    </row>
    <row r="1647" spans="1:29" x14ac:dyDescent="0.25">
      <c r="P1647" s="78">
        <v>14400</v>
      </c>
      <c r="Q1647" s="79">
        <v>522432</v>
      </c>
      <c r="R1647" s="77" t="s">
        <v>394</v>
      </c>
      <c r="S1647" s="77">
        <v>7414000005</v>
      </c>
      <c r="AB1647"/>
      <c r="AC1647"/>
    </row>
    <row r="1648" spans="1:29" x14ac:dyDescent="0.25">
      <c r="P1648" s="78">
        <v>1900</v>
      </c>
      <c r="Q1648" s="79">
        <v>259065</v>
      </c>
      <c r="R1648" s="77" t="s">
        <v>394</v>
      </c>
      <c r="S1648" s="77">
        <v>7414000005</v>
      </c>
      <c r="AB1648"/>
      <c r="AC1648"/>
    </row>
    <row r="1649" spans="16:29" x14ac:dyDescent="0.25">
      <c r="P1649" s="78">
        <v>40257</v>
      </c>
      <c r="Q1649" s="79">
        <v>3945501.3733379999</v>
      </c>
      <c r="R1649" s="77" t="s">
        <v>394</v>
      </c>
      <c r="S1649" s="77">
        <v>7414000005</v>
      </c>
      <c r="AB1649"/>
      <c r="AC1649"/>
    </row>
    <row r="1650" spans="16:29" x14ac:dyDescent="0.25">
      <c r="P1650" s="78">
        <v>4500</v>
      </c>
      <c r="Q1650" s="79">
        <v>702000</v>
      </c>
      <c r="R1650" s="77" t="s">
        <v>394</v>
      </c>
      <c r="S1650" s="77">
        <v>7414000005</v>
      </c>
      <c r="AB1650"/>
      <c r="AC1650"/>
    </row>
    <row r="1651" spans="16:29" x14ac:dyDescent="0.25">
      <c r="P1651" s="78">
        <v>3621</v>
      </c>
      <c r="Q1651" s="79">
        <v>2471513.5499999998</v>
      </c>
      <c r="R1651" s="77" t="s">
        <v>394</v>
      </c>
      <c r="S1651" s="77">
        <v>7414000005</v>
      </c>
      <c r="AB1651"/>
      <c r="AC1651"/>
    </row>
    <row r="1652" spans="16:29" x14ac:dyDescent="0.25">
      <c r="P1652" s="78">
        <v>1728933</v>
      </c>
      <c r="Q1652" s="79">
        <v>5872791.2042760001</v>
      </c>
      <c r="R1652" s="77" t="s">
        <v>394</v>
      </c>
      <c r="S1652" s="77">
        <v>7414000005</v>
      </c>
      <c r="AB1652"/>
      <c r="AC1652"/>
    </row>
    <row r="1653" spans="16:29" x14ac:dyDescent="0.25">
      <c r="P1653" s="78">
        <v>19000</v>
      </c>
      <c r="Q1653" s="79">
        <v>596790</v>
      </c>
      <c r="R1653" s="77" t="s">
        <v>394</v>
      </c>
      <c r="S1653" s="77">
        <v>7414000005</v>
      </c>
      <c r="AB1653"/>
      <c r="AC1653"/>
    </row>
    <row r="1654" spans="16:29" x14ac:dyDescent="0.25">
      <c r="P1654" s="78">
        <v>3169</v>
      </c>
      <c r="Q1654" s="79">
        <v>2458167.2730029998</v>
      </c>
      <c r="R1654" s="77" t="s">
        <v>394</v>
      </c>
      <c r="S1654" s="77">
        <v>7414000005</v>
      </c>
      <c r="AB1654"/>
      <c r="AC1654"/>
    </row>
    <row r="1655" spans="16:29" x14ac:dyDescent="0.25">
      <c r="P1655" s="78">
        <v>6500</v>
      </c>
      <c r="Q1655" s="79">
        <v>4856659.8080000002</v>
      </c>
      <c r="R1655" s="77" t="s">
        <v>394</v>
      </c>
      <c r="S1655" s="77">
        <v>7414000005</v>
      </c>
      <c r="AB1655"/>
      <c r="AC1655"/>
    </row>
    <row r="1656" spans="16:29" x14ac:dyDescent="0.25">
      <c r="P1656" s="78">
        <v>2128</v>
      </c>
      <c r="Q1656" s="79">
        <v>1629886.023024</v>
      </c>
      <c r="R1656" s="77" t="s">
        <v>394</v>
      </c>
      <c r="S1656" s="77">
        <v>7414000005</v>
      </c>
      <c r="AB1656"/>
      <c r="AC1656"/>
    </row>
    <row r="1657" spans="16:29" x14ac:dyDescent="0.25">
      <c r="P1657" s="78">
        <v>3718</v>
      </c>
      <c r="Q1657" s="79">
        <v>2546417.8894440001</v>
      </c>
      <c r="R1657" s="77" t="s">
        <v>394</v>
      </c>
      <c r="S1657" s="77">
        <v>7414000005</v>
      </c>
      <c r="AB1657"/>
      <c r="AC1657"/>
    </row>
    <row r="1658" spans="16:29" x14ac:dyDescent="0.25">
      <c r="P1658" s="78">
        <v>2212</v>
      </c>
      <c r="Q1658" s="79">
        <v>1709714.44658</v>
      </c>
      <c r="R1658" s="77" t="s">
        <v>394</v>
      </c>
      <c r="S1658" s="77">
        <v>7414000005</v>
      </c>
      <c r="AB1658"/>
      <c r="AC1658"/>
    </row>
    <row r="1659" spans="16:29" x14ac:dyDescent="0.25">
      <c r="P1659" s="78">
        <v>2373</v>
      </c>
      <c r="Q1659" s="79">
        <v>1712344.08072</v>
      </c>
      <c r="R1659" s="77" t="s">
        <v>394</v>
      </c>
      <c r="S1659" s="77">
        <v>7414000005</v>
      </c>
      <c r="AB1659"/>
      <c r="AC1659"/>
    </row>
    <row r="1660" spans="16:29" x14ac:dyDescent="0.25">
      <c r="P1660" s="78">
        <v>1222</v>
      </c>
      <c r="Q1660" s="79">
        <v>777146.93141800002</v>
      </c>
      <c r="R1660" s="77" t="s">
        <v>394</v>
      </c>
      <c r="S1660" s="77">
        <v>7414000005</v>
      </c>
      <c r="AB1660"/>
      <c r="AC1660"/>
    </row>
    <row r="1661" spans="16:29" x14ac:dyDescent="0.25">
      <c r="P1661" s="78">
        <v>2810</v>
      </c>
      <c r="Q1661" s="79">
        <v>1993328.97221</v>
      </c>
      <c r="R1661" s="77" t="s">
        <v>394</v>
      </c>
      <c r="S1661" s="77">
        <v>7414000005</v>
      </c>
      <c r="AB1661"/>
      <c r="AC1661"/>
    </row>
    <row r="1662" spans="16:29" x14ac:dyDescent="0.25">
      <c r="P1662" s="78">
        <v>5009</v>
      </c>
      <c r="Q1662" s="79">
        <v>3478305.6356830001</v>
      </c>
      <c r="R1662" s="77" t="s">
        <v>394</v>
      </c>
      <c r="S1662" s="77">
        <v>7414000005</v>
      </c>
      <c r="AB1662"/>
      <c r="AC1662"/>
    </row>
    <row r="1663" spans="16:29" x14ac:dyDescent="0.25">
      <c r="P1663" s="78">
        <v>15000</v>
      </c>
      <c r="Q1663" s="79">
        <v>880050</v>
      </c>
      <c r="R1663" s="77" t="s">
        <v>394</v>
      </c>
      <c r="S1663" s="77">
        <v>7414000005</v>
      </c>
      <c r="AB1663"/>
      <c r="AC1663"/>
    </row>
    <row r="1664" spans="16:29" x14ac:dyDescent="0.25">
      <c r="P1664" s="78">
        <v>2035</v>
      </c>
      <c r="Q1664" s="79">
        <v>2218150</v>
      </c>
      <c r="R1664" s="77" t="s">
        <v>394</v>
      </c>
      <c r="S1664" s="77">
        <v>7414000005</v>
      </c>
      <c r="AB1664"/>
      <c r="AC1664"/>
    </row>
    <row r="1665" spans="16:29" x14ac:dyDescent="0.25">
      <c r="P1665" s="78">
        <v>33700</v>
      </c>
      <c r="Q1665" s="79">
        <v>2199262</v>
      </c>
      <c r="R1665" s="77" t="s">
        <v>394</v>
      </c>
      <c r="S1665" s="77">
        <v>7414000005</v>
      </c>
      <c r="AB1665"/>
      <c r="AC1665"/>
    </row>
    <row r="1666" spans="16:29" x14ac:dyDescent="0.25">
      <c r="P1666" s="78">
        <v>1352</v>
      </c>
      <c r="Q1666" s="79">
        <v>2415348</v>
      </c>
      <c r="R1666" s="77" t="s">
        <v>394</v>
      </c>
      <c r="S1666" s="77">
        <v>7414000005</v>
      </c>
      <c r="AB1666"/>
      <c r="AC1666"/>
    </row>
    <row r="1667" spans="16:29" x14ac:dyDescent="0.25">
      <c r="P1667" s="78">
        <v>422</v>
      </c>
      <c r="Q1667" s="79">
        <v>41210.165661999999</v>
      </c>
      <c r="R1667" s="77" t="s">
        <v>394</v>
      </c>
      <c r="S1667" s="77">
        <v>7414000005</v>
      </c>
      <c r="AB1667"/>
      <c r="AC1667"/>
    </row>
    <row r="1668" spans="16:29" x14ac:dyDescent="0.25">
      <c r="P1668" s="78">
        <v>89744</v>
      </c>
      <c r="Q1668" s="79">
        <v>851992.56147199997</v>
      </c>
      <c r="R1668" s="77" t="s">
        <v>394</v>
      </c>
      <c r="S1668" s="77">
        <v>7414000005</v>
      </c>
      <c r="AB1668"/>
      <c r="AC1668"/>
    </row>
    <row r="1669" spans="16:29" x14ac:dyDescent="0.25">
      <c r="P1669" s="78">
        <v>122230</v>
      </c>
      <c r="Q1669" s="79">
        <v>1141403.6634899999</v>
      </c>
      <c r="R1669" s="77" t="s">
        <v>394</v>
      </c>
      <c r="S1669" s="77">
        <v>7414000005</v>
      </c>
      <c r="AB1669"/>
      <c r="AC1669"/>
    </row>
    <row r="1670" spans="16:29" x14ac:dyDescent="0.25">
      <c r="P1670" s="78">
        <v>970</v>
      </c>
      <c r="Q1670" s="79">
        <v>655118.6</v>
      </c>
      <c r="R1670" s="77" t="s">
        <v>394</v>
      </c>
      <c r="S1670" s="77">
        <v>7414000005</v>
      </c>
      <c r="AB1670"/>
      <c r="AC1670"/>
    </row>
    <row r="1671" spans="16:29" x14ac:dyDescent="0.25">
      <c r="P1671" s="78">
        <v>215</v>
      </c>
      <c r="Q1671" s="79">
        <v>150639.75</v>
      </c>
      <c r="R1671" s="77" t="s">
        <v>394</v>
      </c>
      <c r="S1671" s="77">
        <v>7414000005</v>
      </c>
      <c r="AB1671"/>
      <c r="AC1671"/>
    </row>
    <row r="1672" spans="16:29" x14ac:dyDescent="0.25">
      <c r="P1672" s="78">
        <v>440</v>
      </c>
      <c r="Q1672" s="79">
        <v>506440</v>
      </c>
      <c r="R1672" s="77" t="s">
        <v>394</v>
      </c>
      <c r="S1672" s="77">
        <v>7414000005</v>
      </c>
      <c r="AB1672"/>
      <c r="AC1672"/>
    </row>
    <row r="1673" spans="16:29" x14ac:dyDescent="0.25">
      <c r="P1673" s="78">
        <v>6233</v>
      </c>
      <c r="Q1673" s="79">
        <v>615386.26531699998</v>
      </c>
      <c r="R1673" s="77" t="s">
        <v>394</v>
      </c>
      <c r="S1673" s="77">
        <v>7414000005</v>
      </c>
      <c r="AB1673"/>
      <c r="AC1673"/>
    </row>
    <row r="1674" spans="16:29" x14ac:dyDescent="0.25">
      <c r="P1674" s="78">
        <v>7000</v>
      </c>
      <c r="Q1674" s="79">
        <v>694732.48600000003</v>
      </c>
      <c r="R1674" s="77" t="s">
        <v>394</v>
      </c>
      <c r="S1674" s="77">
        <v>7414000005</v>
      </c>
      <c r="AB1674"/>
      <c r="AC1674"/>
    </row>
    <row r="1675" spans="16:29" x14ac:dyDescent="0.25">
      <c r="P1675" s="78">
        <v>2110</v>
      </c>
      <c r="Q1675" s="79">
        <v>200393.34017000001</v>
      </c>
      <c r="R1675" s="77" t="s">
        <v>394</v>
      </c>
      <c r="S1675" s="77">
        <v>7414000005</v>
      </c>
      <c r="AB1675"/>
      <c r="AC1675"/>
    </row>
    <row r="1676" spans="16:29" x14ac:dyDescent="0.25">
      <c r="P1676" s="78">
        <v>7269</v>
      </c>
      <c r="Q1676" s="79">
        <v>668107.02684900002</v>
      </c>
      <c r="R1676" s="77" t="s">
        <v>394</v>
      </c>
      <c r="S1676" s="77">
        <v>7414000005</v>
      </c>
      <c r="AB1676"/>
      <c r="AC1676"/>
    </row>
    <row r="1677" spans="16:29" x14ac:dyDescent="0.25">
      <c r="P1677" s="78">
        <v>3730</v>
      </c>
      <c r="Q1677" s="79">
        <v>346720.29619000002</v>
      </c>
      <c r="R1677" s="77" t="s">
        <v>394</v>
      </c>
      <c r="S1677" s="77">
        <v>7414000005</v>
      </c>
      <c r="AB1677"/>
      <c r="AC1677"/>
    </row>
    <row r="1678" spans="16:29" x14ac:dyDescent="0.25">
      <c r="P1678" s="78">
        <v>3697</v>
      </c>
      <c r="Q1678" s="79">
        <v>327916.960731</v>
      </c>
      <c r="R1678" s="77" t="s">
        <v>394</v>
      </c>
      <c r="S1678" s="77">
        <v>7414000005</v>
      </c>
      <c r="AB1678"/>
      <c r="AC1678"/>
    </row>
    <row r="1679" spans="16:29" x14ac:dyDescent="0.25">
      <c r="P1679" s="78">
        <v>7820</v>
      </c>
      <c r="Q1679" s="79">
        <v>729716.98144</v>
      </c>
      <c r="R1679" s="77" t="s">
        <v>394</v>
      </c>
      <c r="S1679" s="77">
        <v>7414000005</v>
      </c>
      <c r="AB1679"/>
      <c r="AC1679"/>
    </row>
    <row r="1680" spans="16:29" x14ac:dyDescent="0.25">
      <c r="P1680" s="78">
        <v>6520</v>
      </c>
      <c r="Q1680" s="79">
        <v>618514.37535999995</v>
      </c>
      <c r="R1680" s="77" t="s">
        <v>394</v>
      </c>
      <c r="S1680" s="77">
        <v>7414000005</v>
      </c>
      <c r="AB1680"/>
      <c r="AC1680"/>
    </row>
    <row r="1681" spans="16:29" x14ac:dyDescent="0.25">
      <c r="P1681" s="78">
        <v>24003</v>
      </c>
      <c r="Q1681" s="79">
        <v>2277168.3784710001</v>
      </c>
      <c r="R1681" s="77" t="s">
        <v>394</v>
      </c>
      <c r="S1681" s="77">
        <v>7414000005</v>
      </c>
      <c r="AB1681"/>
      <c r="AC1681"/>
    </row>
    <row r="1682" spans="16:29" x14ac:dyDescent="0.25">
      <c r="P1682" s="78">
        <v>7354</v>
      </c>
      <c r="Q1682" s="79">
        <v>658105.52561000001</v>
      </c>
      <c r="R1682" s="77" t="s">
        <v>394</v>
      </c>
      <c r="S1682" s="77">
        <v>7414000005</v>
      </c>
      <c r="AB1682"/>
      <c r="AC1682"/>
    </row>
    <row r="1683" spans="16:29" x14ac:dyDescent="0.25">
      <c r="P1683" s="78">
        <v>18137</v>
      </c>
      <c r="Q1683" s="79">
        <v>1563357.3105359999</v>
      </c>
      <c r="R1683" s="77" t="s">
        <v>394</v>
      </c>
      <c r="S1683" s="77">
        <v>7414000005</v>
      </c>
      <c r="AB1683"/>
      <c r="AC1683"/>
    </row>
    <row r="1684" spans="16:29" x14ac:dyDescent="0.25">
      <c r="P1684" s="78">
        <v>14719</v>
      </c>
      <c r="Q1684" s="79">
        <v>1272742.4215259999</v>
      </c>
      <c r="R1684" s="77" t="s">
        <v>394</v>
      </c>
      <c r="S1684" s="77">
        <v>7414000005</v>
      </c>
      <c r="AB1684"/>
      <c r="AC1684"/>
    </row>
    <row r="1685" spans="16:29" x14ac:dyDescent="0.25">
      <c r="P1685" s="78">
        <v>543</v>
      </c>
      <c r="Q1685" s="79">
        <v>48676.242396000001</v>
      </c>
      <c r="R1685" s="77" t="s">
        <v>394</v>
      </c>
      <c r="S1685" s="77">
        <v>7414000005</v>
      </c>
      <c r="AB1685"/>
      <c r="AC1685"/>
    </row>
    <row r="1686" spans="16:29" x14ac:dyDescent="0.25">
      <c r="P1686" s="78">
        <v>11957</v>
      </c>
      <c r="Q1686" s="79">
        <v>977351.54902000003</v>
      </c>
      <c r="R1686" s="77" t="s">
        <v>394</v>
      </c>
      <c r="S1686" s="77">
        <v>7414000005</v>
      </c>
      <c r="AB1686"/>
      <c r="AC1686"/>
    </row>
    <row r="1687" spans="16:29" x14ac:dyDescent="0.25">
      <c r="P1687" s="78">
        <v>2220</v>
      </c>
      <c r="Q1687" s="79">
        <v>184705.68942000001</v>
      </c>
      <c r="R1687" s="77" t="s">
        <v>394</v>
      </c>
      <c r="S1687" s="77">
        <v>7414000005</v>
      </c>
      <c r="AB1687"/>
      <c r="AC1687"/>
    </row>
    <row r="1688" spans="16:29" x14ac:dyDescent="0.25">
      <c r="P1688" s="78">
        <v>18260</v>
      </c>
      <c r="Q1688" s="79">
        <v>1500239.90182</v>
      </c>
      <c r="R1688" s="77" t="s">
        <v>394</v>
      </c>
      <c r="S1688" s="77">
        <v>7414000005</v>
      </c>
      <c r="AB1688"/>
      <c r="AC1688"/>
    </row>
    <row r="1689" spans="16:29" x14ac:dyDescent="0.25">
      <c r="P1689" s="78">
        <v>389</v>
      </c>
      <c r="Q1689" s="79">
        <v>3319142.5</v>
      </c>
      <c r="R1689" s="77" t="s">
        <v>394</v>
      </c>
      <c r="S1689" s="77">
        <v>7414000005</v>
      </c>
      <c r="AB1689"/>
      <c r="AC1689"/>
    </row>
    <row r="1690" spans="16:29" x14ac:dyDescent="0.25">
      <c r="P1690" s="78">
        <v>16462</v>
      </c>
      <c r="Q1690" s="79">
        <v>1613404.963308</v>
      </c>
      <c r="R1690" s="77" t="s">
        <v>394</v>
      </c>
      <c r="S1690" s="77">
        <v>7414000005</v>
      </c>
      <c r="AB1690"/>
      <c r="AC1690"/>
    </row>
    <row r="1691" spans="16:29" x14ac:dyDescent="0.25">
      <c r="P1691" s="78">
        <v>1367</v>
      </c>
      <c r="Q1691" s="79">
        <v>933045.85</v>
      </c>
      <c r="R1691" s="77" t="s">
        <v>394</v>
      </c>
      <c r="S1691" s="77">
        <v>7414000005</v>
      </c>
      <c r="AB1691"/>
      <c r="AC1691"/>
    </row>
    <row r="1692" spans="16:29" x14ac:dyDescent="0.25">
      <c r="P1692" s="78">
        <v>2891290</v>
      </c>
      <c r="Q1692" s="79">
        <v>9075874.9616</v>
      </c>
      <c r="R1692" s="77" t="s">
        <v>394</v>
      </c>
      <c r="S1692" s="77">
        <v>7414000005</v>
      </c>
      <c r="AB1692"/>
      <c r="AC1692"/>
    </row>
    <row r="1693" spans="16:29" x14ac:dyDescent="0.25">
      <c r="P1693" s="78">
        <v>667038</v>
      </c>
      <c r="Q1693" s="79">
        <v>2265776.0013359999</v>
      </c>
      <c r="R1693" s="77" t="s">
        <v>394</v>
      </c>
      <c r="S1693" s="77">
        <v>7414000005</v>
      </c>
      <c r="AB1693"/>
      <c r="AC1693"/>
    </row>
    <row r="1694" spans="16:29" x14ac:dyDescent="0.25">
      <c r="P1694" s="78">
        <v>1166</v>
      </c>
      <c r="Q1694" s="79">
        <v>904456.62364200002</v>
      </c>
      <c r="R1694" s="77" t="s">
        <v>394</v>
      </c>
      <c r="S1694" s="77">
        <v>7414000005</v>
      </c>
      <c r="AB1694"/>
      <c r="AC1694"/>
    </row>
    <row r="1695" spans="16:29" x14ac:dyDescent="0.25">
      <c r="P1695" s="78">
        <v>2547</v>
      </c>
      <c r="Q1695" s="79">
        <v>1903063.466304</v>
      </c>
      <c r="R1695" s="77" t="s">
        <v>394</v>
      </c>
      <c r="S1695" s="77">
        <v>7414000005</v>
      </c>
      <c r="AB1695"/>
      <c r="AC1695"/>
    </row>
    <row r="1696" spans="16:29" x14ac:dyDescent="0.25">
      <c r="P1696" s="78">
        <v>863</v>
      </c>
      <c r="Q1696" s="79">
        <v>660992.31102899997</v>
      </c>
      <c r="R1696" s="77" t="s">
        <v>394</v>
      </c>
      <c r="S1696" s="77">
        <v>7414000005</v>
      </c>
      <c r="AB1696"/>
      <c r="AC1696"/>
    </row>
    <row r="1697" spans="16:29" x14ac:dyDescent="0.25">
      <c r="P1697" s="78">
        <v>1460</v>
      </c>
      <c r="Q1697" s="79">
        <v>999938.17067999998</v>
      </c>
      <c r="R1697" s="77" t="s">
        <v>394</v>
      </c>
      <c r="S1697" s="77">
        <v>7414000005</v>
      </c>
      <c r="AB1697"/>
      <c r="AC1697"/>
    </row>
    <row r="1698" spans="16:29" x14ac:dyDescent="0.25">
      <c r="P1698" s="78">
        <v>859</v>
      </c>
      <c r="Q1698" s="79">
        <v>663944.26293500001</v>
      </c>
      <c r="R1698" s="77" t="s">
        <v>394</v>
      </c>
      <c r="S1698" s="77">
        <v>7414000005</v>
      </c>
      <c r="AB1698"/>
      <c r="AC1698"/>
    </row>
    <row r="1699" spans="16:29" x14ac:dyDescent="0.25">
      <c r="P1699" s="78">
        <v>1076</v>
      </c>
      <c r="Q1699" s="79">
        <v>776435.83264000004</v>
      </c>
      <c r="R1699" s="77" t="s">
        <v>394</v>
      </c>
      <c r="S1699" s="77">
        <v>7414000005</v>
      </c>
      <c r="AB1699"/>
      <c r="AC1699"/>
    </row>
    <row r="1700" spans="16:29" x14ac:dyDescent="0.25">
      <c r="P1700" s="78">
        <v>485</v>
      </c>
      <c r="Q1700" s="79">
        <v>308442.112715</v>
      </c>
      <c r="R1700" s="77" t="s">
        <v>394</v>
      </c>
      <c r="S1700" s="77">
        <v>7414000005</v>
      </c>
      <c r="AB1700"/>
      <c r="AC1700"/>
    </row>
    <row r="1701" spans="16:29" x14ac:dyDescent="0.25">
      <c r="P1701" s="78">
        <v>1096</v>
      </c>
      <c r="Q1701" s="79">
        <v>777469.23613600002</v>
      </c>
      <c r="R1701" s="77" t="s">
        <v>394</v>
      </c>
      <c r="S1701" s="77">
        <v>7414000005</v>
      </c>
      <c r="AB1701"/>
      <c r="AC1701"/>
    </row>
    <row r="1702" spans="16:29" x14ac:dyDescent="0.25">
      <c r="P1702" s="78">
        <v>1970</v>
      </c>
      <c r="Q1702" s="79">
        <v>1367990.0383899999</v>
      </c>
      <c r="R1702" s="77" t="s">
        <v>394</v>
      </c>
      <c r="S1702" s="77">
        <v>7414000005</v>
      </c>
      <c r="AB1702"/>
      <c r="AC1702"/>
    </row>
    <row r="1703" spans="16:29" x14ac:dyDescent="0.25">
      <c r="P1703" s="78">
        <v>820</v>
      </c>
      <c r="Q1703" s="79">
        <v>893800</v>
      </c>
      <c r="R1703" s="77" t="s">
        <v>394</v>
      </c>
      <c r="S1703" s="77">
        <v>7414000005</v>
      </c>
      <c r="AB1703"/>
      <c r="AC1703"/>
    </row>
    <row r="1704" spans="16:29" x14ac:dyDescent="0.25">
      <c r="P1704" s="78">
        <v>8</v>
      </c>
      <c r="Q1704" s="79">
        <v>14292</v>
      </c>
      <c r="R1704" s="77" t="s">
        <v>394</v>
      </c>
      <c r="S1704" s="77">
        <v>7414000005</v>
      </c>
      <c r="AB1704"/>
      <c r="AC1704"/>
    </row>
    <row r="1705" spans="16:29" x14ac:dyDescent="0.25">
      <c r="P1705" s="78">
        <v>1</v>
      </c>
      <c r="Q1705" s="79">
        <v>97.654420999999999</v>
      </c>
      <c r="R1705" s="77" t="s">
        <v>394</v>
      </c>
      <c r="S1705" s="77">
        <v>7414000005</v>
      </c>
      <c r="AB1705"/>
      <c r="AC1705"/>
    </row>
    <row r="1706" spans="16:29" x14ac:dyDescent="0.25">
      <c r="P1706" s="78">
        <v>150</v>
      </c>
      <c r="Q1706" s="79">
        <v>1424.0382</v>
      </c>
      <c r="R1706" s="77" t="s">
        <v>394</v>
      </c>
      <c r="S1706" s="77">
        <v>7414000005</v>
      </c>
      <c r="AB1706"/>
      <c r="AC1706"/>
    </row>
    <row r="1707" spans="16:29" x14ac:dyDescent="0.25">
      <c r="P1707" s="78">
        <v>240</v>
      </c>
      <c r="Q1707" s="79">
        <v>2241.1591199999998</v>
      </c>
      <c r="R1707" s="77" t="s">
        <v>394</v>
      </c>
      <c r="S1707" s="77">
        <v>7414000005</v>
      </c>
      <c r="AB1707"/>
      <c r="AC1707"/>
    </row>
    <row r="1708" spans="16:29" x14ac:dyDescent="0.25">
      <c r="P1708" s="78">
        <v>9</v>
      </c>
      <c r="Q1708" s="79">
        <v>888.57314099999996</v>
      </c>
      <c r="R1708" s="77" t="s">
        <v>394</v>
      </c>
      <c r="S1708" s="77">
        <v>7414000005</v>
      </c>
      <c r="AB1708"/>
      <c r="AC1708"/>
    </row>
    <row r="1709" spans="16:29" x14ac:dyDescent="0.25">
      <c r="P1709" s="78">
        <v>8</v>
      </c>
      <c r="Q1709" s="79">
        <v>793.97998399999994</v>
      </c>
      <c r="R1709" s="77" t="s">
        <v>394</v>
      </c>
      <c r="S1709" s="77">
        <v>7414000005</v>
      </c>
      <c r="AB1709"/>
      <c r="AC1709"/>
    </row>
    <row r="1710" spans="16:29" x14ac:dyDescent="0.25">
      <c r="P1710" s="78">
        <v>1</v>
      </c>
      <c r="Q1710" s="79">
        <v>91.911821000000003</v>
      </c>
      <c r="R1710" s="77" t="s">
        <v>394</v>
      </c>
      <c r="S1710" s="77">
        <v>7414000005</v>
      </c>
      <c r="AB1710"/>
      <c r="AC1710"/>
    </row>
    <row r="1711" spans="16:29" x14ac:dyDescent="0.25">
      <c r="P1711" s="78">
        <v>10</v>
      </c>
      <c r="Q1711" s="79">
        <v>929.54503</v>
      </c>
      <c r="R1711" s="77" t="s">
        <v>394</v>
      </c>
      <c r="S1711" s="77">
        <v>7414000005</v>
      </c>
      <c r="AB1711"/>
      <c r="AC1711"/>
    </row>
    <row r="1712" spans="16:29" x14ac:dyDescent="0.25">
      <c r="P1712" s="78">
        <v>4</v>
      </c>
      <c r="Q1712" s="79">
        <v>354.79249199999998</v>
      </c>
      <c r="R1712" s="77" t="s">
        <v>394</v>
      </c>
      <c r="S1712" s="77">
        <v>7414000005</v>
      </c>
      <c r="AB1712"/>
      <c r="AC1712"/>
    </row>
    <row r="1713" spans="16:29" x14ac:dyDescent="0.25">
      <c r="P1713" s="78">
        <v>20</v>
      </c>
      <c r="Q1713" s="79">
        <v>1866.2838400000001</v>
      </c>
      <c r="R1713" s="77" t="s">
        <v>394</v>
      </c>
      <c r="S1713" s="77">
        <v>7414000005</v>
      </c>
      <c r="AB1713"/>
      <c r="AC1713"/>
    </row>
    <row r="1714" spans="16:29" x14ac:dyDescent="0.25">
      <c r="P1714" s="78">
        <v>10</v>
      </c>
      <c r="Q1714" s="79">
        <v>948.64167999999995</v>
      </c>
      <c r="R1714" s="77" t="s">
        <v>394</v>
      </c>
      <c r="S1714" s="77">
        <v>7414000005</v>
      </c>
      <c r="AB1714"/>
      <c r="AC1714"/>
    </row>
    <row r="1715" spans="16:29" x14ac:dyDescent="0.25">
      <c r="P1715" s="78">
        <v>32</v>
      </c>
      <c r="Q1715" s="79">
        <v>3035.8450240000002</v>
      </c>
      <c r="R1715" s="77" t="s">
        <v>394</v>
      </c>
      <c r="S1715" s="77">
        <v>7414000005</v>
      </c>
      <c r="AB1715"/>
      <c r="AC1715"/>
    </row>
    <row r="1716" spans="16:29" x14ac:dyDescent="0.25">
      <c r="P1716" s="78">
        <v>11</v>
      </c>
      <c r="Q1716" s="79">
        <v>984.38411499999995</v>
      </c>
      <c r="R1716" s="77" t="s">
        <v>394</v>
      </c>
      <c r="S1716" s="77">
        <v>7414000005</v>
      </c>
      <c r="AB1716"/>
      <c r="AC1716"/>
    </row>
    <row r="1717" spans="16:29" x14ac:dyDescent="0.25">
      <c r="P1717" s="78">
        <v>45</v>
      </c>
      <c r="Q1717" s="79">
        <v>3878.8707599999998</v>
      </c>
      <c r="R1717" s="77" t="s">
        <v>394</v>
      </c>
      <c r="S1717" s="77">
        <v>7414000005</v>
      </c>
      <c r="AB1717"/>
      <c r="AC1717"/>
    </row>
    <row r="1718" spans="16:29" x14ac:dyDescent="0.25">
      <c r="P1718" s="78">
        <v>14</v>
      </c>
      <c r="Q1718" s="79">
        <v>1210.570956</v>
      </c>
      <c r="R1718" s="77" t="s">
        <v>394</v>
      </c>
      <c r="S1718" s="77">
        <v>7414000005</v>
      </c>
      <c r="AB1718"/>
      <c r="AC1718"/>
    </row>
    <row r="1719" spans="16:29" x14ac:dyDescent="0.25">
      <c r="P1719" s="78">
        <v>3</v>
      </c>
      <c r="Q1719" s="79">
        <v>304.35289799999998</v>
      </c>
      <c r="R1719" s="77" t="s">
        <v>394</v>
      </c>
      <c r="S1719" s="77">
        <v>7414000005</v>
      </c>
      <c r="AB1719"/>
      <c r="AC1719"/>
    </row>
    <row r="1720" spans="16:29" x14ac:dyDescent="0.25">
      <c r="P1720" s="78">
        <v>32</v>
      </c>
      <c r="Q1720" s="79">
        <v>2615.6435200000001</v>
      </c>
      <c r="R1720" s="77" t="s">
        <v>394</v>
      </c>
      <c r="S1720" s="77">
        <v>7414000005</v>
      </c>
      <c r="AB1720"/>
      <c r="AC1720"/>
    </row>
    <row r="1721" spans="16:29" x14ac:dyDescent="0.25">
      <c r="P1721" s="78">
        <v>2</v>
      </c>
      <c r="Q1721" s="79">
        <v>166.401522</v>
      </c>
      <c r="R1721" s="77" t="s">
        <v>394</v>
      </c>
      <c r="S1721" s="77">
        <v>7414000005</v>
      </c>
      <c r="AB1721"/>
      <c r="AC1721"/>
    </row>
    <row r="1722" spans="16:29" x14ac:dyDescent="0.25">
      <c r="P1722" s="78">
        <v>2</v>
      </c>
      <c r="Q1722" s="79">
        <v>164.31981400000001</v>
      </c>
      <c r="R1722" s="77" t="s">
        <v>394</v>
      </c>
      <c r="S1722" s="77">
        <v>7414000005</v>
      </c>
      <c r="AB1722"/>
      <c r="AC1722"/>
    </row>
    <row r="1723" spans="16:29" x14ac:dyDescent="0.25">
      <c r="P1723" s="78">
        <v>4870</v>
      </c>
      <c r="Q1723" s="79">
        <v>15287.1248</v>
      </c>
      <c r="R1723" s="77" t="s">
        <v>394</v>
      </c>
      <c r="S1723" s="77">
        <v>7414000005</v>
      </c>
      <c r="AB1723"/>
      <c r="AC1723"/>
    </row>
    <row r="1724" spans="16:29" x14ac:dyDescent="0.25">
      <c r="P1724" s="78">
        <v>4881</v>
      </c>
      <c r="Q1724" s="79">
        <v>16579.644132000001</v>
      </c>
      <c r="R1724" s="77" t="s">
        <v>394</v>
      </c>
      <c r="S1724" s="77">
        <v>7414000005</v>
      </c>
      <c r="AB1724"/>
      <c r="AC1724"/>
    </row>
    <row r="1725" spans="16:29" x14ac:dyDescent="0.25">
      <c r="P1725" s="78">
        <v>2</v>
      </c>
      <c r="Q1725" s="79">
        <v>1551.383574</v>
      </c>
      <c r="R1725" s="77" t="s">
        <v>394</v>
      </c>
      <c r="S1725" s="77">
        <v>7414000005</v>
      </c>
      <c r="AB1725"/>
      <c r="AC1725"/>
    </row>
    <row r="1726" spans="16:29" x14ac:dyDescent="0.25">
      <c r="P1726" s="78">
        <v>1</v>
      </c>
      <c r="Q1726" s="79">
        <v>747.17843200000004</v>
      </c>
      <c r="R1726" s="77" t="s">
        <v>394</v>
      </c>
      <c r="S1726" s="77">
        <v>7414000005</v>
      </c>
      <c r="AB1726"/>
      <c r="AC1726"/>
    </row>
    <row r="1727" spans="16:29" x14ac:dyDescent="0.25">
      <c r="P1727" s="78">
        <v>1</v>
      </c>
      <c r="Q1727" s="79">
        <v>684.88915799999995</v>
      </c>
      <c r="R1727" s="77" t="s">
        <v>394</v>
      </c>
      <c r="S1727" s="77">
        <v>7414000005</v>
      </c>
      <c r="AB1727"/>
      <c r="AC1727"/>
    </row>
    <row r="1728" spans="16:29" x14ac:dyDescent="0.25">
      <c r="P1728" s="78">
        <v>1</v>
      </c>
      <c r="Q1728" s="79">
        <v>772.926965</v>
      </c>
      <c r="R1728" s="77" t="s">
        <v>394</v>
      </c>
      <c r="S1728" s="77">
        <v>7414000005</v>
      </c>
      <c r="AB1728"/>
      <c r="AC1728"/>
    </row>
    <row r="1729" spans="16:29" x14ac:dyDescent="0.25">
      <c r="P1729" s="78">
        <v>2</v>
      </c>
      <c r="Q1729" s="79">
        <v>1443.1892800000001</v>
      </c>
      <c r="R1729" s="77" t="s">
        <v>394</v>
      </c>
      <c r="S1729" s="77">
        <v>7414000005</v>
      </c>
      <c r="AB1729"/>
      <c r="AC1729"/>
    </row>
    <row r="1730" spans="16:29" x14ac:dyDescent="0.25">
      <c r="P1730" s="78">
        <v>1</v>
      </c>
      <c r="Q1730" s="79">
        <v>709.36974099999998</v>
      </c>
      <c r="R1730" s="77" t="s">
        <v>394</v>
      </c>
      <c r="S1730" s="77">
        <v>7414000005</v>
      </c>
      <c r="AB1730"/>
      <c r="AC1730"/>
    </row>
    <row r="1731" spans="16:29" x14ac:dyDescent="0.25">
      <c r="P1731" s="78">
        <v>3</v>
      </c>
      <c r="Q1731" s="79">
        <v>2083.233561</v>
      </c>
      <c r="R1731" s="77" t="s">
        <v>394</v>
      </c>
      <c r="S1731" s="77">
        <v>7414000005</v>
      </c>
      <c r="AB1731"/>
      <c r="AC1731"/>
    </row>
    <row r="1732" spans="16:29" x14ac:dyDescent="0.25">
      <c r="P1732" s="78">
        <v>0</v>
      </c>
      <c r="Q1732" s="79">
        <v>0</v>
      </c>
      <c r="R1732" s="77" t="s">
        <v>394</v>
      </c>
      <c r="S1732" s="77">
        <v>7414000005</v>
      </c>
      <c r="AB1732"/>
      <c r="AC1732"/>
    </row>
    <row r="1733" spans="16:29" x14ac:dyDescent="0.25">
      <c r="P1733" s="78">
        <v>0</v>
      </c>
      <c r="Q1733" s="79">
        <v>0</v>
      </c>
      <c r="R1733" s="77" t="s">
        <v>394</v>
      </c>
      <c r="S1733" s="77">
        <v>7414000005</v>
      </c>
      <c r="AB1733"/>
      <c r="AC1733"/>
    </row>
    <row r="1734" spans="16:29" x14ac:dyDescent="0.25">
      <c r="P1734" s="78">
        <v>0</v>
      </c>
      <c r="Q1734" s="79">
        <v>0</v>
      </c>
      <c r="R1734" s="77" t="s">
        <v>394</v>
      </c>
      <c r="S1734" s="77">
        <v>7414000005</v>
      </c>
      <c r="AB1734"/>
      <c r="AC1734"/>
    </row>
    <row r="1735" spans="16:29" x14ac:dyDescent="0.25">
      <c r="P1735" s="78">
        <v>160</v>
      </c>
      <c r="Q1735" s="79">
        <v>26982.400000000001</v>
      </c>
      <c r="R1735" s="77" t="s">
        <v>394</v>
      </c>
      <c r="S1735" s="77">
        <v>7414000005</v>
      </c>
      <c r="AB1735"/>
      <c r="AC1735"/>
    </row>
    <row r="1736" spans="16:29" x14ac:dyDescent="0.25">
      <c r="P1736" s="78">
        <v>3870</v>
      </c>
      <c r="Q1736" s="79">
        <v>48297.599999999999</v>
      </c>
      <c r="R1736" s="77" t="s">
        <v>394</v>
      </c>
      <c r="S1736" s="77">
        <v>7414000005</v>
      </c>
      <c r="AB1736"/>
      <c r="AC1736"/>
    </row>
    <row r="1737" spans="16:29" x14ac:dyDescent="0.25">
      <c r="P1737" s="78">
        <v>1070</v>
      </c>
      <c r="Q1737" s="79">
        <v>78505.899999999994</v>
      </c>
      <c r="R1737" s="77" t="s">
        <v>394</v>
      </c>
      <c r="S1737" s="77">
        <v>7414000005</v>
      </c>
      <c r="AB1737"/>
      <c r="AC1737"/>
    </row>
    <row r="1738" spans="16:29" x14ac:dyDescent="0.25">
      <c r="P1738" s="78">
        <v>14690</v>
      </c>
      <c r="Q1738" s="79">
        <v>222112.8</v>
      </c>
      <c r="R1738" s="77" t="s">
        <v>394</v>
      </c>
      <c r="S1738" s="77">
        <v>7414000005</v>
      </c>
      <c r="AB1738"/>
      <c r="AC1738"/>
    </row>
    <row r="1739" spans="16:29" x14ac:dyDescent="0.25">
      <c r="P1739" s="78">
        <v>190</v>
      </c>
      <c r="Q1739" s="79">
        <v>99767.1</v>
      </c>
      <c r="R1739" s="77" t="s">
        <v>394</v>
      </c>
      <c r="S1739" s="77">
        <v>7414000005</v>
      </c>
      <c r="AB1739"/>
      <c r="AC1739"/>
    </row>
    <row r="1740" spans="16:29" x14ac:dyDescent="0.25">
      <c r="P1740" s="78">
        <v>520</v>
      </c>
      <c r="Q1740" s="79">
        <v>35490</v>
      </c>
      <c r="R1740" s="77" t="s">
        <v>394</v>
      </c>
      <c r="S1740" s="77">
        <v>7414000005</v>
      </c>
      <c r="AB1740"/>
      <c r="AC1740"/>
    </row>
    <row r="1741" spans="16:29" x14ac:dyDescent="0.25">
      <c r="P1741" s="78">
        <v>13160</v>
      </c>
      <c r="Q1741" s="79">
        <v>188582.8</v>
      </c>
      <c r="R1741" s="77" t="s">
        <v>394</v>
      </c>
      <c r="S1741" s="77">
        <v>7414000005</v>
      </c>
      <c r="AB1741"/>
      <c r="AC1741"/>
    </row>
    <row r="1742" spans="16:29" x14ac:dyDescent="0.25">
      <c r="P1742" s="78">
        <v>92910</v>
      </c>
      <c r="Q1742" s="79">
        <v>867608.72433</v>
      </c>
      <c r="R1742" s="77" t="s">
        <v>394</v>
      </c>
      <c r="S1742" s="77">
        <v>7414000005</v>
      </c>
      <c r="AB1742"/>
      <c r="AC1742"/>
    </row>
    <row r="1743" spans="16:29" x14ac:dyDescent="0.25">
      <c r="P1743" s="78">
        <v>80</v>
      </c>
      <c r="Q1743" s="79">
        <v>21755.200000000001</v>
      </c>
      <c r="R1743" s="77" t="s">
        <v>394</v>
      </c>
      <c r="S1743" s="77">
        <v>7414000005</v>
      </c>
      <c r="AB1743"/>
      <c r="AC1743"/>
    </row>
    <row r="1744" spans="16:29" x14ac:dyDescent="0.25">
      <c r="P1744" s="78">
        <v>510</v>
      </c>
      <c r="Q1744" s="79">
        <v>98506.5</v>
      </c>
      <c r="R1744" s="77" t="s">
        <v>394</v>
      </c>
      <c r="S1744" s="77">
        <v>7414000005</v>
      </c>
      <c r="AB1744"/>
      <c r="AC1744"/>
    </row>
    <row r="1745" spans="16:29" x14ac:dyDescent="0.25">
      <c r="P1745" s="78">
        <v>2280</v>
      </c>
      <c r="Q1745" s="79">
        <v>61833.599999999999</v>
      </c>
      <c r="R1745" s="77" t="s">
        <v>394</v>
      </c>
      <c r="S1745" s="77">
        <v>7414000005</v>
      </c>
      <c r="AB1745"/>
      <c r="AC1745"/>
    </row>
    <row r="1746" spans="16:29" x14ac:dyDescent="0.25">
      <c r="P1746" s="78">
        <v>1700</v>
      </c>
      <c r="Q1746" s="79">
        <v>299948</v>
      </c>
      <c r="R1746" s="77" t="s">
        <v>394</v>
      </c>
      <c r="S1746" s="77">
        <v>7414000005</v>
      </c>
      <c r="AB1746"/>
      <c r="AC1746"/>
    </row>
    <row r="1747" spans="16:29" x14ac:dyDescent="0.25">
      <c r="P1747" s="78">
        <v>2140</v>
      </c>
      <c r="Q1747" s="79">
        <v>222816.8</v>
      </c>
      <c r="R1747" s="77" t="s">
        <v>394</v>
      </c>
      <c r="S1747" s="77">
        <v>7414000005</v>
      </c>
      <c r="AB1747"/>
      <c r="AC1747"/>
    </row>
    <row r="1748" spans="16:29" x14ac:dyDescent="0.25">
      <c r="P1748" s="78">
        <v>4990</v>
      </c>
      <c r="Q1748" s="79">
        <v>492664.44150999998</v>
      </c>
      <c r="R1748" s="77" t="s">
        <v>394</v>
      </c>
      <c r="S1748" s="77">
        <v>7414000005</v>
      </c>
      <c r="AB1748"/>
      <c r="AC1748"/>
    </row>
    <row r="1749" spans="16:29" x14ac:dyDescent="0.25">
      <c r="P1749" s="78">
        <v>1321</v>
      </c>
      <c r="Q1749" s="79">
        <v>131105.944858</v>
      </c>
      <c r="R1749" s="77" t="s">
        <v>394</v>
      </c>
      <c r="S1749" s="77">
        <v>7414000005</v>
      </c>
      <c r="AB1749"/>
      <c r="AC1749"/>
    </row>
    <row r="1750" spans="16:29" x14ac:dyDescent="0.25">
      <c r="P1750" s="78">
        <v>5320</v>
      </c>
      <c r="Q1750" s="79">
        <v>505257.14204000001</v>
      </c>
      <c r="R1750" s="77" t="s">
        <v>394</v>
      </c>
      <c r="S1750" s="77">
        <v>7414000005</v>
      </c>
      <c r="AB1750"/>
      <c r="AC1750"/>
    </row>
    <row r="1751" spans="16:29" x14ac:dyDescent="0.25">
      <c r="P1751" s="78">
        <v>3051</v>
      </c>
      <c r="Q1751" s="79">
        <v>280422.96587100002</v>
      </c>
      <c r="R1751" s="77" t="s">
        <v>394</v>
      </c>
      <c r="S1751" s="77">
        <v>7414000005</v>
      </c>
      <c r="AB1751"/>
      <c r="AC1751"/>
    </row>
    <row r="1752" spans="16:29" x14ac:dyDescent="0.25">
      <c r="P1752" s="78">
        <v>5564</v>
      </c>
      <c r="Q1752" s="79">
        <v>493516.35637200001</v>
      </c>
      <c r="R1752" s="77" t="s">
        <v>394</v>
      </c>
      <c r="S1752" s="77">
        <v>7414000005</v>
      </c>
      <c r="AB1752"/>
      <c r="AC1752"/>
    </row>
    <row r="1753" spans="16:29" x14ac:dyDescent="0.25">
      <c r="P1753" s="78">
        <v>3909</v>
      </c>
      <c r="Q1753" s="79">
        <v>364765.17652799998</v>
      </c>
      <c r="R1753" s="77" t="s">
        <v>394</v>
      </c>
      <c r="S1753" s="77">
        <v>7414000005</v>
      </c>
      <c r="AB1753"/>
      <c r="AC1753"/>
    </row>
    <row r="1754" spans="16:29" x14ac:dyDescent="0.25">
      <c r="P1754" s="78">
        <v>14699</v>
      </c>
      <c r="Q1754" s="79">
        <v>1394496.437743</v>
      </c>
      <c r="R1754" s="77" t="s">
        <v>394</v>
      </c>
      <c r="S1754" s="77">
        <v>7414000005</v>
      </c>
      <c r="AB1754"/>
      <c r="AC1754"/>
    </row>
    <row r="1755" spans="16:29" x14ac:dyDescent="0.25">
      <c r="P1755" s="78">
        <v>67</v>
      </c>
      <c r="Q1755" s="79">
        <v>5995.7941549999996</v>
      </c>
      <c r="R1755" s="77" t="s">
        <v>394</v>
      </c>
      <c r="S1755" s="77">
        <v>7414000005</v>
      </c>
      <c r="AB1755"/>
      <c r="AC1755"/>
    </row>
    <row r="1756" spans="16:29" x14ac:dyDescent="0.25">
      <c r="P1756" s="78">
        <v>8610</v>
      </c>
      <c r="Q1756" s="79">
        <v>742157.27208000002</v>
      </c>
      <c r="R1756" s="77" t="s">
        <v>394</v>
      </c>
      <c r="S1756" s="77">
        <v>7414000005</v>
      </c>
      <c r="AB1756"/>
      <c r="AC1756"/>
    </row>
    <row r="1757" spans="16:29" x14ac:dyDescent="0.25">
      <c r="P1757" s="78">
        <v>11652</v>
      </c>
      <c r="Q1757" s="79">
        <v>1007540.912808</v>
      </c>
      <c r="R1757" s="77" t="s">
        <v>394</v>
      </c>
      <c r="S1757" s="77">
        <v>7414000005</v>
      </c>
      <c r="AB1757"/>
      <c r="AC1757"/>
    </row>
    <row r="1758" spans="16:29" x14ac:dyDescent="0.25">
      <c r="P1758" s="78">
        <v>411</v>
      </c>
      <c r="Q1758" s="79">
        <v>41696.347026000003</v>
      </c>
      <c r="R1758" s="77" t="s">
        <v>394</v>
      </c>
      <c r="S1758" s="77">
        <v>7414000005</v>
      </c>
      <c r="AB1758"/>
      <c r="AC1758"/>
    </row>
    <row r="1759" spans="16:29" x14ac:dyDescent="0.25">
      <c r="P1759" s="78">
        <v>327</v>
      </c>
      <c r="Q1759" s="79">
        <v>29313.317244000002</v>
      </c>
      <c r="R1759" s="77" t="s">
        <v>394</v>
      </c>
      <c r="S1759" s="77">
        <v>7414000005</v>
      </c>
      <c r="AB1759"/>
      <c r="AC1759"/>
    </row>
    <row r="1760" spans="16:29" x14ac:dyDescent="0.25">
      <c r="P1760" s="78">
        <v>8295</v>
      </c>
      <c r="Q1760" s="79">
        <v>678023.84369999997</v>
      </c>
      <c r="R1760" s="77" t="s">
        <v>394</v>
      </c>
      <c r="S1760" s="77">
        <v>7414000005</v>
      </c>
      <c r="AB1760"/>
      <c r="AC1760"/>
    </row>
    <row r="1761" spans="16:29" x14ac:dyDescent="0.25">
      <c r="P1761" s="78">
        <v>1440</v>
      </c>
      <c r="Q1761" s="79">
        <v>119809.09583999999</v>
      </c>
      <c r="R1761" s="77" t="s">
        <v>394</v>
      </c>
      <c r="S1761" s="77">
        <v>7414000005</v>
      </c>
      <c r="AB1761"/>
      <c r="AC1761"/>
    </row>
    <row r="1762" spans="16:29" x14ac:dyDescent="0.25">
      <c r="P1762" s="78">
        <v>794</v>
      </c>
      <c r="Q1762" s="79">
        <v>65234.966158000003</v>
      </c>
      <c r="R1762" s="77" t="s">
        <v>394</v>
      </c>
      <c r="S1762" s="77">
        <v>7414000005</v>
      </c>
      <c r="AB1762"/>
      <c r="AC1762"/>
    </row>
    <row r="1763" spans="16:29" x14ac:dyDescent="0.25">
      <c r="P1763" s="78">
        <v>270</v>
      </c>
      <c r="Q1763" s="79">
        <v>84893.4</v>
      </c>
      <c r="R1763" s="77" t="s">
        <v>394</v>
      </c>
      <c r="S1763" s="77">
        <v>7414000005</v>
      </c>
      <c r="AB1763"/>
      <c r="AC1763"/>
    </row>
    <row r="1764" spans="16:29" x14ac:dyDescent="0.25">
      <c r="P1764" s="78">
        <v>760</v>
      </c>
      <c r="Q1764" s="79">
        <v>33326</v>
      </c>
      <c r="R1764" s="77" t="s">
        <v>394</v>
      </c>
      <c r="S1764" s="77">
        <v>7414000005</v>
      </c>
      <c r="AB1764"/>
      <c r="AC1764"/>
    </row>
    <row r="1765" spans="16:29" x14ac:dyDescent="0.25">
      <c r="P1765" s="78">
        <v>0</v>
      </c>
      <c r="Q1765" s="79">
        <v>0</v>
      </c>
      <c r="R1765" s="77" t="s">
        <v>394</v>
      </c>
      <c r="S1765" s="77">
        <v>7414000005</v>
      </c>
      <c r="AB1765"/>
      <c r="AC1765"/>
    </row>
    <row r="1766" spans="16:29" x14ac:dyDescent="0.25">
      <c r="P1766" s="78">
        <v>810</v>
      </c>
      <c r="Q1766" s="79">
        <v>29386.799999999999</v>
      </c>
      <c r="R1766" s="77" t="s">
        <v>394</v>
      </c>
      <c r="S1766" s="77">
        <v>7414000005</v>
      </c>
      <c r="AB1766"/>
      <c r="AC1766"/>
    </row>
    <row r="1767" spans="16:29" x14ac:dyDescent="0.25">
      <c r="P1767" s="78">
        <v>280</v>
      </c>
      <c r="Q1767" s="79">
        <v>38178</v>
      </c>
      <c r="R1767" s="77" t="s">
        <v>394</v>
      </c>
      <c r="S1767" s="77">
        <v>7414000005</v>
      </c>
      <c r="AB1767"/>
      <c r="AC1767"/>
    </row>
    <row r="1768" spans="16:29" x14ac:dyDescent="0.25">
      <c r="P1768" s="78">
        <v>5100</v>
      </c>
      <c r="Q1768" s="79">
        <v>15045</v>
      </c>
      <c r="R1768" s="77" t="s">
        <v>394</v>
      </c>
      <c r="S1768" s="77">
        <v>7414000005</v>
      </c>
      <c r="AB1768"/>
      <c r="AC1768"/>
    </row>
    <row r="1769" spans="16:29" x14ac:dyDescent="0.25">
      <c r="P1769" s="78">
        <v>4205</v>
      </c>
      <c r="Q1769" s="79">
        <v>412122.94196999999</v>
      </c>
      <c r="R1769" s="77" t="s">
        <v>394</v>
      </c>
      <c r="S1769" s="77">
        <v>7414000005</v>
      </c>
      <c r="AB1769"/>
      <c r="AC1769"/>
    </row>
    <row r="1770" spans="16:29" x14ac:dyDescent="0.25">
      <c r="P1770" s="78">
        <v>450</v>
      </c>
      <c r="Q1770" s="79">
        <v>70200</v>
      </c>
      <c r="R1770" s="77" t="s">
        <v>394</v>
      </c>
      <c r="S1770" s="77">
        <v>7414000005</v>
      </c>
      <c r="AB1770"/>
      <c r="AC1770"/>
    </row>
    <row r="1771" spans="16:29" x14ac:dyDescent="0.25">
      <c r="P1771" s="78">
        <v>780000</v>
      </c>
      <c r="Q1771" s="79">
        <v>3576203.28</v>
      </c>
      <c r="R1771" s="77" t="s">
        <v>394</v>
      </c>
      <c r="S1771" s="77">
        <v>7414000005</v>
      </c>
      <c r="AB1771"/>
      <c r="AC1771"/>
    </row>
    <row r="1772" spans="16:29" x14ac:dyDescent="0.25">
      <c r="P1772" s="78">
        <v>3174398</v>
      </c>
      <c r="Q1772" s="79">
        <v>10782706.243256001</v>
      </c>
      <c r="R1772" s="77" t="s">
        <v>394</v>
      </c>
      <c r="S1772" s="77">
        <v>7414000005</v>
      </c>
      <c r="AB1772"/>
      <c r="AC1772"/>
    </row>
    <row r="1773" spans="16:29" x14ac:dyDescent="0.25">
      <c r="P1773" s="78">
        <v>1180</v>
      </c>
      <c r="Q1773" s="79">
        <v>37063.800000000003</v>
      </c>
      <c r="R1773" s="77" t="s">
        <v>394</v>
      </c>
      <c r="S1773" s="77">
        <v>7414000005</v>
      </c>
      <c r="AB1773"/>
      <c r="AC1773"/>
    </row>
    <row r="1774" spans="16:29" x14ac:dyDescent="0.25">
      <c r="P1774" s="78">
        <v>97</v>
      </c>
      <c r="Q1774" s="79">
        <v>75242.103338999994</v>
      </c>
      <c r="R1774" s="77" t="s">
        <v>394</v>
      </c>
      <c r="S1774" s="77">
        <v>7414000005</v>
      </c>
      <c r="AB1774"/>
      <c r="AC1774"/>
    </row>
    <row r="1775" spans="16:29" x14ac:dyDescent="0.25">
      <c r="P1775" s="78">
        <v>650</v>
      </c>
      <c r="Q1775" s="79">
        <v>485665.98080000002</v>
      </c>
      <c r="R1775" s="77" t="s">
        <v>394</v>
      </c>
      <c r="S1775" s="77">
        <v>7414000005</v>
      </c>
      <c r="AB1775"/>
      <c r="AC1775"/>
    </row>
    <row r="1776" spans="16:29" x14ac:dyDescent="0.25">
      <c r="P1776" s="78">
        <v>328</v>
      </c>
      <c r="Q1776" s="79">
        <v>251223.033624</v>
      </c>
      <c r="R1776" s="77" t="s">
        <v>394</v>
      </c>
      <c r="S1776" s="77">
        <v>7414000005</v>
      </c>
      <c r="AB1776"/>
      <c r="AC1776"/>
    </row>
    <row r="1777" spans="16:29" x14ac:dyDescent="0.25">
      <c r="P1777" s="78">
        <v>208</v>
      </c>
      <c r="Q1777" s="79">
        <v>142456.94486399999</v>
      </c>
      <c r="R1777" s="77" t="s">
        <v>394</v>
      </c>
      <c r="S1777" s="77">
        <v>7414000005</v>
      </c>
      <c r="AB1777"/>
      <c r="AC1777"/>
    </row>
    <row r="1778" spans="16:29" x14ac:dyDescent="0.25">
      <c r="P1778" s="78">
        <v>206</v>
      </c>
      <c r="Q1778" s="79">
        <v>159222.95478999999</v>
      </c>
      <c r="R1778" s="77" t="s">
        <v>394</v>
      </c>
      <c r="S1778" s="77">
        <v>7414000005</v>
      </c>
      <c r="AB1778"/>
      <c r="AC1778"/>
    </row>
    <row r="1779" spans="16:29" x14ac:dyDescent="0.25">
      <c r="P1779" s="78">
        <v>92</v>
      </c>
      <c r="Q1779" s="79">
        <v>66386.706879999998</v>
      </c>
      <c r="R1779" s="77" t="s">
        <v>394</v>
      </c>
      <c r="S1779" s="77">
        <v>7414000005</v>
      </c>
      <c r="AB1779"/>
      <c r="AC1779"/>
    </row>
    <row r="1780" spans="16:29" x14ac:dyDescent="0.25">
      <c r="P1780" s="78">
        <v>203</v>
      </c>
      <c r="Q1780" s="79">
        <v>144002.05742299999</v>
      </c>
      <c r="R1780" s="77" t="s">
        <v>394</v>
      </c>
      <c r="S1780" s="77">
        <v>7414000005</v>
      </c>
      <c r="AB1780"/>
      <c r="AC1780"/>
    </row>
    <row r="1781" spans="16:29" x14ac:dyDescent="0.25">
      <c r="P1781" s="78">
        <v>1930</v>
      </c>
      <c r="Q1781" s="79">
        <v>113233.1</v>
      </c>
      <c r="R1781" s="77" t="s">
        <v>394</v>
      </c>
      <c r="S1781" s="77">
        <v>7414000005</v>
      </c>
      <c r="AB1781"/>
      <c r="AC1781"/>
    </row>
    <row r="1782" spans="16:29" x14ac:dyDescent="0.25">
      <c r="P1782" s="78">
        <v>3000</v>
      </c>
      <c r="Q1782" s="79">
        <v>195780</v>
      </c>
      <c r="R1782" s="77" t="s">
        <v>394</v>
      </c>
      <c r="S1782" s="77">
        <v>7414000005</v>
      </c>
      <c r="AB1782"/>
      <c r="AC1782"/>
    </row>
    <row r="1783" spans="16:29" x14ac:dyDescent="0.25">
      <c r="P1783" s="78">
        <v>11</v>
      </c>
      <c r="Q1783" s="79">
        <v>1855.04</v>
      </c>
      <c r="R1783" s="77" t="s">
        <v>394</v>
      </c>
      <c r="S1783" s="77">
        <v>7414000005</v>
      </c>
      <c r="AB1783"/>
      <c r="AC1783"/>
    </row>
    <row r="1784" spans="16:29" x14ac:dyDescent="0.25">
      <c r="P1784" s="78">
        <v>258</v>
      </c>
      <c r="Q1784" s="79">
        <v>3219.84</v>
      </c>
      <c r="R1784" s="77" t="s">
        <v>394</v>
      </c>
      <c r="S1784" s="77">
        <v>7414000005</v>
      </c>
      <c r="AB1784"/>
      <c r="AC1784"/>
    </row>
    <row r="1785" spans="16:29" x14ac:dyDescent="0.25">
      <c r="P1785" s="78">
        <v>71</v>
      </c>
      <c r="Q1785" s="79">
        <v>5209.2700000000004</v>
      </c>
      <c r="R1785" s="77" t="s">
        <v>394</v>
      </c>
      <c r="S1785" s="77">
        <v>7414000005</v>
      </c>
      <c r="AB1785"/>
      <c r="AC1785"/>
    </row>
    <row r="1786" spans="16:29" x14ac:dyDescent="0.25">
      <c r="P1786" s="78">
        <v>978</v>
      </c>
      <c r="Q1786" s="79">
        <v>14787.36</v>
      </c>
      <c r="R1786" s="77" t="s">
        <v>394</v>
      </c>
      <c r="S1786" s="77">
        <v>7414000005</v>
      </c>
      <c r="AB1786"/>
      <c r="AC1786"/>
    </row>
    <row r="1787" spans="16:29" x14ac:dyDescent="0.25">
      <c r="P1787" s="78">
        <v>13</v>
      </c>
      <c r="Q1787" s="79">
        <v>6826.17</v>
      </c>
      <c r="R1787" s="77" t="s">
        <v>394</v>
      </c>
      <c r="S1787" s="77">
        <v>7414000005</v>
      </c>
      <c r="AB1787"/>
      <c r="AC1787"/>
    </row>
    <row r="1788" spans="16:29" x14ac:dyDescent="0.25">
      <c r="P1788" s="78">
        <v>35</v>
      </c>
      <c r="Q1788" s="79">
        <v>2388.75</v>
      </c>
      <c r="R1788" s="77" t="s">
        <v>394</v>
      </c>
      <c r="S1788" s="77">
        <v>7414000005</v>
      </c>
      <c r="AB1788"/>
      <c r="AC1788"/>
    </row>
    <row r="1789" spans="16:29" x14ac:dyDescent="0.25">
      <c r="P1789" s="78">
        <v>877</v>
      </c>
      <c r="Q1789" s="79">
        <v>12567.41</v>
      </c>
      <c r="R1789" s="77" t="s">
        <v>394</v>
      </c>
      <c r="S1789" s="77">
        <v>7414000005</v>
      </c>
      <c r="AB1789"/>
      <c r="AC1789"/>
    </row>
    <row r="1790" spans="16:29" x14ac:dyDescent="0.25">
      <c r="P1790" s="78">
        <v>7970</v>
      </c>
      <c r="Q1790" s="79">
        <v>74425.159109999993</v>
      </c>
      <c r="R1790" s="77" t="s">
        <v>394</v>
      </c>
      <c r="S1790" s="77">
        <v>7414000005</v>
      </c>
      <c r="AB1790"/>
      <c r="AC1790"/>
    </row>
    <row r="1791" spans="16:29" x14ac:dyDescent="0.25">
      <c r="P1791" s="78">
        <v>5</v>
      </c>
      <c r="Q1791" s="79">
        <v>1359.7</v>
      </c>
      <c r="R1791" s="77" t="s">
        <v>394</v>
      </c>
      <c r="S1791" s="77">
        <v>7414000005</v>
      </c>
      <c r="AB1791"/>
      <c r="AC1791"/>
    </row>
    <row r="1792" spans="16:29" x14ac:dyDescent="0.25">
      <c r="P1792" s="78">
        <v>34</v>
      </c>
      <c r="Q1792" s="79">
        <v>6567.1</v>
      </c>
      <c r="R1792" s="77" t="s">
        <v>394</v>
      </c>
      <c r="S1792" s="77">
        <v>7414000005</v>
      </c>
      <c r="AB1792"/>
      <c r="AC1792"/>
    </row>
    <row r="1793" spans="16:29" x14ac:dyDescent="0.25">
      <c r="P1793" s="78">
        <v>151</v>
      </c>
      <c r="Q1793" s="79">
        <v>4095.12</v>
      </c>
      <c r="R1793" s="77" t="s">
        <v>394</v>
      </c>
      <c r="S1793" s="77">
        <v>7414000005</v>
      </c>
      <c r="AB1793"/>
      <c r="AC1793"/>
    </row>
    <row r="1794" spans="16:29" x14ac:dyDescent="0.25">
      <c r="P1794" s="78">
        <v>113</v>
      </c>
      <c r="Q1794" s="79">
        <v>19937.72</v>
      </c>
      <c r="R1794" s="77" t="s">
        <v>394</v>
      </c>
      <c r="S1794" s="77">
        <v>7414000005</v>
      </c>
      <c r="AB1794"/>
      <c r="AC1794"/>
    </row>
    <row r="1795" spans="16:29" x14ac:dyDescent="0.25">
      <c r="P1795" s="78">
        <v>143</v>
      </c>
      <c r="Q1795" s="79">
        <v>14889.16</v>
      </c>
      <c r="R1795" s="77" t="s">
        <v>394</v>
      </c>
      <c r="S1795" s="77">
        <v>7414000005</v>
      </c>
      <c r="AB1795"/>
      <c r="AC1795"/>
    </row>
    <row r="1796" spans="16:29" x14ac:dyDescent="0.25">
      <c r="P1796" s="78">
        <v>480</v>
      </c>
      <c r="Q1796" s="79">
        <v>47390.567519999997</v>
      </c>
      <c r="R1796" s="77" t="s">
        <v>394</v>
      </c>
      <c r="S1796" s="77">
        <v>7414000005</v>
      </c>
      <c r="AB1796"/>
      <c r="AC1796"/>
    </row>
    <row r="1797" spans="16:29" x14ac:dyDescent="0.25">
      <c r="P1797" s="78">
        <v>163</v>
      </c>
      <c r="Q1797" s="79">
        <v>16177.342173999999</v>
      </c>
      <c r="R1797" s="77" t="s">
        <v>394</v>
      </c>
      <c r="S1797" s="77">
        <v>7414000005</v>
      </c>
      <c r="AB1797"/>
      <c r="AC1797"/>
    </row>
    <row r="1798" spans="16:29" x14ac:dyDescent="0.25">
      <c r="P1798" s="78">
        <v>440</v>
      </c>
      <c r="Q1798" s="79">
        <v>41788.184679999998</v>
      </c>
      <c r="R1798" s="77" t="s">
        <v>394</v>
      </c>
      <c r="S1798" s="77">
        <v>7414000005</v>
      </c>
      <c r="AB1798"/>
      <c r="AC1798"/>
    </row>
    <row r="1799" spans="16:29" x14ac:dyDescent="0.25">
      <c r="P1799" s="78">
        <v>351</v>
      </c>
      <c r="Q1799" s="79">
        <v>32261.049170999999</v>
      </c>
      <c r="R1799" s="77" t="s">
        <v>394</v>
      </c>
      <c r="S1799" s="77">
        <v>7414000005</v>
      </c>
      <c r="AB1799"/>
      <c r="AC1799"/>
    </row>
    <row r="1800" spans="16:29" x14ac:dyDescent="0.25">
      <c r="P1800" s="78">
        <v>435</v>
      </c>
      <c r="Q1800" s="79">
        <v>38583.683505000001</v>
      </c>
      <c r="R1800" s="77" t="s">
        <v>394</v>
      </c>
      <c r="S1800" s="77">
        <v>7414000005</v>
      </c>
      <c r="AB1800"/>
      <c r="AC1800"/>
    </row>
    <row r="1801" spans="16:29" x14ac:dyDescent="0.25">
      <c r="P1801" s="78">
        <v>356</v>
      </c>
      <c r="Q1801" s="79">
        <v>33219.852352000002</v>
      </c>
      <c r="R1801" s="77" t="s">
        <v>394</v>
      </c>
      <c r="S1801" s="77">
        <v>7414000005</v>
      </c>
      <c r="AB1801"/>
      <c r="AC1801"/>
    </row>
    <row r="1802" spans="16:29" x14ac:dyDescent="0.25">
      <c r="P1802" s="78">
        <v>890</v>
      </c>
      <c r="Q1802" s="79">
        <v>84434.439729999998</v>
      </c>
      <c r="R1802" s="77" t="s">
        <v>394</v>
      </c>
      <c r="S1802" s="77">
        <v>7414000005</v>
      </c>
      <c r="AB1802"/>
      <c r="AC1802"/>
    </row>
    <row r="1803" spans="16:29" x14ac:dyDescent="0.25">
      <c r="P1803" s="78">
        <v>60</v>
      </c>
      <c r="Q1803" s="79">
        <v>5369.3679000000002</v>
      </c>
      <c r="R1803" s="77" t="s">
        <v>394</v>
      </c>
      <c r="S1803" s="77">
        <v>7414000005</v>
      </c>
      <c r="AB1803"/>
      <c r="AC1803"/>
    </row>
    <row r="1804" spans="16:29" x14ac:dyDescent="0.25">
      <c r="P1804" s="78">
        <v>500</v>
      </c>
      <c r="Q1804" s="79">
        <v>43098.563999999998</v>
      </c>
      <c r="R1804" s="77" t="s">
        <v>394</v>
      </c>
      <c r="S1804" s="77">
        <v>7414000005</v>
      </c>
      <c r="AB1804"/>
      <c r="AC1804"/>
    </row>
    <row r="1805" spans="16:29" x14ac:dyDescent="0.25">
      <c r="P1805" s="78">
        <v>785</v>
      </c>
      <c r="Q1805" s="79">
        <v>67878.442890000006</v>
      </c>
      <c r="R1805" s="77" t="s">
        <v>394</v>
      </c>
      <c r="S1805" s="77">
        <v>7414000005</v>
      </c>
      <c r="AB1805"/>
      <c r="AC1805"/>
    </row>
    <row r="1806" spans="16:29" x14ac:dyDescent="0.25">
      <c r="P1806" s="78">
        <v>34</v>
      </c>
      <c r="Q1806" s="79">
        <v>3449.332844</v>
      </c>
      <c r="R1806" s="77" t="s">
        <v>394</v>
      </c>
      <c r="S1806" s="77">
        <v>7414000005</v>
      </c>
      <c r="AB1806"/>
      <c r="AC1806"/>
    </row>
    <row r="1807" spans="16:29" x14ac:dyDescent="0.25">
      <c r="P1807" s="78">
        <v>28</v>
      </c>
      <c r="Q1807" s="79">
        <v>2510.008816</v>
      </c>
      <c r="R1807" s="77" t="s">
        <v>394</v>
      </c>
      <c r="S1807" s="77">
        <v>7414000005</v>
      </c>
      <c r="AB1807"/>
      <c r="AC1807"/>
    </row>
    <row r="1808" spans="16:29" x14ac:dyDescent="0.25">
      <c r="P1808" s="78">
        <v>236</v>
      </c>
      <c r="Q1808" s="79">
        <v>19290.37096</v>
      </c>
      <c r="R1808" s="77" t="s">
        <v>394</v>
      </c>
      <c r="S1808" s="77">
        <v>7414000005</v>
      </c>
      <c r="AB1808"/>
      <c r="AC1808"/>
    </row>
    <row r="1809" spans="16:29" x14ac:dyDescent="0.25">
      <c r="P1809" s="78">
        <v>100</v>
      </c>
      <c r="Q1809" s="79">
        <v>8320.0761000000002</v>
      </c>
      <c r="R1809" s="77" t="s">
        <v>394</v>
      </c>
      <c r="S1809" s="77">
        <v>7414000005</v>
      </c>
      <c r="AB1809"/>
      <c r="AC1809"/>
    </row>
    <row r="1810" spans="16:29" x14ac:dyDescent="0.25">
      <c r="P1810" s="78">
        <v>35</v>
      </c>
      <c r="Q1810" s="79">
        <v>2875.5967449999998</v>
      </c>
      <c r="R1810" s="77" t="s">
        <v>394</v>
      </c>
      <c r="S1810" s="77">
        <v>7414000005</v>
      </c>
      <c r="AB1810"/>
      <c r="AC1810"/>
    </row>
    <row r="1811" spans="16:29" x14ac:dyDescent="0.25">
      <c r="P1811" s="78">
        <v>18</v>
      </c>
      <c r="Q1811" s="79">
        <v>5659.56</v>
      </c>
      <c r="R1811" s="77" t="s">
        <v>394</v>
      </c>
      <c r="S1811" s="77">
        <v>7414000005</v>
      </c>
      <c r="AB1811"/>
      <c r="AC1811"/>
    </row>
    <row r="1812" spans="16:29" x14ac:dyDescent="0.25">
      <c r="P1812" s="78">
        <v>50</v>
      </c>
      <c r="Q1812" s="79">
        <v>2192.5</v>
      </c>
      <c r="R1812" s="77" t="s">
        <v>394</v>
      </c>
      <c r="S1812" s="77">
        <v>7414000005</v>
      </c>
      <c r="AB1812"/>
      <c r="AC1812"/>
    </row>
    <row r="1813" spans="16:29" x14ac:dyDescent="0.25">
      <c r="P1813" s="78">
        <v>0</v>
      </c>
      <c r="Q1813" s="79">
        <v>0</v>
      </c>
      <c r="R1813" s="77" t="s">
        <v>394</v>
      </c>
      <c r="S1813" s="77">
        <v>7414000005</v>
      </c>
      <c r="AB1813"/>
      <c r="AC1813"/>
    </row>
    <row r="1814" spans="16:29" x14ac:dyDescent="0.25">
      <c r="P1814" s="78">
        <v>54</v>
      </c>
      <c r="Q1814" s="79">
        <v>1959.12</v>
      </c>
      <c r="R1814" s="77" t="s">
        <v>394</v>
      </c>
      <c r="S1814" s="77">
        <v>7414000005</v>
      </c>
      <c r="AB1814"/>
      <c r="AC1814"/>
    </row>
    <row r="1815" spans="16:29" x14ac:dyDescent="0.25">
      <c r="P1815" s="78">
        <v>18</v>
      </c>
      <c r="Q1815" s="79">
        <v>2454.3000000000002</v>
      </c>
      <c r="R1815" s="77" t="s">
        <v>394</v>
      </c>
      <c r="S1815" s="77">
        <v>7414000005</v>
      </c>
      <c r="AB1815"/>
      <c r="AC1815"/>
    </row>
    <row r="1816" spans="16:29" x14ac:dyDescent="0.25">
      <c r="P1816" s="78">
        <v>390</v>
      </c>
      <c r="Q1816" s="79">
        <v>1150.5</v>
      </c>
      <c r="R1816" s="77" t="s">
        <v>394</v>
      </c>
      <c r="S1816" s="77">
        <v>7414000005</v>
      </c>
      <c r="AB1816"/>
      <c r="AC1816"/>
    </row>
    <row r="1817" spans="16:29" x14ac:dyDescent="0.25">
      <c r="P1817" s="78">
        <v>395</v>
      </c>
      <c r="Q1817" s="79">
        <v>38713.094429999997</v>
      </c>
      <c r="R1817" s="77" t="s">
        <v>394</v>
      </c>
      <c r="S1817" s="77">
        <v>7414000005</v>
      </c>
      <c r="AB1817"/>
      <c r="AC1817"/>
    </row>
    <row r="1818" spans="16:29" x14ac:dyDescent="0.25">
      <c r="P1818" s="78">
        <v>30</v>
      </c>
      <c r="Q1818" s="79">
        <v>4680</v>
      </c>
      <c r="R1818" s="77" t="s">
        <v>394</v>
      </c>
      <c r="S1818" s="77">
        <v>7414000005</v>
      </c>
      <c r="AB1818"/>
      <c r="AC1818"/>
    </row>
    <row r="1819" spans="16:29" x14ac:dyDescent="0.25">
      <c r="P1819" s="78">
        <v>52000</v>
      </c>
      <c r="Q1819" s="79">
        <v>238413.552</v>
      </c>
      <c r="R1819" s="77" t="s">
        <v>394</v>
      </c>
      <c r="S1819" s="77">
        <v>7414000005</v>
      </c>
      <c r="AB1819"/>
      <c r="AC1819"/>
    </row>
    <row r="1820" spans="16:29" x14ac:dyDescent="0.25">
      <c r="P1820" s="78">
        <v>203484</v>
      </c>
      <c r="Q1820" s="79">
        <v>691188.75364799995</v>
      </c>
      <c r="R1820" s="77" t="s">
        <v>394</v>
      </c>
      <c r="S1820" s="77">
        <v>7414000005</v>
      </c>
      <c r="AB1820"/>
      <c r="AC1820"/>
    </row>
    <row r="1821" spans="16:29" x14ac:dyDescent="0.25">
      <c r="P1821" s="78">
        <v>76</v>
      </c>
      <c r="Q1821" s="79">
        <v>2387.16</v>
      </c>
      <c r="R1821" s="77" t="s">
        <v>394</v>
      </c>
      <c r="S1821" s="77">
        <v>7414000005</v>
      </c>
      <c r="AB1821"/>
      <c r="AC1821"/>
    </row>
    <row r="1822" spans="16:29" x14ac:dyDescent="0.25">
      <c r="P1822" s="78">
        <v>0</v>
      </c>
      <c r="Q1822" s="79">
        <v>0</v>
      </c>
      <c r="R1822" s="77" t="s">
        <v>394</v>
      </c>
      <c r="S1822" s="77">
        <v>7414000005</v>
      </c>
      <c r="AB1822"/>
      <c r="AC1822"/>
    </row>
    <row r="1823" spans="16:29" x14ac:dyDescent="0.25">
      <c r="P1823" s="78">
        <v>9</v>
      </c>
      <c r="Q1823" s="79">
        <v>6981.2260829999996</v>
      </c>
      <c r="R1823" s="77" t="s">
        <v>394</v>
      </c>
      <c r="S1823" s="77">
        <v>7414000005</v>
      </c>
      <c r="AB1823"/>
      <c r="AC1823"/>
    </row>
    <row r="1824" spans="16:29" x14ac:dyDescent="0.25">
      <c r="P1824" s="78">
        <v>60</v>
      </c>
      <c r="Q1824" s="79">
        <v>44830.70592</v>
      </c>
      <c r="R1824" s="77" t="s">
        <v>394</v>
      </c>
      <c r="S1824" s="77">
        <v>7414000005</v>
      </c>
      <c r="AB1824"/>
      <c r="AC1824"/>
    </row>
    <row r="1825" spans="16:29" x14ac:dyDescent="0.25">
      <c r="P1825" s="78">
        <v>24</v>
      </c>
      <c r="Q1825" s="79">
        <v>18382.173191999998</v>
      </c>
      <c r="R1825" s="77" t="s">
        <v>394</v>
      </c>
      <c r="S1825" s="77">
        <v>7414000005</v>
      </c>
      <c r="AB1825"/>
      <c r="AC1825"/>
    </row>
    <row r="1826" spans="16:29" x14ac:dyDescent="0.25">
      <c r="P1826" s="78">
        <v>24</v>
      </c>
      <c r="Q1826" s="79">
        <v>16437.339791999999</v>
      </c>
      <c r="R1826" s="77" t="s">
        <v>394</v>
      </c>
      <c r="S1826" s="77">
        <v>7414000005</v>
      </c>
      <c r="AB1826"/>
      <c r="AC1826"/>
    </row>
    <row r="1827" spans="16:29" x14ac:dyDescent="0.25">
      <c r="P1827" s="78">
        <v>20</v>
      </c>
      <c r="Q1827" s="79">
        <v>15458.5393</v>
      </c>
      <c r="R1827" s="77" t="s">
        <v>394</v>
      </c>
      <c r="S1827" s="77">
        <v>7414000005</v>
      </c>
      <c r="AB1827"/>
      <c r="AC1827"/>
    </row>
    <row r="1828" spans="16:29" x14ac:dyDescent="0.25">
      <c r="P1828" s="78">
        <v>6</v>
      </c>
      <c r="Q1828" s="79">
        <v>4329.5678399999997</v>
      </c>
      <c r="R1828" s="77" t="s">
        <v>394</v>
      </c>
      <c r="S1828" s="77">
        <v>7414000005</v>
      </c>
      <c r="AB1828"/>
      <c r="AC1828"/>
    </row>
    <row r="1829" spans="16:29" x14ac:dyDescent="0.25">
      <c r="P1829" s="78">
        <v>15</v>
      </c>
      <c r="Q1829" s="79">
        <v>10640.546114999999</v>
      </c>
      <c r="R1829" s="77" t="s">
        <v>394</v>
      </c>
      <c r="S1829" s="77">
        <v>7414000005</v>
      </c>
      <c r="AB1829"/>
      <c r="AC1829"/>
    </row>
    <row r="1830" spans="16:29" x14ac:dyDescent="0.25">
      <c r="P1830" s="78">
        <v>140</v>
      </c>
      <c r="Q1830" s="79">
        <v>8213.7999999999993</v>
      </c>
      <c r="R1830" s="77" t="s">
        <v>394</v>
      </c>
      <c r="S1830" s="77">
        <v>7414000005</v>
      </c>
      <c r="AB1830"/>
      <c r="AC1830"/>
    </row>
    <row r="1831" spans="16:29" x14ac:dyDescent="0.25">
      <c r="P1831" s="78">
        <v>200</v>
      </c>
      <c r="Q1831" s="79">
        <v>13052</v>
      </c>
      <c r="R1831" s="77" t="s">
        <v>394</v>
      </c>
      <c r="S1831" s="77">
        <v>7414000005</v>
      </c>
      <c r="AB1831"/>
      <c r="AC1831"/>
    </row>
    <row r="1832" spans="16:29" x14ac:dyDescent="0.25">
      <c r="P1832" s="78">
        <v>784170</v>
      </c>
      <c r="Q1832" s="79">
        <v>7322707.2797100004</v>
      </c>
      <c r="R1832" s="77" t="s">
        <v>394</v>
      </c>
      <c r="S1832" s="77">
        <v>7414000005</v>
      </c>
      <c r="AB1832"/>
      <c r="AC1832"/>
    </row>
    <row r="1833" spans="16:29" x14ac:dyDescent="0.25">
      <c r="P1833" s="78">
        <v>73540</v>
      </c>
      <c r="Q1833" s="79">
        <v>607298.10010000004</v>
      </c>
      <c r="R1833" s="77" t="s">
        <v>394</v>
      </c>
      <c r="S1833" s="77">
        <v>7414000005</v>
      </c>
      <c r="AB1833"/>
      <c r="AC1833"/>
    </row>
    <row r="1834" spans="16:29" x14ac:dyDescent="0.25">
      <c r="P1834" s="78">
        <v>0</v>
      </c>
      <c r="Q1834" s="79">
        <v>0</v>
      </c>
      <c r="R1834" s="77" t="s">
        <v>394</v>
      </c>
      <c r="S1834" s="77">
        <v>7414000005</v>
      </c>
      <c r="AB1834"/>
      <c r="AC1834"/>
    </row>
    <row r="1835" spans="16:29" x14ac:dyDescent="0.25">
      <c r="P1835" s="78">
        <v>0</v>
      </c>
      <c r="Q1835" s="79">
        <v>0</v>
      </c>
      <c r="R1835" s="77" t="s">
        <v>394</v>
      </c>
      <c r="S1835" s="77">
        <v>7414000005</v>
      </c>
      <c r="AB1835"/>
      <c r="AC1835"/>
    </row>
    <row r="1836" spans="16:29" x14ac:dyDescent="0.25">
      <c r="P1836" s="78">
        <v>12000</v>
      </c>
      <c r="Q1836" s="79">
        <v>980866.32</v>
      </c>
      <c r="R1836" s="77" t="s">
        <v>394</v>
      </c>
      <c r="S1836" s="77">
        <v>7414000005</v>
      </c>
      <c r="AB1836"/>
      <c r="AC1836"/>
    </row>
    <row r="1837" spans="16:29" x14ac:dyDescent="0.25">
      <c r="P1837" s="78">
        <v>25000</v>
      </c>
      <c r="Q1837" s="79">
        <v>2053997.675</v>
      </c>
      <c r="R1837" s="77" t="s">
        <v>394</v>
      </c>
      <c r="S1837" s="77">
        <v>7414000005</v>
      </c>
      <c r="AB1837"/>
      <c r="AC1837"/>
    </row>
    <row r="1838" spans="16:29" x14ac:dyDescent="0.25">
      <c r="P1838" s="78">
        <v>2459952</v>
      </c>
      <c r="Q1838" s="79">
        <v>8355896.0749439998</v>
      </c>
      <c r="R1838" s="77" t="s">
        <v>394</v>
      </c>
      <c r="S1838" s="77">
        <v>7414000005</v>
      </c>
      <c r="AB1838"/>
      <c r="AC1838"/>
    </row>
    <row r="1839" spans="16:29" x14ac:dyDescent="0.25">
      <c r="P1839" s="78">
        <v>6000</v>
      </c>
      <c r="Q1839" s="79">
        <v>4109334.9479999999</v>
      </c>
      <c r="R1839" s="77" t="s">
        <v>394</v>
      </c>
      <c r="S1839" s="77">
        <v>7414000005</v>
      </c>
      <c r="AB1839"/>
      <c r="AC1839"/>
    </row>
    <row r="1840" spans="16:29" x14ac:dyDescent="0.25">
      <c r="P1840" s="78">
        <v>0</v>
      </c>
      <c r="Q1840" s="79">
        <v>0</v>
      </c>
      <c r="R1840" s="77" t="s">
        <v>394</v>
      </c>
      <c r="S1840" s="77">
        <v>7414000005</v>
      </c>
      <c r="AB1840"/>
      <c r="AC1840"/>
    </row>
    <row r="1841" spans="16:29" x14ac:dyDescent="0.25">
      <c r="P1841" s="78">
        <v>3000</v>
      </c>
      <c r="Q1841" s="79">
        <v>2083233.561</v>
      </c>
      <c r="R1841" s="77" t="s">
        <v>394</v>
      </c>
      <c r="S1841" s="77">
        <v>7414000005</v>
      </c>
      <c r="AB1841"/>
      <c r="AC1841"/>
    </row>
    <row r="1842" spans="16:29" x14ac:dyDescent="0.25">
      <c r="P1842" s="78">
        <v>94140</v>
      </c>
      <c r="Q1842" s="79">
        <v>879094.66481999995</v>
      </c>
      <c r="R1842" s="77" t="s">
        <v>394</v>
      </c>
      <c r="S1842" s="77">
        <v>7414000005</v>
      </c>
      <c r="AB1842"/>
      <c r="AC1842"/>
    </row>
    <row r="1843" spans="16:29" x14ac:dyDescent="0.25">
      <c r="P1843" s="78">
        <v>61500</v>
      </c>
      <c r="Q1843" s="79">
        <v>507870.9975</v>
      </c>
      <c r="R1843" s="77" t="s">
        <v>394</v>
      </c>
      <c r="S1843" s="77">
        <v>7414000005</v>
      </c>
      <c r="AB1843"/>
      <c r="AC1843"/>
    </row>
    <row r="1844" spans="16:29" x14ac:dyDescent="0.25">
      <c r="P1844" s="78">
        <v>3250</v>
      </c>
      <c r="Q1844" s="79">
        <v>320873.63425</v>
      </c>
      <c r="R1844" s="77" t="s">
        <v>394</v>
      </c>
      <c r="S1844" s="77">
        <v>7414000005</v>
      </c>
      <c r="AB1844"/>
      <c r="AC1844"/>
    </row>
    <row r="1845" spans="16:29" x14ac:dyDescent="0.25">
      <c r="P1845" s="78">
        <v>1390</v>
      </c>
      <c r="Q1845" s="79">
        <v>137954.02222000001</v>
      </c>
      <c r="R1845" s="77" t="s">
        <v>394</v>
      </c>
      <c r="S1845" s="77">
        <v>7414000005</v>
      </c>
      <c r="AB1845"/>
      <c r="AC1845"/>
    </row>
    <row r="1846" spans="16:29" x14ac:dyDescent="0.25">
      <c r="P1846" s="78">
        <v>2360</v>
      </c>
      <c r="Q1846" s="79">
        <v>224136.62692000001</v>
      </c>
      <c r="R1846" s="77" t="s">
        <v>394</v>
      </c>
      <c r="S1846" s="77">
        <v>7414000005</v>
      </c>
      <c r="AB1846"/>
      <c r="AC1846"/>
    </row>
    <row r="1847" spans="16:29" x14ac:dyDescent="0.25">
      <c r="P1847" s="78">
        <v>610</v>
      </c>
      <c r="Q1847" s="79">
        <v>56066.210809999997</v>
      </c>
      <c r="R1847" s="77" t="s">
        <v>394</v>
      </c>
      <c r="S1847" s="77">
        <v>7414000005</v>
      </c>
      <c r="AB1847"/>
      <c r="AC1847"/>
    </row>
    <row r="1848" spans="16:29" x14ac:dyDescent="0.25">
      <c r="P1848" s="78">
        <v>3398</v>
      </c>
      <c r="Q1848" s="79">
        <v>301396.22195400001</v>
      </c>
      <c r="R1848" s="77" t="s">
        <v>394</v>
      </c>
      <c r="S1848" s="77">
        <v>7414000005</v>
      </c>
      <c r="AB1848"/>
      <c r="AC1848"/>
    </row>
    <row r="1849" spans="16:29" x14ac:dyDescent="0.25">
      <c r="P1849" s="78">
        <v>14130</v>
      </c>
      <c r="Q1849" s="79">
        <v>1318529.53296</v>
      </c>
      <c r="R1849" s="77" t="s">
        <v>394</v>
      </c>
      <c r="S1849" s="77">
        <v>7414000005</v>
      </c>
      <c r="AB1849"/>
      <c r="AC1849"/>
    </row>
    <row r="1850" spans="16:29" x14ac:dyDescent="0.25">
      <c r="P1850" s="78">
        <v>23720</v>
      </c>
      <c r="Q1850" s="79">
        <v>2250320.1240400001</v>
      </c>
      <c r="R1850" s="77" t="s">
        <v>394</v>
      </c>
      <c r="S1850" s="77">
        <v>7414000005</v>
      </c>
      <c r="AB1850"/>
      <c r="AC1850"/>
    </row>
    <row r="1851" spans="16:29" x14ac:dyDescent="0.25">
      <c r="P1851" s="78">
        <v>10888</v>
      </c>
      <c r="Q1851" s="79">
        <v>974361.29492000001</v>
      </c>
      <c r="R1851" s="77" t="s">
        <v>394</v>
      </c>
      <c r="S1851" s="77">
        <v>7414000005</v>
      </c>
      <c r="AB1851"/>
      <c r="AC1851"/>
    </row>
    <row r="1852" spans="16:29" x14ac:dyDescent="0.25">
      <c r="P1852" s="78">
        <v>23180</v>
      </c>
      <c r="Q1852" s="79">
        <v>1998049.42704</v>
      </c>
      <c r="R1852" s="77" t="s">
        <v>394</v>
      </c>
      <c r="S1852" s="77">
        <v>7414000005</v>
      </c>
      <c r="AB1852"/>
      <c r="AC1852"/>
    </row>
    <row r="1853" spans="16:29" x14ac:dyDescent="0.25">
      <c r="P1853" s="78">
        <v>16135</v>
      </c>
      <c r="Q1853" s="79">
        <v>1395183.02679</v>
      </c>
      <c r="R1853" s="77" t="s">
        <v>394</v>
      </c>
      <c r="S1853" s="77">
        <v>7414000005</v>
      </c>
      <c r="AB1853"/>
      <c r="AC1853"/>
    </row>
    <row r="1854" spans="16:29" x14ac:dyDescent="0.25">
      <c r="P1854" s="78">
        <v>360</v>
      </c>
      <c r="Q1854" s="79">
        <v>32271.54192</v>
      </c>
      <c r="R1854" s="77" t="s">
        <v>394</v>
      </c>
      <c r="S1854" s="77">
        <v>7414000005</v>
      </c>
      <c r="AB1854"/>
      <c r="AC1854"/>
    </row>
    <row r="1855" spans="16:29" x14ac:dyDescent="0.25">
      <c r="P1855" s="78">
        <v>16756</v>
      </c>
      <c r="Q1855" s="79">
        <v>1369616.33816</v>
      </c>
      <c r="R1855" s="77" t="s">
        <v>394</v>
      </c>
      <c r="S1855" s="77">
        <v>7414000005</v>
      </c>
      <c r="AB1855"/>
      <c r="AC1855"/>
    </row>
    <row r="1856" spans="16:29" x14ac:dyDescent="0.25">
      <c r="P1856" s="78">
        <v>1410</v>
      </c>
      <c r="Q1856" s="79">
        <v>117313.07300999999</v>
      </c>
      <c r="R1856" s="77" t="s">
        <v>394</v>
      </c>
      <c r="S1856" s="77">
        <v>7414000005</v>
      </c>
      <c r="AB1856"/>
      <c r="AC1856"/>
    </row>
    <row r="1857" spans="16:29" x14ac:dyDescent="0.25">
      <c r="P1857" s="78">
        <v>4893</v>
      </c>
      <c r="Q1857" s="79">
        <v>402008.42495100002</v>
      </c>
      <c r="R1857" s="77" t="s">
        <v>394</v>
      </c>
      <c r="S1857" s="77">
        <v>7414000005</v>
      </c>
      <c r="AB1857"/>
      <c r="AC1857"/>
    </row>
    <row r="1858" spans="16:29" x14ac:dyDescent="0.25">
      <c r="P1858" s="78">
        <v>29050</v>
      </c>
      <c r="Q1858" s="79">
        <v>98676.226599999995</v>
      </c>
      <c r="R1858" s="77" t="s">
        <v>394</v>
      </c>
      <c r="S1858" s="77">
        <v>7414000005</v>
      </c>
      <c r="AB1858"/>
      <c r="AC1858"/>
    </row>
    <row r="1859" spans="16:29" x14ac:dyDescent="0.25">
      <c r="P1859" s="78">
        <v>1625</v>
      </c>
      <c r="Q1859" s="79">
        <v>1260499.1538750001</v>
      </c>
      <c r="R1859" s="77" t="s">
        <v>394</v>
      </c>
      <c r="S1859" s="77">
        <v>7414000005</v>
      </c>
      <c r="AB1859"/>
      <c r="AC1859"/>
    </row>
    <row r="1860" spans="16:29" x14ac:dyDescent="0.25">
      <c r="P1860" s="78">
        <v>1995</v>
      </c>
      <c r="Q1860" s="79">
        <v>1490620.97184</v>
      </c>
      <c r="R1860" s="77" t="s">
        <v>394</v>
      </c>
      <c r="S1860" s="77">
        <v>7414000005</v>
      </c>
      <c r="AB1860"/>
      <c r="AC1860"/>
    </row>
    <row r="1861" spans="16:29" x14ac:dyDescent="0.25">
      <c r="P1861" s="78">
        <v>1821</v>
      </c>
      <c r="Q1861" s="79">
        <v>1247183.1567180001</v>
      </c>
      <c r="R1861" s="77" t="s">
        <v>394</v>
      </c>
      <c r="S1861" s="77">
        <v>7414000005</v>
      </c>
      <c r="AB1861"/>
      <c r="AC1861"/>
    </row>
    <row r="1862" spans="16:29" x14ac:dyDescent="0.25">
      <c r="P1862" s="78">
        <v>1689</v>
      </c>
      <c r="Q1862" s="79">
        <v>1305473.6438849999</v>
      </c>
      <c r="R1862" s="77" t="s">
        <v>394</v>
      </c>
      <c r="S1862" s="77">
        <v>7414000005</v>
      </c>
      <c r="AB1862"/>
      <c r="AC1862"/>
    </row>
    <row r="1863" spans="16:29" x14ac:dyDescent="0.25">
      <c r="P1863" s="78">
        <v>1521</v>
      </c>
      <c r="Q1863" s="79">
        <v>1097545.44744</v>
      </c>
      <c r="R1863" s="77" t="s">
        <v>394</v>
      </c>
      <c r="S1863" s="77">
        <v>7414000005</v>
      </c>
      <c r="AB1863"/>
      <c r="AC1863"/>
    </row>
    <row r="1864" spans="16:29" x14ac:dyDescent="0.25">
      <c r="P1864" s="78">
        <v>508</v>
      </c>
      <c r="Q1864" s="79">
        <v>323069.26445199997</v>
      </c>
      <c r="R1864" s="77" t="s">
        <v>394</v>
      </c>
      <c r="S1864" s="77">
        <v>7414000005</v>
      </c>
      <c r="AB1864"/>
      <c r="AC1864"/>
    </row>
    <row r="1865" spans="16:29" x14ac:dyDescent="0.25">
      <c r="P1865" s="78">
        <v>127</v>
      </c>
      <c r="Q1865" s="79">
        <v>90089.957106999995</v>
      </c>
      <c r="R1865" s="77" t="s">
        <v>394</v>
      </c>
      <c r="S1865" s="77">
        <v>7414000005</v>
      </c>
      <c r="AB1865"/>
      <c r="AC1865"/>
    </row>
    <row r="1866" spans="16:29" x14ac:dyDescent="0.25">
      <c r="P1866" s="78">
        <v>1790</v>
      </c>
      <c r="Q1866" s="79">
        <v>1242996.0247299999</v>
      </c>
      <c r="R1866" s="77" t="s">
        <v>394</v>
      </c>
      <c r="S1866" s="77">
        <v>7414000005</v>
      </c>
      <c r="AB1866"/>
      <c r="AC1866"/>
    </row>
    <row r="1867" spans="16:29" x14ac:dyDescent="0.25">
      <c r="P1867" s="78">
        <v>0</v>
      </c>
      <c r="Q1867" s="79">
        <v>0</v>
      </c>
      <c r="R1867" s="77" t="s">
        <v>394</v>
      </c>
      <c r="S1867" s="77">
        <v>7414000005</v>
      </c>
      <c r="AB1867"/>
      <c r="AC1867"/>
    </row>
    <row r="1868" spans="16:29" x14ac:dyDescent="0.25">
      <c r="P1868" s="78">
        <v>0</v>
      </c>
      <c r="Q1868" s="79">
        <v>0</v>
      </c>
      <c r="R1868" s="77" t="s">
        <v>394</v>
      </c>
      <c r="S1868" s="77">
        <v>7414000005</v>
      </c>
      <c r="AB1868"/>
      <c r="AC1868"/>
    </row>
    <row r="1869" spans="16:29" x14ac:dyDescent="0.25">
      <c r="P1869" s="78">
        <v>0</v>
      </c>
      <c r="Q1869" s="79">
        <v>0</v>
      </c>
      <c r="R1869" s="77" t="s">
        <v>394</v>
      </c>
      <c r="S1869" s="77">
        <v>7414000005</v>
      </c>
      <c r="AB1869"/>
      <c r="AC1869"/>
    </row>
    <row r="1870" spans="16:29" x14ac:dyDescent="0.25">
      <c r="P1870" s="78">
        <v>0</v>
      </c>
      <c r="Q1870" s="79">
        <v>0</v>
      </c>
      <c r="R1870" s="77" t="s">
        <v>394</v>
      </c>
      <c r="S1870" s="77">
        <v>7414000005</v>
      </c>
      <c r="AB1870"/>
      <c r="AC1870"/>
    </row>
    <row r="1871" spans="16:29" x14ac:dyDescent="0.25">
      <c r="P1871" s="78">
        <v>0</v>
      </c>
      <c r="Q1871" s="79">
        <v>0</v>
      </c>
      <c r="R1871" s="77" t="s">
        <v>394</v>
      </c>
      <c r="S1871" s="77">
        <v>7414000005</v>
      </c>
      <c r="AB1871"/>
      <c r="AC1871"/>
    </row>
    <row r="1872" spans="16:29" x14ac:dyDescent="0.25">
      <c r="P1872" s="78">
        <v>0</v>
      </c>
      <c r="Q1872" s="79">
        <v>0</v>
      </c>
      <c r="R1872" s="77" t="s">
        <v>394</v>
      </c>
      <c r="S1872" s="77">
        <v>7414000005</v>
      </c>
      <c r="AB1872"/>
      <c r="AC1872"/>
    </row>
    <row r="1873" spans="16:29" x14ac:dyDescent="0.25">
      <c r="P1873" s="78">
        <v>0</v>
      </c>
      <c r="Q1873" s="79">
        <v>0</v>
      </c>
      <c r="R1873" s="77" t="s">
        <v>394</v>
      </c>
      <c r="S1873" s="77">
        <v>7414000005</v>
      </c>
      <c r="AB1873"/>
      <c r="AC1873"/>
    </row>
    <row r="1874" spans="16:29" x14ac:dyDescent="0.25">
      <c r="P1874" s="78">
        <v>0</v>
      </c>
      <c r="Q1874" s="79">
        <v>0</v>
      </c>
      <c r="R1874" s="77" t="s">
        <v>394</v>
      </c>
      <c r="S1874" s="77">
        <v>7414000005</v>
      </c>
      <c r="AB1874"/>
      <c r="AC1874"/>
    </row>
    <row r="1875" spans="16:29" x14ac:dyDescent="0.25">
      <c r="P1875" s="78">
        <v>0</v>
      </c>
      <c r="Q1875" s="79">
        <v>0</v>
      </c>
      <c r="R1875" s="77" t="s">
        <v>394</v>
      </c>
      <c r="S1875" s="77">
        <v>7414000005</v>
      </c>
      <c r="AB1875"/>
      <c r="AC1875"/>
    </row>
    <row r="1876" spans="16:29" x14ac:dyDescent="0.25">
      <c r="P1876" s="78">
        <v>0</v>
      </c>
      <c r="Q1876" s="79">
        <v>0</v>
      </c>
      <c r="R1876" s="77" t="s">
        <v>394</v>
      </c>
      <c r="S1876" s="77">
        <v>7414000005</v>
      </c>
      <c r="AB1876"/>
      <c r="AC1876"/>
    </row>
    <row r="1877" spans="16:29" x14ac:dyDescent="0.25">
      <c r="P1877" s="78">
        <v>0</v>
      </c>
      <c r="Q1877" s="79">
        <v>0</v>
      </c>
      <c r="R1877" s="77" t="s">
        <v>394</v>
      </c>
      <c r="S1877" s="77">
        <v>7414000005</v>
      </c>
      <c r="AB1877"/>
      <c r="AC1877"/>
    </row>
    <row r="1878" spans="16:29" x14ac:dyDescent="0.25">
      <c r="P1878" s="78">
        <v>0</v>
      </c>
      <c r="Q1878" s="79">
        <v>0</v>
      </c>
      <c r="R1878" s="77" t="s">
        <v>394</v>
      </c>
      <c r="S1878" s="77">
        <v>7414000005</v>
      </c>
      <c r="AB1878"/>
      <c r="AC1878"/>
    </row>
    <row r="1879" spans="16:29" x14ac:dyDescent="0.25">
      <c r="P1879" s="78">
        <v>0</v>
      </c>
      <c r="Q1879" s="79">
        <v>0</v>
      </c>
      <c r="R1879" s="77" t="s">
        <v>394</v>
      </c>
      <c r="S1879" s="77">
        <v>7414000005</v>
      </c>
      <c r="AB1879"/>
      <c r="AC1879"/>
    </row>
    <row r="1880" spans="16:29" x14ac:dyDescent="0.25">
      <c r="P1880" s="78">
        <v>0</v>
      </c>
      <c r="Q1880" s="79">
        <v>0</v>
      </c>
      <c r="R1880" s="77" t="s">
        <v>394</v>
      </c>
      <c r="S1880" s="77">
        <v>7414000005</v>
      </c>
      <c r="AB1880"/>
      <c r="AC1880"/>
    </row>
    <row r="1881" spans="16:29" x14ac:dyDescent="0.25">
      <c r="P1881" s="78">
        <v>0</v>
      </c>
      <c r="Q1881" s="79">
        <v>0</v>
      </c>
      <c r="R1881" s="77" t="s">
        <v>394</v>
      </c>
      <c r="S1881" s="77">
        <v>7414000005</v>
      </c>
      <c r="AB1881"/>
      <c r="AC1881"/>
    </row>
    <row r="1882" spans="16:29" x14ac:dyDescent="0.25">
      <c r="P1882" s="78">
        <v>0</v>
      </c>
      <c r="Q1882" s="79">
        <v>0</v>
      </c>
      <c r="R1882" s="77" t="s">
        <v>394</v>
      </c>
      <c r="S1882" s="77">
        <v>7414000005</v>
      </c>
      <c r="AB1882"/>
      <c r="AC1882"/>
    </row>
    <row r="1883" spans="16:29" x14ac:dyDescent="0.25">
      <c r="P1883" s="78">
        <v>0</v>
      </c>
      <c r="Q1883" s="79">
        <v>0</v>
      </c>
      <c r="R1883" s="77" t="s">
        <v>394</v>
      </c>
      <c r="S1883" s="77">
        <v>7414000005</v>
      </c>
      <c r="AB1883"/>
      <c r="AC1883"/>
    </row>
    <row r="1884" spans="16:29" x14ac:dyDescent="0.25">
      <c r="P1884" s="78">
        <v>0</v>
      </c>
      <c r="Q1884" s="79">
        <v>0</v>
      </c>
      <c r="R1884" s="77" t="s">
        <v>394</v>
      </c>
      <c r="S1884" s="77">
        <v>7414000005</v>
      </c>
      <c r="AB1884"/>
      <c r="AC1884"/>
    </row>
    <row r="1885" spans="16:29" x14ac:dyDescent="0.25">
      <c r="P1885" s="78">
        <v>0</v>
      </c>
      <c r="Q1885" s="79">
        <v>0</v>
      </c>
      <c r="R1885" s="77" t="s">
        <v>394</v>
      </c>
      <c r="S1885" s="77">
        <v>7414000005</v>
      </c>
      <c r="AB1885"/>
      <c r="AC1885"/>
    </row>
    <row r="1886" spans="16:29" x14ac:dyDescent="0.25">
      <c r="P1886" s="78">
        <v>668079</v>
      </c>
      <c r="Q1886" s="79">
        <v>2413756.7334989998</v>
      </c>
      <c r="R1886" s="77" t="s">
        <v>394</v>
      </c>
      <c r="S1886" s="77">
        <v>7414000005</v>
      </c>
      <c r="AB1886"/>
      <c r="AC1886"/>
    </row>
    <row r="1887" spans="16:29" x14ac:dyDescent="0.25">
      <c r="P1887" s="78">
        <v>3853660</v>
      </c>
      <c r="Q1887" s="79">
        <v>528132210.60523999</v>
      </c>
      <c r="R1887" s="77" t="s">
        <v>394</v>
      </c>
      <c r="S1887" s="77">
        <v>7414000005</v>
      </c>
      <c r="AB1887"/>
      <c r="AC1887"/>
    </row>
    <row r="1888" spans="16:29" x14ac:dyDescent="0.25">
      <c r="P1888" s="78">
        <v>11235729</v>
      </c>
      <c r="Q1888" s="79">
        <v>1539821985.9903059</v>
      </c>
      <c r="R1888" s="77" t="s">
        <v>394</v>
      </c>
      <c r="S1888" s="77">
        <v>7414000005</v>
      </c>
      <c r="AB1888"/>
      <c r="AC1888"/>
    </row>
    <row r="1889" spans="16:29" x14ac:dyDescent="0.25">
      <c r="P1889" s="78">
        <v>15500</v>
      </c>
      <c r="Q1889" s="79">
        <v>2613920</v>
      </c>
      <c r="R1889" s="77" t="s">
        <v>394</v>
      </c>
      <c r="S1889" s="77">
        <v>7414000005</v>
      </c>
      <c r="AB1889"/>
      <c r="AC1889"/>
    </row>
    <row r="1890" spans="16:29" x14ac:dyDescent="0.25">
      <c r="P1890" s="78">
        <v>80000</v>
      </c>
      <c r="Q1890" s="79">
        <v>998400</v>
      </c>
      <c r="R1890" s="77" t="s">
        <v>394</v>
      </c>
      <c r="S1890" s="77">
        <v>7414000005</v>
      </c>
      <c r="AB1890"/>
      <c r="AC1890"/>
    </row>
    <row r="1891" spans="16:29" x14ac:dyDescent="0.25">
      <c r="P1891" s="78">
        <v>33657</v>
      </c>
      <c r="Q1891" s="79">
        <v>399172.02</v>
      </c>
      <c r="R1891" s="77" t="s">
        <v>394</v>
      </c>
      <c r="S1891" s="77">
        <v>7414000005</v>
      </c>
      <c r="AB1891"/>
      <c r="AC1891"/>
    </row>
    <row r="1892" spans="16:29" x14ac:dyDescent="0.25">
      <c r="P1892" s="78">
        <v>30000</v>
      </c>
      <c r="Q1892" s="79">
        <v>2201100</v>
      </c>
      <c r="R1892" s="77" t="s">
        <v>394</v>
      </c>
      <c r="S1892" s="77">
        <v>7414000005</v>
      </c>
      <c r="AB1892"/>
      <c r="AC1892"/>
    </row>
    <row r="1893" spans="16:29" x14ac:dyDescent="0.25">
      <c r="P1893" s="78">
        <v>543000</v>
      </c>
      <c r="Q1893" s="79">
        <v>8210160</v>
      </c>
      <c r="R1893" s="77" t="s">
        <v>394</v>
      </c>
      <c r="S1893" s="77">
        <v>7414000005</v>
      </c>
      <c r="AB1893"/>
      <c r="AC1893"/>
    </row>
    <row r="1894" spans="16:29" x14ac:dyDescent="0.25">
      <c r="P1894" s="78">
        <v>8200</v>
      </c>
      <c r="Q1894" s="79">
        <v>4305738</v>
      </c>
      <c r="R1894" s="77" t="s">
        <v>394</v>
      </c>
      <c r="S1894" s="77">
        <v>7414000005</v>
      </c>
      <c r="AB1894"/>
      <c r="AC1894"/>
    </row>
    <row r="1895" spans="16:29" x14ac:dyDescent="0.25">
      <c r="P1895" s="78">
        <v>28700</v>
      </c>
      <c r="Q1895" s="79">
        <v>1958775</v>
      </c>
      <c r="R1895" s="77" t="s">
        <v>394</v>
      </c>
      <c r="S1895" s="77">
        <v>7414000005</v>
      </c>
      <c r="AB1895"/>
      <c r="AC1895"/>
    </row>
    <row r="1896" spans="16:29" x14ac:dyDescent="0.25">
      <c r="P1896" s="78">
        <v>620000</v>
      </c>
      <c r="Q1896" s="79">
        <v>8884600</v>
      </c>
      <c r="R1896" s="77" t="s">
        <v>394</v>
      </c>
      <c r="S1896" s="77">
        <v>7414000005</v>
      </c>
      <c r="AB1896"/>
      <c r="AC1896"/>
    </row>
    <row r="1897" spans="16:29" x14ac:dyDescent="0.25">
      <c r="P1897" s="78">
        <v>6300</v>
      </c>
      <c r="Q1897" s="79">
        <v>784287</v>
      </c>
      <c r="R1897" s="77" t="s">
        <v>394</v>
      </c>
      <c r="S1897" s="77">
        <v>7414000005</v>
      </c>
      <c r="AB1897"/>
      <c r="AC1897"/>
    </row>
    <row r="1898" spans="16:29" x14ac:dyDescent="0.25">
      <c r="P1898" s="78">
        <v>213000</v>
      </c>
      <c r="Q1898" s="79">
        <v>4283430</v>
      </c>
      <c r="R1898" s="77" t="s">
        <v>394</v>
      </c>
      <c r="S1898" s="77">
        <v>7414000005</v>
      </c>
      <c r="AB1898"/>
      <c r="AC1898"/>
    </row>
    <row r="1899" spans="16:29" x14ac:dyDescent="0.25">
      <c r="P1899" s="78">
        <v>29629</v>
      </c>
      <c r="Q1899" s="79">
        <v>1629595</v>
      </c>
      <c r="R1899" s="77" t="s">
        <v>394</v>
      </c>
      <c r="S1899" s="77">
        <v>7414000005</v>
      </c>
      <c r="AB1899"/>
      <c r="AC1899"/>
    </row>
    <row r="1900" spans="16:29" x14ac:dyDescent="0.25">
      <c r="P1900" s="78">
        <v>8140</v>
      </c>
      <c r="Q1900" s="79">
        <v>5497593.2000000002</v>
      </c>
      <c r="R1900" s="77" t="s">
        <v>394</v>
      </c>
      <c r="S1900" s="77">
        <v>7414000005</v>
      </c>
      <c r="AB1900"/>
      <c r="AC1900"/>
    </row>
    <row r="1901" spans="16:29" x14ac:dyDescent="0.25">
      <c r="P1901" s="78">
        <v>0</v>
      </c>
      <c r="Q1901" s="79">
        <v>44802929.479999997</v>
      </c>
      <c r="R1901" s="77" t="s">
        <v>394</v>
      </c>
      <c r="S1901" s="77">
        <v>7414000005</v>
      </c>
      <c r="AB1901"/>
      <c r="AC1901"/>
    </row>
    <row r="1902" spans="16:29" x14ac:dyDescent="0.25">
      <c r="P1902" s="78">
        <v>1930</v>
      </c>
      <c r="Q1902" s="79">
        <v>1352254.5</v>
      </c>
      <c r="R1902" s="77" t="s">
        <v>394</v>
      </c>
      <c r="S1902" s="77">
        <v>7414000005</v>
      </c>
      <c r="AB1902"/>
      <c r="AC1902"/>
    </row>
    <row r="1903" spans="16:29" x14ac:dyDescent="0.25">
      <c r="P1903" s="78">
        <v>2670</v>
      </c>
      <c r="Q1903" s="79">
        <v>3073170</v>
      </c>
      <c r="R1903" s="77" t="s">
        <v>394</v>
      </c>
      <c r="S1903" s="77">
        <v>7414000005</v>
      </c>
      <c r="AB1903"/>
      <c r="AC1903"/>
    </row>
    <row r="1904" spans="16:29" x14ac:dyDescent="0.25">
      <c r="P1904" s="78">
        <v>48800</v>
      </c>
      <c r="Q1904" s="79">
        <v>10141128</v>
      </c>
      <c r="R1904" s="77" t="s">
        <v>394</v>
      </c>
      <c r="S1904" s="77">
        <v>7414000005</v>
      </c>
      <c r="AB1904"/>
      <c r="AC1904"/>
    </row>
    <row r="1905" spans="16:29" x14ac:dyDescent="0.25">
      <c r="P1905" s="78">
        <v>2790</v>
      </c>
      <c r="Q1905" s="79">
        <v>2338299</v>
      </c>
      <c r="R1905" s="77" t="s">
        <v>394</v>
      </c>
      <c r="S1905" s="77">
        <v>7414000005</v>
      </c>
      <c r="AB1905"/>
      <c r="AC1905"/>
    </row>
    <row r="1906" spans="16:29" x14ac:dyDescent="0.25">
      <c r="P1906" s="78">
        <v>21901</v>
      </c>
      <c r="Q1906" s="79">
        <v>6420226.1570260003</v>
      </c>
      <c r="R1906" s="77" t="s">
        <v>394</v>
      </c>
      <c r="S1906" s="77">
        <v>7414000005</v>
      </c>
      <c r="AB1906"/>
      <c r="AC1906"/>
    </row>
    <row r="1907" spans="16:29" x14ac:dyDescent="0.25">
      <c r="P1907" s="78">
        <v>223079</v>
      </c>
      <c r="Q1907" s="79">
        <v>6893141.0999999996</v>
      </c>
      <c r="R1907" s="77" t="s">
        <v>394</v>
      </c>
      <c r="S1907" s="77">
        <v>7414000005</v>
      </c>
      <c r="AB1907"/>
      <c r="AC1907"/>
    </row>
    <row r="1908" spans="16:29" x14ac:dyDescent="0.25">
      <c r="P1908" s="78">
        <v>151410</v>
      </c>
      <c r="Q1908" s="79">
        <v>10421550.300000001</v>
      </c>
      <c r="R1908" s="77" t="s">
        <v>394</v>
      </c>
      <c r="S1908" s="77">
        <v>7414000005</v>
      </c>
      <c r="AB1908"/>
      <c r="AC1908"/>
    </row>
    <row r="1909" spans="16:29" x14ac:dyDescent="0.25">
      <c r="P1909" s="78">
        <v>2648</v>
      </c>
      <c r="Q1909" s="79">
        <v>2536784</v>
      </c>
      <c r="R1909" s="77" t="s">
        <v>394</v>
      </c>
      <c r="S1909" s="77">
        <v>7414000005</v>
      </c>
      <c r="AB1909"/>
      <c r="AC1909"/>
    </row>
    <row r="1910" spans="16:29" x14ac:dyDescent="0.25">
      <c r="P1910" s="78">
        <v>350000</v>
      </c>
      <c r="Q1910" s="79">
        <v>9306500</v>
      </c>
      <c r="R1910" s="77" t="s">
        <v>394</v>
      </c>
      <c r="S1910" s="77">
        <v>7414000005</v>
      </c>
      <c r="AB1910"/>
      <c r="AC1910"/>
    </row>
    <row r="1911" spans="16:29" x14ac:dyDescent="0.25">
      <c r="P1911" s="78">
        <v>126663</v>
      </c>
      <c r="Q1911" s="79">
        <v>3097794.2044139998</v>
      </c>
      <c r="R1911" s="77" t="s">
        <v>394</v>
      </c>
      <c r="S1911" s="77">
        <v>7414000005</v>
      </c>
      <c r="AB1911"/>
      <c r="AC1911"/>
    </row>
    <row r="1912" spans="16:29" x14ac:dyDescent="0.25">
      <c r="P1912" s="78">
        <v>3200</v>
      </c>
      <c r="Q1912" s="79">
        <v>870208</v>
      </c>
      <c r="R1912" s="77" t="s">
        <v>394</v>
      </c>
      <c r="S1912" s="77">
        <v>7414000005</v>
      </c>
      <c r="AB1912"/>
      <c r="AC1912"/>
    </row>
    <row r="1913" spans="16:29" x14ac:dyDescent="0.25">
      <c r="P1913" s="78">
        <v>15600</v>
      </c>
      <c r="Q1913" s="79">
        <v>3013140</v>
      </c>
      <c r="R1913" s="77" t="s">
        <v>394</v>
      </c>
      <c r="S1913" s="77">
        <v>7414000005</v>
      </c>
      <c r="AB1913"/>
      <c r="AC1913"/>
    </row>
    <row r="1914" spans="16:29" x14ac:dyDescent="0.25">
      <c r="P1914" s="78">
        <v>105000</v>
      </c>
      <c r="Q1914" s="79">
        <v>2847600</v>
      </c>
      <c r="R1914" s="77" t="s">
        <v>394</v>
      </c>
      <c r="S1914" s="77">
        <v>7414000005</v>
      </c>
      <c r="AB1914"/>
      <c r="AC1914"/>
    </row>
    <row r="1915" spans="16:29" x14ac:dyDescent="0.25">
      <c r="P1915" s="78">
        <v>79700</v>
      </c>
      <c r="Q1915" s="79">
        <v>14062268</v>
      </c>
      <c r="R1915" s="77" t="s">
        <v>394</v>
      </c>
      <c r="S1915" s="77">
        <v>7414000005</v>
      </c>
      <c r="AB1915"/>
      <c r="AC1915"/>
    </row>
    <row r="1916" spans="16:29" x14ac:dyDescent="0.25">
      <c r="P1916" s="78">
        <v>90000</v>
      </c>
      <c r="Q1916" s="79">
        <v>9370800</v>
      </c>
      <c r="R1916" s="77" t="s">
        <v>394</v>
      </c>
      <c r="S1916" s="77">
        <v>7414000005</v>
      </c>
      <c r="AB1916"/>
      <c r="AC1916"/>
    </row>
    <row r="1917" spans="16:29" x14ac:dyDescent="0.25">
      <c r="P1917" s="78">
        <v>3631</v>
      </c>
      <c r="Q1917" s="79">
        <v>312981.77176799998</v>
      </c>
      <c r="R1917" s="77" t="s">
        <v>394</v>
      </c>
      <c r="S1917" s="77">
        <v>7414000005</v>
      </c>
      <c r="AB1917"/>
      <c r="AC1917"/>
    </row>
    <row r="1918" spans="16:29" x14ac:dyDescent="0.25">
      <c r="P1918" s="78">
        <v>1043412</v>
      </c>
      <c r="Q1918" s="79">
        <v>90223161.595847994</v>
      </c>
      <c r="R1918" s="77" t="s">
        <v>394</v>
      </c>
      <c r="S1918" s="77">
        <v>7414000005</v>
      </c>
      <c r="AB1918"/>
      <c r="AC1918"/>
    </row>
    <row r="1919" spans="16:29" x14ac:dyDescent="0.25">
      <c r="P1919" s="78">
        <v>604560</v>
      </c>
      <c r="Q1919" s="79">
        <v>61333196.004960001</v>
      </c>
      <c r="R1919" s="77" t="s">
        <v>394</v>
      </c>
      <c r="S1919" s="77">
        <v>7414000005</v>
      </c>
      <c r="AB1919"/>
      <c r="AC1919"/>
    </row>
    <row r="1920" spans="16:29" x14ac:dyDescent="0.25">
      <c r="P1920" s="78">
        <v>1454000</v>
      </c>
      <c r="Q1920" s="79">
        <v>130341172.088</v>
      </c>
      <c r="R1920" s="77" t="s">
        <v>394</v>
      </c>
      <c r="S1920" s="77">
        <v>7414000005</v>
      </c>
      <c r="AB1920"/>
      <c r="AC1920"/>
    </row>
    <row r="1921" spans="16:29" x14ac:dyDescent="0.25">
      <c r="P1921" s="78">
        <v>2471689</v>
      </c>
      <c r="Q1921" s="79">
        <v>202033041.13453999</v>
      </c>
      <c r="R1921" s="77" t="s">
        <v>394</v>
      </c>
      <c r="S1921" s="77">
        <v>7414000005</v>
      </c>
      <c r="AB1921"/>
      <c r="AC1921"/>
    </row>
    <row r="1922" spans="16:29" x14ac:dyDescent="0.25">
      <c r="P1922" s="78">
        <v>150000</v>
      </c>
      <c r="Q1922" s="79">
        <v>12323986.050000001</v>
      </c>
      <c r="R1922" s="77" t="s">
        <v>394</v>
      </c>
      <c r="S1922" s="77">
        <v>7414000005</v>
      </c>
      <c r="AB1922"/>
      <c r="AC1922"/>
    </row>
    <row r="1923" spans="16:29" x14ac:dyDescent="0.25">
      <c r="P1923" s="78">
        <v>10700</v>
      </c>
      <c r="Q1923" s="79">
        <v>3364294</v>
      </c>
      <c r="R1923" s="77" t="s">
        <v>394</v>
      </c>
      <c r="S1923" s="77">
        <v>7414000005</v>
      </c>
      <c r="AB1923"/>
      <c r="AC1923"/>
    </row>
    <row r="1924" spans="16:29" x14ac:dyDescent="0.25">
      <c r="P1924" s="78">
        <v>24998</v>
      </c>
      <c r="Q1924" s="79">
        <v>1096162.3</v>
      </c>
      <c r="R1924" s="77" t="s">
        <v>394</v>
      </c>
      <c r="S1924" s="77">
        <v>7414000005</v>
      </c>
      <c r="AB1924"/>
      <c r="AC1924"/>
    </row>
    <row r="1925" spans="16:29" x14ac:dyDescent="0.25">
      <c r="P1925" s="78">
        <v>1486193</v>
      </c>
      <c r="Q1925" s="79">
        <v>148619300</v>
      </c>
      <c r="R1925" s="77" t="s">
        <v>394</v>
      </c>
      <c r="S1925" s="77">
        <v>7414000005</v>
      </c>
      <c r="AB1925"/>
      <c r="AC1925"/>
    </row>
    <row r="1926" spans="16:29" x14ac:dyDescent="0.25">
      <c r="P1926" s="78">
        <v>0</v>
      </c>
      <c r="Q1926" s="79">
        <v>0</v>
      </c>
      <c r="R1926" s="77" t="s">
        <v>394</v>
      </c>
      <c r="S1926" s="77">
        <v>7414000005</v>
      </c>
      <c r="AB1926"/>
      <c r="AC1926"/>
    </row>
    <row r="1927" spans="16:29" x14ac:dyDescent="0.25">
      <c r="P1927" s="78">
        <v>0</v>
      </c>
      <c r="Q1927" s="79">
        <v>0</v>
      </c>
      <c r="R1927" s="77" t="s">
        <v>394</v>
      </c>
      <c r="S1927" s="77">
        <v>7414000005</v>
      </c>
      <c r="AB1927"/>
      <c r="AC1927"/>
    </row>
    <row r="1928" spans="16:29" x14ac:dyDescent="0.25">
      <c r="P1928" s="78">
        <v>2560</v>
      </c>
      <c r="Q1928" s="79">
        <v>21843200</v>
      </c>
      <c r="R1928" s="77" t="s">
        <v>394</v>
      </c>
      <c r="S1928" s="77">
        <v>7414000005</v>
      </c>
      <c r="AB1928"/>
      <c r="AC1928"/>
    </row>
    <row r="1929" spans="16:29" x14ac:dyDescent="0.25">
      <c r="P1929" s="78">
        <v>6700</v>
      </c>
      <c r="Q1929" s="79">
        <v>1062821</v>
      </c>
      <c r="R1929" s="77" t="s">
        <v>394</v>
      </c>
      <c r="S1929" s="77">
        <v>7414000005</v>
      </c>
      <c r="AB1929"/>
      <c r="AC1929"/>
    </row>
    <row r="1930" spans="16:29" x14ac:dyDescent="0.25">
      <c r="P1930" s="78">
        <v>37000</v>
      </c>
      <c r="Q1930" s="79">
        <v>1342360</v>
      </c>
      <c r="R1930" s="77" t="s">
        <v>394</v>
      </c>
      <c r="S1930" s="77">
        <v>7414000005</v>
      </c>
      <c r="AB1930"/>
      <c r="AC1930"/>
    </row>
    <row r="1931" spans="16:29" x14ac:dyDescent="0.25">
      <c r="P1931" s="78">
        <v>178000</v>
      </c>
      <c r="Q1931" s="79">
        <v>950520</v>
      </c>
      <c r="R1931" s="77" t="s">
        <v>394</v>
      </c>
      <c r="S1931" s="77">
        <v>7414000005</v>
      </c>
      <c r="AB1931"/>
      <c r="AC1931"/>
    </row>
    <row r="1932" spans="16:29" x14ac:dyDescent="0.25">
      <c r="P1932" s="78">
        <v>2000</v>
      </c>
      <c r="Q1932" s="79">
        <v>272700</v>
      </c>
      <c r="R1932" s="77" t="s">
        <v>394</v>
      </c>
      <c r="S1932" s="77">
        <v>7414000005</v>
      </c>
      <c r="AB1932"/>
      <c r="AC1932"/>
    </row>
    <row r="1933" spans="16:29" x14ac:dyDescent="0.25">
      <c r="P1933" s="78">
        <v>11100</v>
      </c>
      <c r="Q1933" s="79">
        <v>1731600</v>
      </c>
      <c r="R1933" s="77" t="s">
        <v>394</v>
      </c>
      <c r="S1933" s="77">
        <v>7414000005</v>
      </c>
      <c r="AB1933"/>
      <c r="AC1933"/>
    </row>
    <row r="1934" spans="16:29" x14ac:dyDescent="0.25">
      <c r="P1934" s="78">
        <v>1749360</v>
      </c>
      <c r="Q1934" s="79">
        <v>513909487.19999999</v>
      </c>
      <c r="R1934" s="77" t="s">
        <v>394</v>
      </c>
      <c r="S1934" s="77">
        <v>7414000005</v>
      </c>
      <c r="AB1934"/>
      <c r="AC1934"/>
    </row>
    <row r="1935" spans="16:29" x14ac:dyDescent="0.25">
      <c r="P1935" s="78">
        <v>12480</v>
      </c>
      <c r="Q1935" s="79">
        <v>8518224</v>
      </c>
      <c r="R1935" s="77" t="s">
        <v>394</v>
      </c>
      <c r="S1935" s="77">
        <v>7414000005</v>
      </c>
      <c r="AB1935"/>
      <c r="AC1935"/>
    </row>
    <row r="1936" spans="16:29" x14ac:dyDescent="0.25">
      <c r="P1936" s="78">
        <v>530</v>
      </c>
      <c r="Q1936" s="79">
        <v>4547135</v>
      </c>
      <c r="R1936" s="77" t="s">
        <v>394</v>
      </c>
      <c r="S1936" s="77">
        <v>7414000005</v>
      </c>
      <c r="AB1936"/>
      <c r="AC1936"/>
    </row>
    <row r="1937" spans="16:29" x14ac:dyDescent="0.25">
      <c r="P1937" s="78">
        <v>222000</v>
      </c>
      <c r="Q1937" s="79">
        <v>9390600</v>
      </c>
      <c r="R1937" s="77" t="s">
        <v>394</v>
      </c>
      <c r="S1937" s="77">
        <v>7414000005</v>
      </c>
      <c r="AB1937"/>
      <c r="AC1937"/>
    </row>
    <row r="1938" spans="16:29" x14ac:dyDescent="0.25">
      <c r="P1938" s="78">
        <v>37784</v>
      </c>
      <c r="Q1938" s="79">
        <v>12167203.944488</v>
      </c>
      <c r="R1938" s="77" t="s">
        <v>394</v>
      </c>
      <c r="S1938" s="77">
        <v>7414000005</v>
      </c>
      <c r="AB1938"/>
      <c r="AC1938"/>
    </row>
    <row r="1939" spans="16:29" x14ac:dyDescent="0.25">
      <c r="P1939" s="78">
        <v>31420</v>
      </c>
      <c r="Q1939" s="79">
        <v>8045094.6133000003</v>
      </c>
      <c r="R1939" s="77" t="s">
        <v>394</v>
      </c>
      <c r="S1939" s="77">
        <v>7414000005</v>
      </c>
      <c r="AB1939"/>
      <c r="AC1939"/>
    </row>
    <row r="1940" spans="16:29" x14ac:dyDescent="0.25">
      <c r="P1940" s="78">
        <v>36517</v>
      </c>
      <c r="Q1940" s="79">
        <v>9752811.8818779998</v>
      </c>
      <c r="R1940" s="77" t="s">
        <v>394</v>
      </c>
      <c r="S1940" s="77">
        <v>7414000005</v>
      </c>
      <c r="AB1940"/>
      <c r="AC1940"/>
    </row>
    <row r="1941" spans="16:29" x14ac:dyDescent="0.25">
      <c r="P1941" s="78">
        <v>72000</v>
      </c>
      <c r="Q1941" s="79">
        <v>2261520</v>
      </c>
      <c r="R1941" s="77" t="s">
        <v>394</v>
      </c>
      <c r="S1941" s="77">
        <v>7414000005</v>
      </c>
      <c r="AB1941"/>
      <c r="AC1941"/>
    </row>
    <row r="1942" spans="16:29" x14ac:dyDescent="0.25">
      <c r="P1942" s="78">
        <v>43483</v>
      </c>
      <c r="Q1942" s="79">
        <v>33304668.204489</v>
      </c>
      <c r="R1942" s="77" t="s">
        <v>394</v>
      </c>
      <c r="S1942" s="77">
        <v>7414000005</v>
      </c>
      <c r="AB1942"/>
      <c r="AC1942"/>
    </row>
    <row r="1943" spans="16:29" x14ac:dyDescent="0.25">
      <c r="P1943" s="78">
        <v>95054</v>
      </c>
      <c r="Q1943" s="79">
        <v>65101454.024531998</v>
      </c>
      <c r="R1943" s="77" t="s">
        <v>394</v>
      </c>
      <c r="S1943" s="77">
        <v>7414000005</v>
      </c>
      <c r="AB1943"/>
      <c r="AC1943"/>
    </row>
    <row r="1944" spans="16:29" x14ac:dyDescent="0.25">
      <c r="P1944" s="78">
        <v>65179</v>
      </c>
      <c r="Q1944" s="79">
        <v>50378606.651735</v>
      </c>
      <c r="R1944" s="77" t="s">
        <v>394</v>
      </c>
      <c r="S1944" s="77">
        <v>7414000005</v>
      </c>
      <c r="AB1944"/>
      <c r="AC1944"/>
    </row>
    <row r="1945" spans="16:29" x14ac:dyDescent="0.25">
      <c r="P1945" s="78">
        <v>50524</v>
      </c>
      <c r="Q1945" s="79">
        <v>36457847.591360003</v>
      </c>
      <c r="R1945" s="77" t="s">
        <v>394</v>
      </c>
      <c r="S1945" s="77">
        <v>7414000005</v>
      </c>
      <c r="AB1945"/>
      <c r="AC1945"/>
    </row>
    <row r="1946" spans="16:29" x14ac:dyDescent="0.25">
      <c r="P1946" s="78">
        <v>4491</v>
      </c>
      <c r="Q1946" s="79">
        <v>2856110.3674289999</v>
      </c>
      <c r="R1946" s="77" t="s">
        <v>394</v>
      </c>
      <c r="S1946" s="77">
        <v>7414000005</v>
      </c>
      <c r="AB1946"/>
      <c r="AC1946"/>
    </row>
    <row r="1947" spans="16:29" x14ac:dyDescent="0.25">
      <c r="P1947" s="78">
        <v>62831</v>
      </c>
      <c r="Q1947" s="79">
        <v>44570410.196771003</v>
      </c>
      <c r="R1947" s="77" t="s">
        <v>394</v>
      </c>
      <c r="S1947" s="77">
        <v>7414000005</v>
      </c>
      <c r="AB1947"/>
      <c r="AC1947"/>
    </row>
    <row r="1948" spans="16:29" x14ac:dyDescent="0.25">
      <c r="P1948" s="78">
        <v>83974</v>
      </c>
      <c r="Q1948" s="79">
        <v>58312485.017137997</v>
      </c>
      <c r="R1948" s="77" t="s">
        <v>394</v>
      </c>
      <c r="S1948" s="77">
        <v>7414000005</v>
      </c>
      <c r="AB1948"/>
      <c r="AC1948"/>
    </row>
    <row r="1949" spans="16:29" x14ac:dyDescent="0.25">
      <c r="P1949" s="78">
        <v>65000</v>
      </c>
      <c r="Q1949" s="79">
        <v>3813550</v>
      </c>
      <c r="R1949" s="77" t="s">
        <v>394</v>
      </c>
      <c r="S1949" s="77">
        <v>7414000005</v>
      </c>
      <c r="AB1949"/>
      <c r="AC1949"/>
    </row>
    <row r="1950" spans="16:29" x14ac:dyDescent="0.25">
      <c r="P1950" s="78">
        <v>5130</v>
      </c>
      <c r="Q1950" s="79">
        <v>5591700</v>
      </c>
      <c r="R1950" s="77" t="s">
        <v>394</v>
      </c>
      <c r="S1950" s="77">
        <v>7414000005</v>
      </c>
      <c r="AB1950"/>
      <c r="AC1950"/>
    </row>
    <row r="1951" spans="16:29" x14ac:dyDescent="0.25">
      <c r="P1951" s="78">
        <v>4000</v>
      </c>
      <c r="Q1951" s="79">
        <v>4.0000000000000001E-3</v>
      </c>
      <c r="R1951" s="77" t="s">
        <v>394</v>
      </c>
      <c r="S1951" s="77">
        <v>7414000005</v>
      </c>
      <c r="AB1951"/>
      <c r="AC1951"/>
    </row>
    <row r="1952" spans="16:29" x14ac:dyDescent="0.25">
      <c r="P1952" s="78">
        <v>80000</v>
      </c>
      <c r="Q1952" s="79">
        <v>967200</v>
      </c>
      <c r="R1952" s="77" t="s">
        <v>394</v>
      </c>
      <c r="S1952" s="77">
        <v>7414000005</v>
      </c>
      <c r="AB1952"/>
      <c r="AC1952"/>
    </row>
    <row r="1953" spans="16:29" x14ac:dyDescent="0.25">
      <c r="P1953" s="78">
        <v>144000</v>
      </c>
      <c r="Q1953" s="79">
        <v>9397440</v>
      </c>
      <c r="R1953" s="77" t="s">
        <v>394</v>
      </c>
      <c r="S1953" s="77">
        <v>7414000005</v>
      </c>
      <c r="AB1953"/>
      <c r="AC1953"/>
    </row>
    <row r="1954" spans="16:29" x14ac:dyDescent="0.25">
      <c r="P1954" s="78">
        <v>0</v>
      </c>
      <c r="Q1954" s="79">
        <v>0</v>
      </c>
      <c r="R1954" s="77" t="s">
        <v>394</v>
      </c>
      <c r="S1954" s="77">
        <v>7414000005</v>
      </c>
      <c r="AB1954"/>
      <c r="AC1954"/>
    </row>
    <row r="1955" spans="16:29" x14ac:dyDescent="0.25">
      <c r="P1955" s="78">
        <v>0</v>
      </c>
      <c r="Q1955" s="79">
        <v>0</v>
      </c>
      <c r="R1955" s="77" t="s">
        <v>394</v>
      </c>
      <c r="S1955" s="77">
        <v>7414000005</v>
      </c>
      <c r="AB1955"/>
      <c r="AC1955"/>
    </row>
    <row r="1956" spans="16:29" x14ac:dyDescent="0.25">
      <c r="P1956" s="78">
        <v>0</v>
      </c>
      <c r="Q1956" s="79">
        <v>0</v>
      </c>
      <c r="R1956" s="77" t="s">
        <v>394</v>
      </c>
      <c r="S1956" s="77">
        <v>7414000005</v>
      </c>
      <c r="AB1956"/>
      <c r="AC1956"/>
    </row>
    <row r="1957" spans="16:29" x14ac:dyDescent="0.25">
      <c r="P1957" s="78">
        <v>0</v>
      </c>
      <c r="Q1957" s="79">
        <v>0</v>
      </c>
      <c r="R1957" s="77" t="s">
        <v>394</v>
      </c>
      <c r="S1957" s="77">
        <v>7414000005</v>
      </c>
      <c r="AB1957"/>
      <c r="AC1957"/>
    </row>
    <row r="1958" spans="16:29" x14ac:dyDescent="0.25">
      <c r="P1958" s="78">
        <v>0</v>
      </c>
      <c r="Q1958" s="79">
        <v>0</v>
      </c>
      <c r="R1958" s="77" t="s">
        <v>394</v>
      </c>
      <c r="S1958" s="77">
        <v>7414000005</v>
      </c>
      <c r="AB1958"/>
      <c r="AC1958"/>
    </row>
    <row r="1959" spans="16:29" x14ac:dyDescent="0.25">
      <c r="P1959" s="78">
        <v>0</v>
      </c>
      <c r="Q1959" s="79">
        <v>0</v>
      </c>
      <c r="R1959" s="77" t="s">
        <v>394</v>
      </c>
      <c r="S1959" s="77">
        <v>7414000005</v>
      </c>
      <c r="AB1959"/>
      <c r="AC1959"/>
    </row>
    <row r="1960" spans="16:29" x14ac:dyDescent="0.25">
      <c r="P1960" s="78">
        <v>0</v>
      </c>
      <c r="Q1960" s="79">
        <v>0</v>
      </c>
      <c r="R1960" s="77" t="s">
        <v>394</v>
      </c>
      <c r="S1960" s="77">
        <v>7414000005</v>
      </c>
      <c r="AB1960"/>
      <c r="AC1960"/>
    </row>
    <row r="1961" spans="16:29" x14ac:dyDescent="0.25">
      <c r="P1961" s="78">
        <v>0</v>
      </c>
      <c r="Q1961" s="79">
        <v>0</v>
      </c>
      <c r="R1961" s="77" t="s">
        <v>394</v>
      </c>
      <c r="S1961" s="77">
        <v>7414000005</v>
      </c>
      <c r="AB1961"/>
      <c r="AC1961"/>
    </row>
    <row r="1962" spans="16:29" x14ac:dyDescent="0.25">
      <c r="P1962" s="78">
        <v>0</v>
      </c>
      <c r="Q1962" s="79">
        <v>0</v>
      </c>
      <c r="R1962" s="77" t="s">
        <v>394</v>
      </c>
      <c r="S1962" s="77">
        <v>7414000005</v>
      </c>
      <c r="AB1962"/>
      <c r="AC1962"/>
    </row>
    <row r="1963" spans="16:29" x14ac:dyDescent="0.25">
      <c r="P1963" s="78">
        <v>0</v>
      </c>
      <c r="Q1963" s="79">
        <v>0</v>
      </c>
      <c r="R1963" s="77" t="s">
        <v>394</v>
      </c>
      <c r="S1963" s="77">
        <v>7414000005</v>
      </c>
      <c r="AB1963"/>
      <c r="AC1963"/>
    </row>
    <row r="1964" spans="16:29" x14ac:dyDescent="0.25">
      <c r="P1964" s="78">
        <v>0</v>
      </c>
      <c r="Q1964" s="79">
        <v>0</v>
      </c>
      <c r="R1964" s="77" t="s">
        <v>394</v>
      </c>
      <c r="S1964" s="77">
        <v>7414000005</v>
      </c>
      <c r="AB1964"/>
      <c r="AC1964"/>
    </row>
    <row r="1965" spans="16:29" x14ac:dyDescent="0.25">
      <c r="P1965" s="78">
        <v>0</v>
      </c>
      <c r="Q1965" s="79">
        <v>0</v>
      </c>
      <c r="R1965" s="77" t="s">
        <v>394</v>
      </c>
      <c r="S1965" s="77">
        <v>7414000005</v>
      </c>
      <c r="AB1965"/>
      <c r="AC1965"/>
    </row>
    <row r="1966" spans="16:29" x14ac:dyDescent="0.25">
      <c r="P1966" s="78">
        <v>0</v>
      </c>
      <c r="Q1966" s="79">
        <v>0</v>
      </c>
      <c r="R1966" s="77" t="s">
        <v>394</v>
      </c>
      <c r="S1966" s="77">
        <v>7414000005</v>
      </c>
      <c r="AB1966"/>
      <c r="AC1966"/>
    </row>
    <row r="1967" spans="16:29" x14ac:dyDescent="0.25">
      <c r="P1967" s="78">
        <v>0</v>
      </c>
      <c r="Q1967" s="79">
        <v>0</v>
      </c>
      <c r="R1967" s="77" t="s">
        <v>394</v>
      </c>
      <c r="S1967" s="77">
        <v>7414000005</v>
      </c>
      <c r="AB1967"/>
      <c r="AC1967"/>
    </row>
    <row r="1968" spans="16:29" x14ac:dyDescent="0.25">
      <c r="P1968" s="78">
        <v>0</v>
      </c>
      <c r="Q1968" s="79">
        <v>0</v>
      </c>
      <c r="R1968" s="77" t="s">
        <v>394</v>
      </c>
      <c r="S1968" s="77">
        <v>7414000005</v>
      </c>
      <c r="AB1968"/>
      <c r="AC1968"/>
    </row>
    <row r="1969" spans="16:29" x14ac:dyDescent="0.25">
      <c r="P1969" s="78">
        <v>0</v>
      </c>
      <c r="Q1969" s="79">
        <v>0</v>
      </c>
      <c r="R1969" s="77" t="s">
        <v>394</v>
      </c>
      <c r="S1969" s="77">
        <v>7414000005</v>
      </c>
      <c r="AB1969"/>
      <c r="AC1969"/>
    </row>
    <row r="1970" spans="16:29" x14ac:dyDescent="0.25">
      <c r="P1970" s="78">
        <v>8910</v>
      </c>
      <c r="Q1970" s="79">
        <v>879687.40959000005</v>
      </c>
      <c r="R1970" s="77" t="s">
        <v>394</v>
      </c>
      <c r="S1970" s="77">
        <v>7414000005</v>
      </c>
      <c r="AB1970"/>
      <c r="AC1970"/>
    </row>
    <row r="1971" spans="16:29" x14ac:dyDescent="0.25">
      <c r="P1971" s="78">
        <v>13346</v>
      </c>
      <c r="Q1971" s="79">
        <v>1324557.108308</v>
      </c>
      <c r="R1971" s="77" t="s">
        <v>394</v>
      </c>
      <c r="S1971" s="77">
        <v>7414000005</v>
      </c>
      <c r="AB1971"/>
      <c r="AC1971"/>
    </row>
    <row r="1972" spans="16:29" x14ac:dyDescent="0.25">
      <c r="P1972" s="78">
        <v>4700</v>
      </c>
      <c r="Q1972" s="79">
        <v>446373.79090000002</v>
      </c>
      <c r="R1972" s="77" t="s">
        <v>394</v>
      </c>
      <c r="S1972" s="77">
        <v>7414000005</v>
      </c>
      <c r="AB1972"/>
      <c r="AC1972"/>
    </row>
    <row r="1973" spans="16:29" x14ac:dyDescent="0.25">
      <c r="P1973" s="78">
        <v>4675</v>
      </c>
      <c r="Q1973" s="79">
        <v>429687.76317499997</v>
      </c>
      <c r="R1973" s="77" t="s">
        <v>394</v>
      </c>
      <c r="S1973" s="77">
        <v>7414000005</v>
      </c>
      <c r="AB1973"/>
      <c r="AC1973"/>
    </row>
    <row r="1974" spans="16:29" x14ac:dyDescent="0.25">
      <c r="P1974" s="78">
        <v>20034</v>
      </c>
      <c r="Q1974" s="79">
        <v>1776978.196182</v>
      </c>
      <c r="R1974" s="77" t="s">
        <v>394</v>
      </c>
      <c r="S1974" s="77">
        <v>7414000005</v>
      </c>
      <c r="AB1974"/>
      <c r="AC1974"/>
    </row>
    <row r="1975" spans="16:29" x14ac:dyDescent="0.25">
      <c r="P1975" s="78">
        <v>27662</v>
      </c>
      <c r="Q1975" s="79">
        <v>2581257.1791039999</v>
      </c>
      <c r="R1975" s="77" t="s">
        <v>394</v>
      </c>
      <c r="S1975" s="77">
        <v>7414000005</v>
      </c>
      <c r="AB1975"/>
      <c r="AC1975"/>
    </row>
    <row r="1976" spans="16:29" x14ac:dyDescent="0.25">
      <c r="P1976" s="78">
        <v>27986</v>
      </c>
      <c r="Q1976" s="79">
        <v>2655036.213802</v>
      </c>
      <c r="R1976" s="77" t="s">
        <v>394</v>
      </c>
      <c r="S1976" s="77">
        <v>7414000005</v>
      </c>
      <c r="AB1976"/>
      <c r="AC1976"/>
    </row>
    <row r="1977" spans="16:29" x14ac:dyDescent="0.25">
      <c r="P1977" s="78">
        <v>24133</v>
      </c>
      <c r="Q1977" s="79">
        <v>2159649.2588450001</v>
      </c>
      <c r="R1977" s="77" t="s">
        <v>394</v>
      </c>
      <c r="S1977" s="77">
        <v>7414000005</v>
      </c>
      <c r="AB1977"/>
      <c r="AC1977"/>
    </row>
    <row r="1978" spans="16:29" x14ac:dyDescent="0.25">
      <c r="P1978" s="78">
        <v>32013</v>
      </c>
      <c r="Q1978" s="79">
        <v>2759428.6586640002</v>
      </c>
      <c r="R1978" s="77" t="s">
        <v>394</v>
      </c>
      <c r="S1978" s="77">
        <v>7414000005</v>
      </c>
      <c r="AB1978"/>
      <c r="AC1978"/>
    </row>
    <row r="1979" spans="16:29" x14ac:dyDescent="0.25">
      <c r="P1979" s="78">
        <v>19806</v>
      </c>
      <c r="Q1979" s="79">
        <v>1712612.025324</v>
      </c>
      <c r="R1979" s="77" t="s">
        <v>394</v>
      </c>
      <c r="S1979" s="77">
        <v>7414000005</v>
      </c>
      <c r="AB1979"/>
      <c r="AC1979"/>
    </row>
    <row r="1980" spans="16:29" x14ac:dyDescent="0.25">
      <c r="P1980" s="78">
        <v>1346</v>
      </c>
      <c r="Q1980" s="79">
        <v>136553.00023599999</v>
      </c>
      <c r="R1980" s="77" t="s">
        <v>394</v>
      </c>
      <c r="S1980" s="77">
        <v>7414000005</v>
      </c>
      <c r="AB1980"/>
      <c r="AC1980"/>
    </row>
    <row r="1981" spans="16:29" x14ac:dyDescent="0.25">
      <c r="P1981" s="78">
        <v>2349</v>
      </c>
      <c r="Q1981" s="79">
        <v>210571.811028</v>
      </c>
      <c r="R1981" s="77" t="s">
        <v>394</v>
      </c>
      <c r="S1981" s="77">
        <v>7414000005</v>
      </c>
      <c r="AB1981"/>
      <c r="AC1981"/>
    </row>
    <row r="1982" spans="16:29" x14ac:dyDescent="0.25">
      <c r="P1982" s="78">
        <v>35416</v>
      </c>
      <c r="Q1982" s="79">
        <v>2894863.4657600001</v>
      </c>
      <c r="R1982" s="77" t="s">
        <v>394</v>
      </c>
      <c r="S1982" s="77">
        <v>7414000005</v>
      </c>
      <c r="AB1982"/>
      <c r="AC1982"/>
    </row>
    <row r="1983" spans="16:29" x14ac:dyDescent="0.25">
      <c r="P1983" s="78">
        <v>4925</v>
      </c>
      <c r="Q1983" s="79">
        <v>409763.74792499997</v>
      </c>
      <c r="R1983" s="77" t="s">
        <v>394</v>
      </c>
      <c r="S1983" s="77">
        <v>7414000005</v>
      </c>
      <c r="AB1983"/>
      <c r="AC1983"/>
    </row>
    <row r="1984" spans="16:29" x14ac:dyDescent="0.25">
      <c r="P1984" s="78">
        <v>15299</v>
      </c>
      <c r="Q1984" s="79">
        <v>1256964.417193</v>
      </c>
      <c r="R1984" s="77" t="s">
        <v>394</v>
      </c>
      <c r="S1984" s="77">
        <v>7414000005</v>
      </c>
      <c r="AB1984"/>
      <c r="AC1984"/>
    </row>
    <row r="1985" spans="16:29" x14ac:dyDescent="0.25">
      <c r="P1985" s="78">
        <v>39</v>
      </c>
      <c r="Q1985" s="79">
        <v>3822.3055260000001</v>
      </c>
      <c r="R1985" s="77" t="s">
        <v>394</v>
      </c>
      <c r="S1985" s="77">
        <v>7414000005</v>
      </c>
      <c r="AB1985"/>
      <c r="AC1985"/>
    </row>
    <row r="1986" spans="16:29" x14ac:dyDescent="0.25">
      <c r="P1986" s="78">
        <v>183266</v>
      </c>
      <c r="Q1986" s="79">
        <v>622512.81735200004</v>
      </c>
      <c r="R1986" s="77" t="s">
        <v>394</v>
      </c>
      <c r="S1986" s="77">
        <v>7414000005</v>
      </c>
      <c r="AB1986"/>
      <c r="AC1986"/>
    </row>
    <row r="1987" spans="16:29" x14ac:dyDescent="0.25">
      <c r="P1987" s="78">
        <v>355</v>
      </c>
      <c r="Q1987" s="79">
        <v>275370.58438499999</v>
      </c>
      <c r="R1987" s="77" t="s">
        <v>394</v>
      </c>
      <c r="S1987" s="77">
        <v>7414000005</v>
      </c>
      <c r="AB1987"/>
      <c r="AC1987"/>
    </row>
    <row r="1988" spans="16:29" x14ac:dyDescent="0.25">
      <c r="P1988" s="78">
        <v>2720</v>
      </c>
      <c r="Q1988" s="79">
        <v>2032325.33504</v>
      </c>
      <c r="R1988" s="77" t="s">
        <v>394</v>
      </c>
      <c r="S1988" s="77">
        <v>7414000005</v>
      </c>
      <c r="AB1988"/>
      <c r="AC1988"/>
    </row>
    <row r="1989" spans="16:29" x14ac:dyDescent="0.25">
      <c r="P1989" s="78">
        <v>2426</v>
      </c>
      <c r="Q1989" s="79">
        <v>1858131.3401579999</v>
      </c>
      <c r="R1989" s="77" t="s">
        <v>394</v>
      </c>
      <c r="S1989" s="77">
        <v>7414000005</v>
      </c>
      <c r="AB1989"/>
      <c r="AC1989"/>
    </row>
    <row r="1990" spans="16:29" x14ac:dyDescent="0.25">
      <c r="P1990" s="78">
        <v>5019</v>
      </c>
      <c r="Q1990" s="79">
        <v>3437458.6840019999</v>
      </c>
      <c r="R1990" s="77" t="s">
        <v>394</v>
      </c>
      <c r="S1990" s="77">
        <v>7414000005</v>
      </c>
      <c r="AB1990"/>
      <c r="AC1990"/>
    </row>
    <row r="1991" spans="16:29" x14ac:dyDescent="0.25">
      <c r="P1991" s="78">
        <v>2824</v>
      </c>
      <c r="Q1991" s="79">
        <v>2182745.7491600001</v>
      </c>
      <c r="R1991" s="77" t="s">
        <v>394</v>
      </c>
      <c r="S1991" s="77">
        <v>7414000005</v>
      </c>
      <c r="AB1991"/>
      <c r="AC1991"/>
    </row>
    <row r="1992" spans="16:29" x14ac:dyDescent="0.25">
      <c r="P1992" s="78">
        <v>3330</v>
      </c>
      <c r="Q1992" s="79">
        <v>2402910.1512000002</v>
      </c>
      <c r="R1992" s="77" t="s">
        <v>394</v>
      </c>
      <c r="S1992" s="77">
        <v>7414000005</v>
      </c>
      <c r="AB1992"/>
      <c r="AC1992"/>
    </row>
    <row r="1993" spans="16:29" x14ac:dyDescent="0.25">
      <c r="P1993" s="78">
        <v>1182</v>
      </c>
      <c r="Q1993" s="79">
        <v>751708.40665799996</v>
      </c>
      <c r="R1993" s="77" t="s">
        <v>394</v>
      </c>
      <c r="S1993" s="77">
        <v>7414000005</v>
      </c>
      <c r="AB1993"/>
      <c r="AC1993"/>
    </row>
    <row r="1994" spans="16:29" x14ac:dyDescent="0.25">
      <c r="P1994" s="78">
        <v>1011</v>
      </c>
      <c r="Q1994" s="79">
        <v>717172.80815099995</v>
      </c>
      <c r="R1994" s="77" t="s">
        <v>394</v>
      </c>
      <c r="S1994" s="77">
        <v>7414000005</v>
      </c>
      <c r="AB1994"/>
      <c r="AC1994"/>
    </row>
    <row r="1995" spans="16:29" x14ac:dyDescent="0.25">
      <c r="P1995" s="78">
        <v>5255</v>
      </c>
      <c r="Q1995" s="79">
        <v>3649130.7876849999</v>
      </c>
      <c r="R1995" s="77" t="s">
        <v>394</v>
      </c>
      <c r="S1995" s="77">
        <v>7414000005</v>
      </c>
      <c r="AB1995"/>
      <c r="AC1995"/>
    </row>
    <row r="1996" spans="16:29" x14ac:dyDescent="0.25">
      <c r="P1996" s="78">
        <v>0</v>
      </c>
      <c r="Q1996" s="79">
        <v>0</v>
      </c>
      <c r="R1996" s="77" t="s">
        <v>394</v>
      </c>
      <c r="S1996" s="77">
        <v>7414000005</v>
      </c>
      <c r="AB1996"/>
      <c r="AC1996"/>
    </row>
    <row r="1997" spans="16:29" x14ac:dyDescent="0.25">
      <c r="P1997" s="78">
        <v>0</v>
      </c>
      <c r="Q1997" s="79">
        <v>0</v>
      </c>
      <c r="R1997" s="77" t="s">
        <v>394</v>
      </c>
      <c r="S1997" s="77">
        <v>7414000005</v>
      </c>
      <c r="AB1997"/>
      <c r="AC1997"/>
    </row>
    <row r="1998" spans="16:29" x14ac:dyDescent="0.25">
      <c r="P1998" s="78">
        <v>0</v>
      </c>
      <c r="Q1998" s="79">
        <v>0</v>
      </c>
      <c r="R1998" s="77" t="s">
        <v>394</v>
      </c>
      <c r="S1998" s="77">
        <v>7414000005</v>
      </c>
      <c r="AB1998"/>
      <c r="AC1998"/>
    </row>
    <row r="1999" spans="16:29" x14ac:dyDescent="0.25">
      <c r="P1999" s="78">
        <v>4500000</v>
      </c>
      <c r="Q1999" s="79">
        <v>43263684</v>
      </c>
      <c r="R1999" s="77" t="s">
        <v>394</v>
      </c>
      <c r="S1999" s="77">
        <v>7414000005</v>
      </c>
      <c r="AB1999"/>
      <c r="AC1999"/>
    </row>
    <row r="2000" spans="16:29" x14ac:dyDescent="0.25">
      <c r="P2000" s="78">
        <v>85065</v>
      </c>
      <c r="Q2000" s="79">
        <v>807572.06322000001</v>
      </c>
      <c r="R2000" s="77" t="s">
        <v>394</v>
      </c>
      <c r="S2000" s="77">
        <v>7414000005</v>
      </c>
      <c r="AB2000"/>
      <c r="AC2000"/>
    </row>
    <row r="2001" spans="16:29" x14ac:dyDescent="0.25">
      <c r="P2001" s="78">
        <v>339672</v>
      </c>
      <c r="Q2001" s="79">
        <v>3171912.5025360002</v>
      </c>
      <c r="R2001" s="77" t="s">
        <v>394</v>
      </c>
      <c r="S2001" s="77">
        <v>7414000005</v>
      </c>
      <c r="AB2001"/>
      <c r="AC2001"/>
    </row>
    <row r="2002" spans="16:29" x14ac:dyDescent="0.25">
      <c r="P2002" s="78">
        <v>396010</v>
      </c>
      <c r="Q2002" s="79">
        <v>3639386.15337</v>
      </c>
      <c r="R2002" s="77" t="s">
        <v>394</v>
      </c>
      <c r="S2002" s="77">
        <v>7414000005</v>
      </c>
      <c r="AB2002"/>
      <c r="AC2002"/>
    </row>
    <row r="2003" spans="16:29" x14ac:dyDescent="0.25">
      <c r="P2003" s="78">
        <v>95990</v>
      </c>
      <c r="Q2003" s="79">
        <v>864989.69551999995</v>
      </c>
      <c r="R2003" s="77" t="s">
        <v>394</v>
      </c>
      <c r="S2003" s="77">
        <v>7414000005</v>
      </c>
      <c r="AB2003"/>
      <c r="AC2003"/>
    </row>
    <row r="2004" spans="16:29" x14ac:dyDescent="0.25">
      <c r="P2004" s="78">
        <v>178190</v>
      </c>
      <c r="Q2004" s="79">
        <v>1471504.6023500001</v>
      </c>
      <c r="R2004" s="77" t="s">
        <v>394</v>
      </c>
      <c r="S2004" s="77">
        <v>7414000005</v>
      </c>
      <c r="AB2004"/>
      <c r="AC2004"/>
    </row>
    <row r="2005" spans="16:29" x14ac:dyDescent="0.25">
      <c r="P2005" s="78">
        <v>3475671</v>
      </c>
      <c r="Q2005" s="79">
        <v>11806061.934012</v>
      </c>
      <c r="R2005" s="77" t="s">
        <v>394</v>
      </c>
      <c r="S2005" s="77">
        <v>7414000005</v>
      </c>
      <c r="AB2005"/>
      <c r="AC2005"/>
    </row>
    <row r="2006" spans="16:29" x14ac:dyDescent="0.25">
      <c r="P2006" s="78"/>
      <c r="Q2006" s="79"/>
      <c r="R2006" s="77"/>
      <c r="S2006" s="77"/>
      <c r="AB2006"/>
      <c r="AC2006"/>
    </row>
    <row r="2007" spans="16:29" x14ac:dyDescent="0.25">
      <c r="P2007" s="78"/>
      <c r="Q2007" s="79"/>
      <c r="R2007" s="77"/>
      <c r="S2007" s="77"/>
      <c r="AB2007"/>
      <c r="AC2007"/>
    </row>
    <row r="2008" spans="16:29" x14ac:dyDescent="0.25">
      <c r="P2008" s="78"/>
      <c r="Q2008" s="79"/>
      <c r="R2008" s="77"/>
      <c r="S2008" s="77"/>
      <c r="AB2008"/>
      <c r="AC2008"/>
    </row>
    <row r="2009" spans="16:29" x14ac:dyDescent="0.25">
      <c r="P2009" s="78"/>
      <c r="Q2009" s="79"/>
      <c r="R2009" s="77"/>
      <c r="S2009" s="77"/>
      <c r="AB2009"/>
      <c r="AC2009"/>
    </row>
    <row r="2010" spans="16:29" x14ac:dyDescent="0.25">
      <c r="P2010" s="46"/>
      <c r="Q2010" s="47"/>
      <c r="R2010" s="44"/>
      <c r="S2010" s="44"/>
      <c r="AB2010"/>
      <c r="AC2010"/>
    </row>
    <row r="2011" spans="16:29" x14ac:dyDescent="0.25">
      <c r="P2011" s="46"/>
      <c r="Q2011" s="47"/>
      <c r="R2011" s="44"/>
      <c r="S2011" s="44"/>
      <c r="AB2011"/>
      <c r="AC2011"/>
    </row>
    <row r="2012" spans="16:29" x14ac:dyDescent="0.25">
      <c r="P2012" s="46"/>
      <c r="Q2012" s="47"/>
      <c r="R2012" s="44"/>
      <c r="S2012" s="44"/>
      <c r="AB2012"/>
      <c r="AC2012"/>
    </row>
    <row r="2013" spans="16:29" x14ac:dyDescent="0.25">
      <c r="P2013" s="46"/>
      <c r="Q2013" s="47"/>
      <c r="R2013" s="44"/>
      <c r="S2013" s="44"/>
      <c r="AB2013"/>
      <c r="AC2013"/>
    </row>
    <row r="2014" spans="16:29" x14ac:dyDescent="0.25">
      <c r="P2014" s="46"/>
      <c r="Q2014" s="47"/>
      <c r="R2014" s="44"/>
      <c r="S2014" s="44"/>
      <c r="AB2014"/>
      <c r="AC2014"/>
    </row>
    <row r="2015" spans="16:29" x14ac:dyDescent="0.25">
      <c r="P2015" s="46"/>
      <c r="Q2015" s="47"/>
      <c r="R2015" s="44"/>
      <c r="S2015" s="44"/>
      <c r="AB2015"/>
      <c r="AC2015"/>
    </row>
    <row r="2016" spans="16:29" x14ac:dyDescent="0.25">
      <c r="P2016" s="46"/>
      <c r="Q2016" s="47"/>
      <c r="R2016" s="44"/>
      <c r="S2016" s="44"/>
      <c r="AB2016"/>
      <c r="AC2016"/>
    </row>
    <row r="2017" spans="16:29" x14ac:dyDescent="0.25">
      <c r="P2017" s="46"/>
      <c r="Q2017" s="47"/>
      <c r="R2017" s="44"/>
      <c r="S2017" s="44"/>
      <c r="AB2017"/>
      <c r="AC2017"/>
    </row>
    <row r="2018" spans="16:29" x14ac:dyDescent="0.25">
      <c r="P2018" s="46"/>
      <c r="Q2018" s="47"/>
      <c r="R2018" s="44"/>
      <c r="S2018" s="44"/>
      <c r="AB2018"/>
      <c r="AC2018"/>
    </row>
    <row r="2019" spans="16:29" x14ac:dyDescent="0.25">
      <c r="P2019" s="46"/>
      <c r="Q2019" s="47"/>
      <c r="R2019" s="44"/>
      <c r="S2019" s="44"/>
      <c r="AB2019"/>
      <c r="AC2019"/>
    </row>
    <row r="2020" spans="16:29" x14ac:dyDescent="0.25">
      <c r="P2020" s="46"/>
      <c r="Q2020" s="47"/>
      <c r="R2020" s="44"/>
      <c r="S2020" s="44"/>
      <c r="AB2020"/>
      <c r="AC2020"/>
    </row>
    <row r="2021" spans="16:29" x14ac:dyDescent="0.25">
      <c r="P2021" s="46"/>
      <c r="Q2021" s="47"/>
      <c r="R2021" s="44"/>
      <c r="S2021" s="44"/>
      <c r="AB2021"/>
      <c r="AC2021"/>
    </row>
    <row r="2022" spans="16:29" x14ac:dyDescent="0.25">
      <c r="P2022" s="46"/>
      <c r="Q2022" s="47"/>
      <c r="R2022" s="44"/>
      <c r="S2022" s="44"/>
      <c r="AB2022"/>
      <c r="AC2022"/>
    </row>
    <row r="2023" spans="16:29" x14ac:dyDescent="0.25">
      <c r="P2023" s="46"/>
      <c r="Q2023" s="47"/>
      <c r="R2023" s="44"/>
      <c r="S2023" s="44"/>
      <c r="AB2023"/>
      <c r="AC2023"/>
    </row>
    <row r="2024" spans="16:29" x14ac:dyDescent="0.25">
      <c r="P2024" s="46"/>
      <c r="Q2024" s="47"/>
      <c r="R2024" s="44"/>
      <c r="S2024" s="44"/>
      <c r="AB2024"/>
      <c r="AC2024"/>
    </row>
    <row r="2025" spans="16:29" x14ac:dyDescent="0.25">
      <c r="P2025" s="46"/>
      <c r="Q2025" s="47"/>
      <c r="R2025" s="44"/>
      <c r="S2025" s="44"/>
      <c r="AB2025"/>
      <c r="AC2025"/>
    </row>
    <row r="2026" spans="16:29" x14ac:dyDescent="0.25">
      <c r="P2026" s="46"/>
      <c r="Q2026" s="47"/>
      <c r="R2026" s="44"/>
      <c r="S2026" s="44"/>
      <c r="AB2026"/>
      <c r="AC2026"/>
    </row>
    <row r="2027" spans="16:29" x14ac:dyDescent="0.25">
      <c r="P2027" s="46"/>
      <c r="Q2027" s="47"/>
      <c r="R2027" s="44"/>
      <c r="S2027" s="44"/>
      <c r="AB2027"/>
      <c r="AC2027"/>
    </row>
    <row r="2028" spans="16:29" x14ac:dyDescent="0.25">
      <c r="P2028" s="46"/>
      <c r="Q2028" s="47"/>
      <c r="R2028" s="44"/>
      <c r="S2028" s="44"/>
      <c r="AB2028"/>
      <c r="AC2028"/>
    </row>
    <row r="2029" spans="16:29" x14ac:dyDescent="0.25">
      <c r="P2029" s="46"/>
      <c r="Q2029" s="47"/>
      <c r="R2029" s="44"/>
      <c r="S2029" s="44"/>
      <c r="AB2029"/>
      <c r="AC2029"/>
    </row>
    <row r="2030" spans="16:29" x14ac:dyDescent="0.25">
      <c r="P2030" s="46"/>
      <c r="Q2030" s="47"/>
      <c r="R2030" s="44"/>
      <c r="S2030" s="44"/>
      <c r="AB2030"/>
      <c r="AC2030"/>
    </row>
    <row r="2031" spans="16:29" x14ac:dyDescent="0.25">
      <c r="P2031" s="46"/>
      <c r="Q2031" s="47"/>
      <c r="R2031" s="44"/>
      <c r="S2031" s="44"/>
      <c r="AB2031"/>
      <c r="AC2031"/>
    </row>
    <row r="2032" spans="16:29" x14ac:dyDescent="0.25">
      <c r="P2032" s="46"/>
      <c r="Q2032" s="47"/>
      <c r="R2032" s="44"/>
      <c r="S2032" s="44"/>
      <c r="AB2032"/>
      <c r="AC2032"/>
    </row>
    <row r="2033" spans="16:29" x14ac:dyDescent="0.25">
      <c r="P2033" s="46"/>
      <c r="Q2033" s="47"/>
      <c r="R2033" s="44"/>
      <c r="S2033" s="44"/>
      <c r="AB2033"/>
      <c r="AC2033"/>
    </row>
    <row r="2034" spans="16:29" x14ac:dyDescent="0.25">
      <c r="P2034" s="46"/>
      <c r="Q2034" s="47"/>
      <c r="R2034" s="44"/>
      <c r="S2034" s="44"/>
      <c r="AB2034"/>
      <c r="AC2034"/>
    </row>
    <row r="2035" spans="16:29" x14ac:dyDescent="0.25">
      <c r="P2035" s="46"/>
      <c r="Q2035" s="47"/>
      <c r="R2035" s="44"/>
      <c r="S2035" s="44"/>
      <c r="AB2035"/>
      <c r="AC2035"/>
    </row>
    <row r="2036" spans="16:29" x14ac:dyDescent="0.25">
      <c r="P2036" s="46"/>
      <c r="Q2036" s="47"/>
      <c r="R2036" s="44"/>
      <c r="S2036" s="44"/>
      <c r="AB2036"/>
      <c r="AC2036"/>
    </row>
    <row r="2037" spans="16:29" x14ac:dyDescent="0.25">
      <c r="P2037" s="46"/>
      <c r="Q2037" s="47"/>
      <c r="R2037" s="44"/>
      <c r="S2037" s="44"/>
      <c r="AB2037"/>
      <c r="AC2037"/>
    </row>
    <row r="2038" spans="16:29" x14ac:dyDescent="0.25">
      <c r="P2038" s="46"/>
      <c r="Q2038" s="47"/>
      <c r="R2038" s="44"/>
      <c r="S2038" s="44"/>
      <c r="AB2038"/>
      <c r="AC2038"/>
    </row>
    <row r="2039" spans="16:29" x14ac:dyDescent="0.25">
      <c r="P2039" s="46"/>
      <c r="Q2039" s="47"/>
      <c r="R2039" s="44"/>
      <c r="S2039" s="44"/>
      <c r="AB2039"/>
      <c r="AC2039"/>
    </row>
    <row r="2040" spans="16:29" x14ac:dyDescent="0.25">
      <c r="P2040" s="46"/>
      <c r="Q2040" s="47"/>
      <c r="R2040" s="44"/>
      <c r="S2040" s="44"/>
      <c r="AB2040"/>
      <c r="AC2040"/>
    </row>
    <row r="2041" spans="16:29" x14ac:dyDescent="0.25">
      <c r="P2041" s="46"/>
      <c r="Q2041" s="47"/>
      <c r="R2041" s="44"/>
      <c r="S2041" s="44"/>
      <c r="AB2041"/>
      <c r="AC2041"/>
    </row>
    <row r="2042" spans="16:29" x14ac:dyDescent="0.25">
      <c r="P2042" s="46"/>
      <c r="Q2042" s="47"/>
      <c r="R2042" s="44"/>
      <c r="S2042" s="44"/>
      <c r="AB2042"/>
      <c r="AC2042"/>
    </row>
    <row r="2043" spans="16:29" x14ac:dyDescent="0.25">
      <c r="P2043" s="46"/>
      <c r="Q2043" s="47"/>
      <c r="R2043" s="44"/>
      <c r="S2043" s="44"/>
      <c r="AB2043"/>
      <c r="AC2043"/>
    </row>
    <row r="2044" spans="16:29" x14ac:dyDescent="0.25">
      <c r="P2044" s="46"/>
      <c r="Q2044" s="47"/>
      <c r="R2044" s="44"/>
      <c r="S2044" s="44"/>
      <c r="AB2044"/>
      <c r="AC2044"/>
    </row>
    <row r="2045" spans="16:29" x14ac:dyDescent="0.25">
      <c r="P2045" s="46"/>
      <c r="Q2045" s="47"/>
      <c r="R2045" s="44"/>
      <c r="S2045" s="44"/>
      <c r="AB2045"/>
      <c r="AC2045"/>
    </row>
    <row r="2046" spans="16:29" x14ac:dyDescent="0.25">
      <c r="P2046" s="46"/>
      <c r="Q2046" s="47"/>
      <c r="R2046" s="44"/>
      <c r="S2046" s="44"/>
      <c r="AB2046"/>
      <c r="AC2046"/>
    </row>
    <row r="2047" spans="16:29" x14ac:dyDescent="0.25">
      <c r="P2047" s="46"/>
      <c r="Q2047" s="47"/>
      <c r="R2047" s="44"/>
      <c r="S2047" s="44"/>
      <c r="AB2047"/>
      <c r="AC2047"/>
    </row>
    <row r="2048" spans="16:29" x14ac:dyDescent="0.25">
      <c r="P2048" s="46"/>
      <c r="Q2048" s="47"/>
      <c r="R2048" s="44"/>
      <c r="S2048" s="44"/>
      <c r="AB2048"/>
      <c r="AC2048"/>
    </row>
    <row r="2049" spans="16:29" x14ac:dyDescent="0.25">
      <c r="P2049" s="46"/>
      <c r="Q2049" s="47"/>
      <c r="R2049" s="44"/>
      <c r="S2049" s="44"/>
      <c r="AB2049"/>
      <c r="AC2049"/>
    </row>
    <row r="2050" spans="16:29" x14ac:dyDescent="0.25">
      <c r="P2050" s="46"/>
      <c r="Q2050" s="47"/>
      <c r="R2050" s="44"/>
      <c r="S2050" s="44"/>
      <c r="AB2050"/>
      <c r="AC2050"/>
    </row>
    <row r="2051" spans="16:29" x14ac:dyDescent="0.25">
      <c r="P2051" s="46"/>
      <c r="Q2051" s="47"/>
      <c r="R2051" s="44"/>
      <c r="S2051" s="44"/>
      <c r="AB2051"/>
      <c r="AC2051"/>
    </row>
    <row r="2052" spans="16:29" x14ac:dyDescent="0.25">
      <c r="P2052" s="46"/>
      <c r="Q2052" s="47"/>
      <c r="R2052" s="44"/>
      <c r="S2052" s="44"/>
      <c r="AB2052"/>
      <c r="AC2052"/>
    </row>
    <row r="2053" spans="16:29" x14ac:dyDescent="0.25">
      <c r="P2053" s="46"/>
      <c r="Q2053" s="47"/>
      <c r="R2053" s="44"/>
      <c r="S2053" s="44"/>
      <c r="AB2053"/>
      <c r="AC2053"/>
    </row>
    <row r="2054" spans="16:29" x14ac:dyDescent="0.25">
      <c r="P2054" s="46"/>
      <c r="Q2054" s="47"/>
      <c r="R2054" s="44"/>
      <c r="S2054" s="44"/>
      <c r="AB2054"/>
      <c r="AC2054"/>
    </row>
    <row r="2055" spans="16:29" x14ac:dyDescent="0.25">
      <c r="P2055" s="46"/>
      <c r="Q2055" s="47"/>
      <c r="R2055" s="44"/>
      <c r="S2055" s="44"/>
      <c r="AB2055"/>
      <c r="AC2055"/>
    </row>
    <row r="2056" spans="16:29" x14ac:dyDescent="0.25">
      <c r="P2056" s="46"/>
      <c r="Q2056" s="47"/>
      <c r="R2056" s="44"/>
      <c r="S2056" s="44"/>
      <c r="AB2056"/>
      <c r="AC2056"/>
    </row>
    <row r="2057" spans="16:29" x14ac:dyDescent="0.25">
      <c r="P2057" s="46"/>
      <c r="Q2057" s="47"/>
      <c r="R2057" s="44"/>
      <c r="S2057" s="44"/>
      <c r="AB2057"/>
      <c r="AC2057"/>
    </row>
    <row r="2058" spans="16:29" x14ac:dyDescent="0.25">
      <c r="P2058" s="46"/>
      <c r="Q2058" s="47"/>
      <c r="R2058" s="44"/>
      <c r="S2058" s="44"/>
      <c r="AB2058"/>
      <c r="AC2058"/>
    </row>
    <row r="2059" spans="16:29" x14ac:dyDescent="0.25">
      <c r="P2059" s="46"/>
      <c r="Q2059" s="47"/>
      <c r="R2059" s="44"/>
      <c r="S2059" s="44"/>
      <c r="AB2059"/>
      <c r="AC2059"/>
    </row>
    <row r="2060" spans="16:29" x14ac:dyDescent="0.25">
      <c r="P2060" s="46"/>
      <c r="Q2060" s="47"/>
      <c r="R2060" s="44"/>
      <c r="S2060" s="44"/>
      <c r="AB2060"/>
      <c r="AC2060"/>
    </row>
    <row r="2061" spans="16:29" x14ac:dyDescent="0.25">
      <c r="P2061" s="46"/>
      <c r="Q2061" s="47"/>
      <c r="R2061" s="44"/>
      <c r="S2061" s="44"/>
      <c r="AB2061"/>
      <c r="AC2061"/>
    </row>
    <row r="2062" spans="16:29" x14ac:dyDescent="0.25">
      <c r="P2062" s="46"/>
      <c r="Q2062" s="47"/>
      <c r="R2062" s="44"/>
      <c r="S2062" s="44"/>
      <c r="AB2062"/>
      <c r="AC2062"/>
    </row>
    <row r="2063" spans="16:29" x14ac:dyDescent="0.25">
      <c r="P2063" s="46"/>
      <c r="Q2063" s="47"/>
      <c r="R2063" s="44"/>
      <c r="S2063" s="44"/>
      <c r="AB2063"/>
      <c r="AC2063"/>
    </row>
    <row r="2064" spans="16:29" x14ac:dyDescent="0.25">
      <c r="P2064" s="46"/>
      <c r="Q2064" s="47"/>
      <c r="R2064" s="44"/>
      <c r="S2064" s="44"/>
      <c r="AB2064"/>
      <c r="AC2064"/>
    </row>
    <row r="2065" spans="16:29" x14ac:dyDescent="0.25">
      <c r="P2065" s="46"/>
      <c r="Q2065" s="47"/>
      <c r="R2065" s="44"/>
      <c r="S2065" s="44"/>
      <c r="AB2065"/>
      <c r="AC2065"/>
    </row>
    <row r="2066" spans="16:29" x14ac:dyDescent="0.25">
      <c r="P2066" s="46"/>
      <c r="Q2066" s="47"/>
      <c r="R2066" s="44"/>
      <c r="S2066" s="44"/>
      <c r="AB2066"/>
      <c r="AC2066"/>
    </row>
    <row r="2067" spans="16:29" x14ac:dyDescent="0.25">
      <c r="P2067" s="46"/>
      <c r="Q2067" s="47"/>
      <c r="R2067" s="44"/>
      <c r="S2067" s="44"/>
      <c r="AB2067"/>
      <c r="AC2067"/>
    </row>
    <row r="2068" spans="16:29" x14ac:dyDescent="0.25">
      <c r="P2068" s="46"/>
      <c r="Q2068" s="47"/>
      <c r="R2068" s="44"/>
      <c r="S2068" s="44"/>
      <c r="AB2068"/>
      <c r="AC2068"/>
    </row>
    <row r="2069" spans="16:29" x14ac:dyDescent="0.25">
      <c r="P2069" s="46"/>
      <c r="Q2069" s="47"/>
      <c r="R2069" s="44"/>
      <c r="S2069" s="44"/>
      <c r="AB2069"/>
      <c r="AC2069"/>
    </row>
    <row r="2070" spans="16:29" x14ac:dyDescent="0.25">
      <c r="P2070" s="46"/>
      <c r="Q2070" s="47"/>
      <c r="R2070" s="44"/>
      <c r="S2070" s="44"/>
      <c r="AB2070"/>
      <c r="AC2070"/>
    </row>
    <row r="2071" spans="16:29" x14ac:dyDescent="0.25">
      <c r="P2071" s="46"/>
      <c r="Q2071" s="47"/>
      <c r="R2071" s="44"/>
      <c r="S2071" s="44"/>
      <c r="AB2071"/>
      <c r="AC2071"/>
    </row>
    <row r="2072" spans="16:29" x14ac:dyDescent="0.25">
      <c r="P2072" s="46"/>
      <c r="Q2072" s="47"/>
      <c r="R2072" s="44"/>
      <c r="S2072" s="44"/>
      <c r="AB2072"/>
      <c r="AC2072"/>
    </row>
    <row r="2073" spans="16:29" x14ac:dyDescent="0.25">
      <c r="P2073" s="46"/>
      <c r="Q2073" s="47"/>
      <c r="R2073" s="44"/>
      <c r="S2073" s="44"/>
      <c r="AB2073"/>
      <c r="AC2073"/>
    </row>
    <row r="2074" spans="16:29" x14ac:dyDescent="0.25">
      <c r="P2074" s="46"/>
      <c r="Q2074" s="47"/>
      <c r="R2074" s="44"/>
      <c r="S2074" s="44"/>
      <c r="AB2074"/>
      <c r="AC2074"/>
    </row>
    <row r="2075" spans="16:29" x14ac:dyDescent="0.25">
      <c r="P2075" s="46"/>
      <c r="Q2075" s="47"/>
      <c r="R2075" s="44"/>
      <c r="S2075" s="44"/>
      <c r="AB2075"/>
      <c r="AC2075"/>
    </row>
    <row r="2076" spans="16:29" x14ac:dyDescent="0.25">
      <c r="P2076" s="46"/>
      <c r="Q2076" s="47"/>
      <c r="R2076" s="44"/>
      <c r="S2076" s="44"/>
      <c r="AB2076"/>
      <c r="AC2076"/>
    </row>
    <row r="2077" spans="16:29" x14ac:dyDescent="0.25">
      <c r="P2077" s="46"/>
      <c r="Q2077" s="47"/>
      <c r="R2077" s="44"/>
      <c r="S2077" s="44"/>
      <c r="AB2077"/>
      <c r="AC2077"/>
    </row>
    <row r="2078" spans="16:29" x14ac:dyDescent="0.25">
      <c r="P2078" s="46"/>
      <c r="Q2078" s="47"/>
      <c r="R2078" s="44"/>
      <c r="S2078" s="44"/>
      <c r="AB2078"/>
      <c r="AC2078"/>
    </row>
    <row r="2079" spans="16:29" x14ac:dyDescent="0.25">
      <c r="P2079" s="46"/>
      <c r="Q2079" s="47"/>
      <c r="R2079" s="44"/>
      <c r="S2079" s="44"/>
      <c r="AB2079"/>
      <c r="AC2079"/>
    </row>
    <row r="2080" spans="16:29" x14ac:dyDescent="0.25">
      <c r="P2080" s="46"/>
      <c r="Q2080" s="47"/>
      <c r="R2080" s="44"/>
      <c r="S2080" s="44"/>
      <c r="AB2080"/>
      <c r="AC2080"/>
    </row>
    <row r="2081" spans="16:29" x14ac:dyDescent="0.25">
      <c r="P2081" s="46"/>
      <c r="Q2081" s="47"/>
      <c r="R2081" s="44"/>
      <c r="S2081" s="44"/>
      <c r="AB2081"/>
      <c r="AC2081"/>
    </row>
    <row r="2082" spans="16:29" x14ac:dyDescent="0.25">
      <c r="P2082" s="46"/>
      <c r="Q2082" s="47"/>
      <c r="R2082" s="44"/>
      <c r="S2082" s="44"/>
      <c r="AB2082"/>
      <c r="AC2082"/>
    </row>
    <row r="2083" spans="16:29" x14ac:dyDescent="0.25">
      <c r="P2083" s="46"/>
      <c r="Q2083" s="47"/>
      <c r="R2083" s="44"/>
      <c r="S2083" s="44"/>
      <c r="AB2083"/>
      <c r="AC2083"/>
    </row>
    <row r="2084" spans="16:29" x14ac:dyDescent="0.25">
      <c r="P2084" s="46"/>
      <c r="Q2084" s="47"/>
      <c r="R2084" s="44"/>
      <c r="S2084" s="44"/>
      <c r="AB2084"/>
      <c r="AC2084"/>
    </row>
    <row r="2085" spans="16:29" x14ac:dyDescent="0.25">
      <c r="P2085" s="46"/>
      <c r="Q2085" s="47"/>
      <c r="R2085" s="44"/>
      <c r="S2085" s="44"/>
      <c r="AB2085"/>
      <c r="AC2085"/>
    </row>
    <row r="2086" spans="16:29" x14ac:dyDescent="0.25">
      <c r="P2086" s="46"/>
      <c r="Q2086" s="47"/>
      <c r="R2086" s="44"/>
      <c r="S2086" s="44"/>
      <c r="AB2086"/>
      <c r="AC2086"/>
    </row>
    <row r="2087" spans="16:29" x14ac:dyDescent="0.25">
      <c r="P2087" s="46"/>
      <c r="Q2087" s="47"/>
      <c r="R2087" s="44"/>
      <c r="S2087" s="44"/>
      <c r="AB2087"/>
      <c r="AC2087"/>
    </row>
    <row r="2088" spans="16:29" x14ac:dyDescent="0.25">
      <c r="P2088" s="44"/>
      <c r="Q2088" s="44"/>
      <c r="R2088" s="44"/>
      <c r="S2088" s="44"/>
      <c r="AB2088"/>
      <c r="AC2088"/>
    </row>
    <row r="2089" spans="16:29" x14ac:dyDescent="0.25">
      <c r="P2089" s="46"/>
      <c r="Q2089" s="47"/>
      <c r="R2089" s="44"/>
      <c r="S2089" s="44"/>
      <c r="AB2089"/>
      <c r="AC2089"/>
    </row>
    <row r="2090" spans="16:29" x14ac:dyDescent="0.25">
      <c r="P2090" s="46"/>
      <c r="Q2090" s="47"/>
      <c r="R2090" s="44"/>
      <c r="S2090" s="44"/>
      <c r="AB2090"/>
      <c r="AC2090"/>
    </row>
    <row r="2091" spans="16:29" x14ac:dyDescent="0.25">
      <c r="P2091" s="46"/>
      <c r="Q2091" s="47"/>
      <c r="R2091" s="44"/>
      <c r="S2091" s="44"/>
      <c r="AB2091"/>
      <c r="AC2091"/>
    </row>
    <row r="2092" spans="16:29" x14ac:dyDescent="0.25">
      <c r="P2092" s="46"/>
      <c r="Q2092" s="47"/>
      <c r="R2092" s="44"/>
      <c r="S2092" s="44"/>
      <c r="AB2092"/>
      <c r="AC2092"/>
    </row>
    <row r="2093" spans="16:29" x14ac:dyDescent="0.25">
      <c r="P2093" s="46"/>
      <c r="Q2093" s="47"/>
      <c r="R2093" s="44"/>
      <c r="S2093" s="44"/>
      <c r="AB2093"/>
      <c r="AC2093"/>
    </row>
    <row r="2094" spans="16:29" x14ac:dyDescent="0.25">
      <c r="P2094" s="46"/>
      <c r="Q2094" s="47"/>
      <c r="R2094" s="44"/>
      <c r="S2094" s="44"/>
      <c r="AB2094"/>
      <c r="AC2094"/>
    </row>
    <row r="2095" spans="16:29" x14ac:dyDescent="0.25">
      <c r="P2095" s="46"/>
      <c r="Q2095" s="47"/>
      <c r="R2095" s="44"/>
      <c r="S2095" s="44"/>
      <c r="AB2095"/>
      <c r="AC2095"/>
    </row>
    <row r="2096" spans="16:29" x14ac:dyDescent="0.25">
      <c r="P2096" s="46"/>
      <c r="Q2096" s="47"/>
      <c r="R2096" s="44"/>
      <c r="S2096" s="44"/>
      <c r="AB2096"/>
      <c r="AC2096"/>
    </row>
    <row r="2097" spans="16:29" x14ac:dyDescent="0.25">
      <c r="P2097" s="46"/>
      <c r="Q2097" s="47"/>
      <c r="R2097" s="44"/>
      <c r="S2097" s="44"/>
      <c r="AB2097"/>
      <c r="AC2097"/>
    </row>
    <row r="2098" spans="16:29" x14ac:dyDescent="0.25">
      <c r="P2098" s="46"/>
      <c r="Q2098" s="47"/>
      <c r="R2098" s="44"/>
      <c r="S2098" s="44"/>
      <c r="AB2098"/>
      <c r="AC2098"/>
    </row>
    <row r="2099" spans="16:29" x14ac:dyDescent="0.25">
      <c r="P2099" s="46"/>
      <c r="Q2099" s="47"/>
      <c r="R2099" s="44"/>
      <c r="S2099" s="44"/>
      <c r="AB2099"/>
      <c r="AC2099"/>
    </row>
    <row r="2100" spans="16:29" x14ac:dyDescent="0.25">
      <c r="P2100" s="46"/>
      <c r="Q2100" s="47"/>
      <c r="R2100" s="44"/>
      <c r="S2100" s="44"/>
      <c r="AB2100"/>
      <c r="AC2100"/>
    </row>
    <row r="2101" spans="16:29" x14ac:dyDescent="0.25">
      <c r="P2101" s="46"/>
      <c r="Q2101" s="47"/>
      <c r="R2101" s="44"/>
      <c r="S2101" s="44"/>
      <c r="AB2101"/>
      <c r="AC2101"/>
    </row>
    <row r="2102" spans="16:29" x14ac:dyDescent="0.25">
      <c r="P2102" s="46"/>
      <c r="Q2102" s="47"/>
      <c r="R2102" s="44"/>
      <c r="S2102" s="44"/>
      <c r="AB2102"/>
      <c r="AC2102"/>
    </row>
    <row r="2103" spans="16:29" x14ac:dyDescent="0.25">
      <c r="P2103" s="46"/>
      <c r="Q2103" s="47"/>
      <c r="R2103" s="44"/>
      <c r="S2103" s="44"/>
      <c r="AB2103"/>
      <c r="AC2103"/>
    </row>
    <row r="2104" spans="16:29" x14ac:dyDescent="0.25">
      <c r="P2104" s="70"/>
      <c r="Q2104" s="71"/>
      <c r="R2104" s="69"/>
      <c r="S2104" s="69"/>
      <c r="AB2104"/>
      <c r="AC2104"/>
    </row>
    <row r="2105" spans="16:29" x14ac:dyDescent="0.25">
      <c r="P2105" s="70"/>
      <c r="Q2105" s="71"/>
      <c r="R2105" s="69"/>
      <c r="S2105" s="69"/>
      <c r="AB2105"/>
      <c r="AC2105"/>
    </row>
    <row r="2106" spans="16:29" x14ac:dyDescent="0.25">
      <c r="P2106" s="70"/>
      <c r="Q2106" s="71"/>
      <c r="R2106" s="69"/>
      <c r="S2106" s="69"/>
      <c r="AB2106"/>
      <c r="AC2106"/>
    </row>
    <row r="2107" spans="16:29" x14ac:dyDescent="0.25">
      <c r="P2107" s="70"/>
      <c r="Q2107" s="71"/>
      <c r="R2107" s="69"/>
      <c r="S2107" s="69"/>
      <c r="AB2107"/>
      <c r="AC2107"/>
    </row>
    <row r="2108" spans="16:29" x14ac:dyDescent="0.25">
      <c r="P2108" s="70"/>
      <c r="Q2108" s="71"/>
      <c r="R2108" s="69"/>
      <c r="S2108" s="69"/>
      <c r="AB2108"/>
      <c r="AC2108"/>
    </row>
    <row r="2109" spans="16:29" x14ac:dyDescent="0.25">
      <c r="P2109" s="70"/>
      <c r="Q2109" s="71"/>
      <c r="R2109" s="69"/>
      <c r="S2109" s="69"/>
      <c r="AB2109"/>
      <c r="AC2109"/>
    </row>
    <row r="2110" spans="16:29" x14ac:dyDescent="0.25">
      <c r="P2110" s="70"/>
      <c r="Q2110" s="71"/>
      <c r="R2110" s="69"/>
      <c r="S2110" s="69"/>
      <c r="AB2110"/>
      <c r="AC2110"/>
    </row>
    <row r="2111" spans="16:29" x14ac:dyDescent="0.25">
      <c r="P2111" s="70"/>
      <c r="Q2111" s="71"/>
      <c r="R2111" s="69"/>
      <c r="S2111" s="69"/>
      <c r="AB2111"/>
      <c r="AC2111"/>
    </row>
    <row r="2112" spans="16:29" x14ac:dyDescent="0.25">
      <c r="P2112" s="70"/>
      <c r="Q2112" s="71"/>
      <c r="R2112" s="69"/>
      <c r="S2112" s="69"/>
      <c r="AB2112"/>
      <c r="AC2112"/>
    </row>
    <row r="2113" spans="16:29" x14ac:dyDescent="0.25">
      <c r="P2113" s="70"/>
      <c r="Q2113" s="71"/>
      <c r="R2113" s="69"/>
      <c r="S2113" s="69"/>
      <c r="AB2113"/>
      <c r="AC2113"/>
    </row>
    <row r="2114" spans="16:29" x14ac:dyDescent="0.25">
      <c r="P2114" s="70"/>
      <c r="Q2114" s="71"/>
      <c r="R2114" s="69"/>
      <c r="S2114" s="69"/>
      <c r="AB2114"/>
      <c r="AC2114"/>
    </row>
    <row r="2115" spans="16:29" x14ac:dyDescent="0.25">
      <c r="P2115" s="70"/>
      <c r="Q2115" s="71"/>
      <c r="R2115" s="69"/>
      <c r="S2115" s="69"/>
      <c r="AB2115"/>
      <c r="AC2115"/>
    </row>
    <row r="2116" spans="16:29" x14ac:dyDescent="0.25">
      <c r="P2116" s="70"/>
      <c r="Q2116" s="71"/>
      <c r="R2116" s="69"/>
      <c r="S2116" s="69"/>
      <c r="AB2116"/>
      <c r="AC2116"/>
    </row>
    <row r="2117" spans="16:29" x14ac:dyDescent="0.25">
      <c r="P2117" s="70"/>
      <c r="Q2117" s="71"/>
      <c r="R2117" s="69"/>
      <c r="S2117" s="69"/>
      <c r="AB2117"/>
      <c r="AC2117"/>
    </row>
    <row r="2118" spans="16:29" x14ac:dyDescent="0.25">
      <c r="P2118" s="70"/>
      <c r="Q2118" s="71"/>
      <c r="R2118" s="69"/>
      <c r="S2118" s="69"/>
      <c r="AB2118"/>
      <c r="AC2118"/>
    </row>
    <row r="2119" spans="16:29" x14ac:dyDescent="0.25">
      <c r="P2119" s="70"/>
      <c r="Q2119" s="71"/>
      <c r="R2119" s="69"/>
      <c r="S2119" s="69"/>
      <c r="AB2119"/>
      <c r="AC2119"/>
    </row>
    <row r="2120" spans="16:29" x14ac:dyDescent="0.25">
      <c r="P2120" s="70"/>
      <c r="Q2120" s="71"/>
      <c r="R2120" s="69"/>
      <c r="S2120" s="69"/>
      <c r="AB2120"/>
      <c r="AC2120"/>
    </row>
    <row r="2121" spans="16:29" x14ac:dyDescent="0.25">
      <c r="P2121" s="70"/>
      <c r="Q2121" s="71"/>
      <c r="R2121" s="69"/>
      <c r="S2121" s="69"/>
      <c r="AB2121"/>
      <c r="AC2121"/>
    </row>
    <row r="2122" spans="16:29" x14ac:dyDescent="0.25">
      <c r="P2122" s="70"/>
      <c r="Q2122" s="71"/>
      <c r="R2122" s="69"/>
      <c r="S2122" s="69"/>
      <c r="AB2122"/>
      <c r="AC2122"/>
    </row>
    <row r="2123" spans="16:29" x14ac:dyDescent="0.25">
      <c r="P2123" s="70"/>
      <c r="Q2123" s="71"/>
      <c r="R2123" s="69"/>
      <c r="S2123" s="69"/>
      <c r="AB2123"/>
      <c r="AC2123"/>
    </row>
    <row r="2124" spans="16:29" x14ac:dyDescent="0.25">
      <c r="P2124" s="70"/>
      <c r="Q2124" s="71"/>
      <c r="R2124" s="69"/>
      <c r="S2124" s="69"/>
      <c r="AB2124"/>
      <c r="AC2124"/>
    </row>
    <row r="2125" spans="16:29" x14ac:dyDescent="0.25">
      <c r="P2125" s="70"/>
      <c r="Q2125" s="71"/>
      <c r="R2125" s="69"/>
      <c r="S2125" s="69"/>
      <c r="AB2125"/>
      <c r="AC2125"/>
    </row>
    <row r="2126" spans="16:29" x14ac:dyDescent="0.25">
      <c r="P2126" s="70"/>
      <c r="Q2126" s="71"/>
      <c r="R2126" s="69"/>
      <c r="S2126" s="69"/>
      <c r="AB2126"/>
      <c r="AC2126"/>
    </row>
    <row r="2127" spans="16:29" x14ac:dyDescent="0.25">
      <c r="P2127" s="70"/>
      <c r="Q2127" s="71"/>
      <c r="R2127" s="69"/>
      <c r="S2127" s="69"/>
      <c r="AB2127"/>
      <c r="AC2127"/>
    </row>
    <row r="2128" spans="16:29" x14ac:dyDescent="0.25">
      <c r="P2128" s="70"/>
      <c r="Q2128" s="71"/>
      <c r="R2128" s="69"/>
      <c r="S2128" s="69"/>
      <c r="AB2128"/>
      <c r="AC2128"/>
    </row>
    <row r="2129" spans="16:29" x14ac:dyDescent="0.25">
      <c r="P2129" s="70"/>
      <c r="Q2129" s="71"/>
      <c r="R2129" s="69"/>
      <c r="S2129" s="69"/>
      <c r="AB2129"/>
      <c r="AC2129"/>
    </row>
    <row r="2130" spans="16:29" x14ac:dyDescent="0.25">
      <c r="P2130" s="70"/>
      <c r="Q2130" s="71"/>
      <c r="R2130" s="69"/>
      <c r="S2130" s="69"/>
      <c r="AB2130"/>
      <c r="AC2130"/>
    </row>
    <row r="2131" spans="16:29" x14ac:dyDescent="0.25">
      <c r="P2131" s="70"/>
      <c r="Q2131" s="71"/>
      <c r="R2131" s="69"/>
      <c r="S2131" s="69"/>
      <c r="AB2131"/>
      <c r="AC2131"/>
    </row>
    <row r="2132" spans="16:29" x14ac:dyDescent="0.25">
      <c r="P2132" s="70"/>
      <c r="Q2132" s="71"/>
      <c r="R2132" s="69"/>
      <c r="S2132" s="69"/>
      <c r="AB2132"/>
      <c r="AC2132"/>
    </row>
    <row r="2133" spans="16:29" x14ac:dyDescent="0.25">
      <c r="P2133" s="70"/>
      <c r="Q2133" s="71"/>
      <c r="R2133" s="69"/>
      <c r="S2133" s="69"/>
      <c r="AB2133"/>
      <c r="AC2133"/>
    </row>
    <row r="2134" spans="16:29" x14ac:dyDescent="0.25">
      <c r="P2134" s="70"/>
      <c r="Q2134" s="71"/>
      <c r="R2134" s="69"/>
      <c r="S2134" s="69"/>
      <c r="AB2134"/>
      <c r="AC2134"/>
    </row>
    <row r="2135" spans="16:29" x14ac:dyDescent="0.25">
      <c r="P2135" s="70"/>
      <c r="Q2135" s="71"/>
      <c r="R2135" s="69"/>
      <c r="S2135" s="69"/>
      <c r="AB2135"/>
      <c r="AC2135"/>
    </row>
    <row r="2136" spans="16:29" x14ac:dyDescent="0.25">
      <c r="P2136" s="70"/>
      <c r="Q2136" s="71"/>
      <c r="R2136" s="69"/>
      <c r="S2136" s="69"/>
      <c r="AB2136"/>
      <c r="AC2136"/>
    </row>
    <row r="2137" spans="16:29" x14ac:dyDescent="0.25">
      <c r="P2137" s="70"/>
      <c r="Q2137" s="71"/>
      <c r="R2137" s="69"/>
      <c r="S2137" s="69"/>
      <c r="AB2137"/>
      <c r="AC2137"/>
    </row>
    <row r="2138" spans="16:29" x14ac:dyDescent="0.25">
      <c r="P2138" s="70"/>
      <c r="Q2138" s="71"/>
      <c r="R2138" s="69"/>
      <c r="S2138" s="69"/>
      <c r="AB2138"/>
      <c r="AC2138"/>
    </row>
    <row r="2139" spans="16:29" x14ac:dyDescent="0.25">
      <c r="P2139" s="70"/>
      <c r="Q2139" s="71"/>
      <c r="R2139" s="69"/>
      <c r="S2139" s="69"/>
      <c r="AB2139"/>
      <c r="AC2139"/>
    </row>
    <row r="2140" spans="16:29" x14ac:dyDescent="0.25">
      <c r="P2140" s="70"/>
      <c r="Q2140" s="71"/>
      <c r="R2140" s="69"/>
      <c r="S2140" s="69"/>
      <c r="AB2140"/>
      <c r="AC2140"/>
    </row>
    <row r="2141" spans="16:29" x14ac:dyDescent="0.25">
      <c r="P2141" s="70"/>
      <c r="Q2141" s="71"/>
      <c r="R2141" s="69"/>
      <c r="S2141" s="69"/>
      <c r="AB2141"/>
      <c r="AC2141"/>
    </row>
    <row r="2142" spans="16:29" x14ac:dyDescent="0.25">
      <c r="P2142" s="70"/>
      <c r="Q2142" s="71"/>
      <c r="R2142" s="69"/>
      <c r="S2142" s="69"/>
      <c r="AB2142"/>
      <c r="AC2142"/>
    </row>
    <row r="2143" spans="16:29" x14ac:dyDescent="0.25">
      <c r="P2143" s="70"/>
      <c r="Q2143" s="71"/>
      <c r="R2143" s="69"/>
      <c r="S2143" s="69"/>
      <c r="AB2143"/>
      <c r="AC2143"/>
    </row>
    <row r="2144" spans="16:29" x14ac:dyDescent="0.25">
      <c r="P2144" s="70"/>
      <c r="Q2144" s="71"/>
      <c r="R2144" s="69"/>
      <c r="S2144" s="69"/>
      <c r="AB2144"/>
      <c r="AC2144"/>
    </row>
    <row r="2145" spans="16:29" x14ac:dyDescent="0.25">
      <c r="P2145" s="70"/>
      <c r="Q2145" s="71"/>
      <c r="R2145" s="69"/>
      <c r="S2145" s="69"/>
      <c r="AB2145"/>
      <c r="AC2145"/>
    </row>
    <row r="2146" spans="16:29" x14ac:dyDescent="0.25">
      <c r="P2146" s="70"/>
      <c r="Q2146" s="71"/>
      <c r="R2146" s="69"/>
      <c r="S2146" s="69"/>
      <c r="AB2146"/>
      <c r="AC2146"/>
    </row>
    <row r="2147" spans="16:29" x14ac:dyDescent="0.25">
      <c r="P2147" s="70"/>
      <c r="Q2147" s="71"/>
      <c r="R2147" s="69"/>
      <c r="S2147" s="69"/>
      <c r="AB2147"/>
      <c r="AC2147"/>
    </row>
    <row r="2148" spans="16:29" x14ac:dyDescent="0.25">
      <c r="P2148" s="70"/>
      <c r="Q2148" s="71"/>
      <c r="R2148" s="69"/>
      <c r="S2148" s="69"/>
      <c r="AB2148"/>
      <c r="AC2148"/>
    </row>
    <row r="2149" spans="16:29" x14ac:dyDescent="0.25">
      <c r="P2149" s="70"/>
      <c r="Q2149" s="71"/>
      <c r="R2149" s="69"/>
      <c r="S2149" s="69"/>
      <c r="AB2149"/>
      <c r="AC2149"/>
    </row>
    <row r="2150" spans="16:29" x14ac:dyDescent="0.25">
      <c r="P2150" s="7"/>
      <c r="Q2150" s="8"/>
      <c r="R2150" s="6"/>
      <c r="S2150" s="6"/>
      <c r="AB2150"/>
      <c r="AC2150"/>
    </row>
    <row r="2151" spans="16:29" x14ac:dyDescent="0.25">
      <c r="P2151" s="7"/>
      <c r="Q2151" s="8"/>
      <c r="R2151" s="6"/>
      <c r="S2151" s="6"/>
      <c r="AB2151"/>
      <c r="AC2151"/>
    </row>
    <row r="2152" spans="16:29" x14ac:dyDescent="0.25">
      <c r="P2152" s="7"/>
      <c r="Q2152" s="8"/>
      <c r="R2152" s="6"/>
      <c r="S2152" s="6"/>
      <c r="AB2152"/>
      <c r="AC2152"/>
    </row>
    <row r="2153" spans="16:29" x14ac:dyDescent="0.25">
      <c r="P2153" s="7"/>
      <c r="Q2153" s="8"/>
      <c r="R2153" s="6"/>
      <c r="S2153" s="6"/>
      <c r="AB2153"/>
      <c r="AC2153"/>
    </row>
    <row r="2154" spans="16:29" x14ac:dyDescent="0.25">
      <c r="P2154" s="7"/>
      <c r="Q2154" s="8"/>
      <c r="R2154" s="6"/>
      <c r="S2154" s="6"/>
      <c r="AB2154"/>
      <c r="AC2154"/>
    </row>
    <row r="2155" spans="16:29" x14ac:dyDescent="0.25">
      <c r="P2155" s="7"/>
      <c r="Q2155" s="8"/>
      <c r="R2155" s="6"/>
      <c r="S2155" s="6"/>
      <c r="AB2155"/>
      <c r="AC2155"/>
    </row>
    <row r="2156" spans="16:29" x14ac:dyDescent="0.25">
      <c r="P2156" s="7"/>
      <c r="Q2156" s="8"/>
      <c r="R2156" s="6"/>
      <c r="S2156" s="6"/>
      <c r="AB2156"/>
      <c r="AC2156"/>
    </row>
    <row r="2157" spans="16:29" x14ac:dyDescent="0.25">
      <c r="P2157" s="7"/>
      <c r="Q2157" s="8"/>
      <c r="R2157" s="6"/>
      <c r="S2157" s="6"/>
      <c r="AB2157"/>
      <c r="AC2157"/>
    </row>
    <row r="2158" spans="16:29" x14ac:dyDescent="0.25">
      <c r="P2158" s="7"/>
      <c r="Q2158" s="8"/>
      <c r="R2158" s="6"/>
      <c r="S2158" s="6"/>
      <c r="AB2158"/>
      <c r="AC2158"/>
    </row>
    <row r="2159" spans="16:29" x14ac:dyDescent="0.25">
      <c r="P2159" s="7"/>
      <c r="Q2159" s="8"/>
      <c r="R2159" s="6"/>
      <c r="S2159" s="6"/>
      <c r="AB2159"/>
      <c r="AC2159"/>
    </row>
    <row r="2160" spans="16:29" x14ac:dyDescent="0.25">
      <c r="P2160" s="7"/>
      <c r="Q2160" s="8"/>
      <c r="R2160" s="6"/>
      <c r="S2160" s="6"/>
      <c r="AB2160"/>
      <c r="AC2160"/>
    </row>
    <row r="2161" spans="16:29" x14ac:dyDescent="0.25">
      <c r="P2161" s="7"/>
      <c r="Q2161" s="8"/>
      <c r="R2161" s="6"/>
      <c r="S2161" s="6"/>
      <c r="AB2161"/>
      <c r="AC2161"/>
    </row>
    <row r="2162" spans="16:29" x14ac:dyDescent="0.25">
      <c r="P2162" s="7"/>
      <c r="Q2162" s="8"/>
      <c r="R2162" s="6"/>
      <c r="S2162" s="6"/>
      <c r="AB2162"/>
      <c r="AC2162"/>
    </row>
    <row r="2163" spans="16:29" x14ac:dyDescent="0.25">
      <c r="P2163" s="7"/>
      <c r="Q2163" s="8"/>
      <c r="R2163" s="6"/>
      <c r="S2163" s="6"/>
      <c r="AB2163"/>
      <c r="AC2163"/>
    </row>
    <row r="2164" spans="16:29" x14ac:dyDescent="0.25">
      <c r="P2164" s="7"/>
      <c r="Q2164" s="8"/>
      <c r="R2164" s="6"/>
      <c r="S2164" s="6"/>
      <c r="AB2164"/>
      <c r="AC2164"/>
    </row>
    <row r="2165" spans="16:29" x14ac:dyDescent="0.25">
      <c r="P2165" s="7"/>
      <c r="Q2165" s="8"/>
      <c r="R2165" s="6"/>
      <c r="S2165" s="6"/>
      <c r="AB2165"/>
      <c r="AC2165"/>
    </row>
    <row r="2166" spans="16:29" x14ac:dyDescent="0.25">
      <c r="P2166" s="7"/>
      <c r="Q2166" s="8"/>
      <c r="R2166" s="6"/>
      <c r="S2166" s="6"/>
      <c r="AB2166"/>
      <c r="AC2166"/>
    </row>
    <row r="2167" spans="16:29" x14ac:dyDescent="0.25">
      <c r="P2167" s="7"/>
      <c r="Q2167" s="8"/>
      <c r="R2167" s="6"/>
      <c r="S2167" s="6"/>
      <c r="AB2167"/>
      <c r="AC2167"/>
    </row>
    <row r="2168" spans="16:29" x14ac:dyDescent="0.25">
      <c r="P2168" s="7"/>
      <c r="Q2168" s="8"/>
      <c r="R2168" s="6"/>
      <c r="S2168" s="6"/>
      <c r="AB2168"/>
      <c r="AC2168"/>
    </row>
    <row r="2169" spans="16:29" x14ac:dyDescent="0.25">
      <c r="P2169" s="7"/>
      <c r="Q2169" s="8"/>
      <c r="R2169" s="6"/>
      <c r="S2169" s="6"/>
      <c r="AB2169"/>
      <c r="AC2169"/>
    </row>
    <row r="2170" spans="16:29" x14ac:dyDescent="0.25">
      <c r="P2170" s="7"/>
      <c r="Q2170" s="8"/>
      <c r="R2170" s="6"/>
      <c r="S2170" s="6"/>
      <c r="AB2170"/>
      <c r="AC2170"/>
    </row>
    <row r="2171" spans="16:29" x14ac:dyDescent="0.25">
      <c r="P2171" s="7"/>
      <c r="Q2171" s="8"/>
      <c r="R2171" s="6"/>
      <c r="S2171" s="6"/>
      <c r="AB2171"/>
      <c r="AC2171"/>
    </row>
    <row r="2172" spans="16:29" x14ac:dyDescent="0.25">
      <c r="P2172" s="7"/>
      <c r="Q2172" s="8"/>
      <c r="R2172" s="6"/>
      <c r="S2172" s="6"/>
      <c r="AB2172"/>
      <c r="AC2172"/>
    </row>
    <row r="2173" spans="16:29" x14ac:dyDescent="0.25">
      <c r="P2173" s="7"/>
      <c r="Q2173" s="8"/>
      <c r="R2173" s="6"/>
      <c r="S2173" s="6"/>
      <c r="AB2173"/>
      <c r="AC2173"/>
    </row>
    <row r="2174" spans="16:29" x14ac:dyDescent="0.25">
      <c r="P2174" s="7"/>
      <c r="Q2174" s="8"/>
      <c r="R2174" s="6"/>
      <c r="S2174" s="6"/>
      <c r="AB2174"/>
      <c r="AC2174"/>
    </row>
    <row r="2175" spans="16:29" x14ac:dyDescent="0.25">
      <c r="P2175" s="7"/>
      <c r="Q2175" s="8"/>
      <c r="R2175" s="6"/>
      <c r="S2175" s="6"/>
      <c r="AB2175"/>
      <c r="AC2175"/>
    </row>
    <row r="2176" spans="16:29" x14ac:dyDescent="0.25">
      <c r="P2176" s="7"/>
      <c r="Q2176" s="8"/>
      <c r="R2176" s="6"/>
      <c r="S2176" s="6"/>
      <c r="AB2176"/>
      <c r="AC2176"/>
    </row>
    <row r="2177" spans="16:29" x14ac:dyDescent="0.25">
      <c r="P2177" s="7"/>
      <c r="Q2177" s="8"/>
      <c r="R2177" s="6"/>
      <c r="S2177" s="6"/>
      <c r="AB2177"/>
      <c r="AC2177"/>
    </row>
    <row r="2178" spans="16:29" x14ac:dyDescent="0.25">
      <c r="P2178" s="7"/>
      <c r="Q2178" s="8"/>
      <c r="R2178" s="6"/>
      <c r="S2178" s="6"/>
      <c r="AB2178"/>
      <c r="AC2178"/>
    </row>
    <row r="2179" spans="16:29" x14ac:dyDescent="0.25">
      <c r="P2179" s="7"/>
      <c r="Q2179" s="8"/>
      <c r="R2179" s="6"/>
      <c r="S2179" s="6"/>
      <c r="AB2179"/>
      <c r="AC2179"/>
    </row>
    <row r="2180" spans="16:29" x14ac:dyDescent="0.25">
      <c r="P2180" s="7"/>
      <c r="Q2180" s="8"/>
      <c r="R2180" s="6"/>
      <c r="S2180" s="6"/>
      <c r="AB2180"/>
      <c r="AC2180"/>
    </row>
    <row r="2181" spans="16:29" x14ac:dyDescent="0.25">
      <c r="P2181" s="7"/>
      <c r="Q2181" s="8"/>
      <c r="R2181" s="6"/>
      <c r="S2181" s="6"/>
      <c r="AB2181"/>
      <c r="AC2181"/>
    </row>
    <row r="2182" spans="16:29" x14ac:dyDescent="0.25">
      <c r="P2182" s="7"/>
      <c r="Q2182" s="8"/>
      <c r="R2182" s="6"/>
      <c r="S2182" s="6"/>
      <c r="AB2182"/>
      <c r="AC2182"/>
    </row>
    <row r="2183" spans="16:29" x14ac:dyDescent="0.25">
      <c r="P2183" s="7"/>
      <c r="Q2183" s="8"/>
      <c r="R2183" s="6"/>
      <c r="S2183" s="6"/>
      <c r="AB2183"/>
      <c r="AC2183"/>
    </row>
    <row r="2184" spans="16:29" x14ac:dyDescent="0.25">
      <c r="P2184" s="7"/>
      <c r="Q2184" s="8"/>
      <c r="R2184" s="6"/>
      <c r="S2184" s="6"/>
      <c r="AB2184"/>
      <c r="AC2184"/>
    </row>
    <row r="2185" spans="16:29" x14ac:dyDescent="0.25">
      <c r="P2185" s="7"/>
      <c r="Q2185" s="8"/>
      <c r="R2185" s="6"/>
      <c r="S2185" s="6"/>
      <c r="AB2185"/>
      <c r="AC2185"/>
    </row>
    <row r="2186" spans="16:29" x14ac:dyDescent="0.25">
      <c r="P2186" s="7"/>
      <c r="Q2186" s="8"/>
      <c r="R2186" s="6"/>
      <c r="S2186" s="6"/>
      <c r="AB2186"/>
      <c r="AC2186"/>
    </row>
    <row r="2187" spans="16:29" x14ac:dyDescent="0.25">
      <c r="P2187" s="7"/>
      <c r="Q2187" s="8"/>
      <c r="R2187" s="6"/>
      <c r="S2187" s="6"/>
      <c r="AB2187"/>
      <c r="AC2187"/>
    </row>
    <row r="2188" spans="16:29" x14ac:dyDescent="0.25">
      <c r="P2188" s="7"/>
      <c r="Q2188" s="8"/>
      <c r="R2188" s="6"/>
      <c r="S2188" s="6"/>
      <c r="AB2188"/>
      <c r="AC2188"/>
    </row>
    <row r="2189" spans="16:29" x14ac:dyDescent="0.25">
      <c r="P2189" s="7"/>
      <c r="Q2189" s="8"/>
      <c r="R2189" s="6"/>
      <c r="S2189" s="6"/>
      <c r="AB2189"/>
      <c r="AC2189"/>
    </row>
    <row r="2190" spans="16:29" x14ac:dyDescent="0.25">
      <c r="P2190" s="7"/>
      <c r="Q2190" s="8"/>
      <c r="R2190" s="6"/>
      <c r="S2190" s="6"/>
      <c r="AB2190"/>
      <c r="AC2190"/>
    </row>
    <row r="2191" spans="16:29" x14ac:dyDescent="0.25">
      <c r="P2191" s="7"/>
      <c r="Q2191" s="8"/>
      <c r="R2191" s="6"/>
      <c r="S2191" s="6"/>
      <c r="AB2191"/>
      <c r="AC2191"/>
    </row>
    <row r="2192" spans="16:29" x14ac:dyDescent="0.25">
      <c r="P2192" s="7"/>
      <c r="Q2192" s="8"/>
      <c r="R2192" s="6"/>
      <c r="S2192" s="6"/>
      <c r="AB2192"/>
      <c r="AC2192"/>
    </row>
    <row r="2193" spans="16:29" x14ac:dyDescent="0.25">
      <c r="P2193" s="7"/>
      <c r="Q2193" s="8"/>
      <c r="R2193" s="6"/>
      <c r="S2193" s="6"/>
      <c r="AB2193"/>
      <c r="AC2193"/>
    </row>
    <row r="2194" spans="16:29" x14ac:dyDescent="0.25">
      <c r="P2194" s="7"/>
      <c r="Q2194" s="8"/>
      <c r="R2194" s="6"/>
      <c r="S2194" s="6"/>
      <c r="AB2194"/>
      <c r="AC2194"/>
    </row>
    <row r="2195" spans="16:29" x14ac:dyDescent="0.25">
      <c r="P2195" s="7"/>
      <c r="Q2195" s="8"/>
      <c r="R2195" s="6"/>
      <c r="S2195" s="6"/>
      <c r="AB2195"/>
      <c r="AC2195"/>
    </row>
    <row r="2196" spans="16:29" x14ac:dyDescent="0.25">
      <c r="P2196" s="7"/>
      <c r="Q2196" s="8"/>
      <c r="R2196" s="6"/>
      <c r="S2196" s="6"/>
      <c r="AB2196"/>
      <c r="AC2196"/>
    </row>
    <row r="2197" spans="16:29" x14ac:dyDescent="0.25">
      <c r="P2197" s="7"/>
      <c r="Q2197" s="8"/>
      <c r="R2197" s="6"/>
      <c r="S2197" s="6"/>
      <c r="AB2197"/>
      <c r="AC2197"/>
    </row>
    <row r="2198" spans="16:29" x14ac:dyDescent="0.25">
      <c r="P2198" s="7"/>
      <c r="Q2198" s="8"/>
      <c r="R2198" s="6"/>
      <c r="S2198" s="6"/>
      <c r="AB2198"/>
      <c r="AC2198"/>
    </row>
    <row r="2199" spans="16:29" x14ac:dyDescent="0.25">
      <c r="P2199" s="7"/>
      <c r="Q2199" s="8"/>
      <c r="R2199" s="6"/>
      <c r="S2199" s="6"/>
      <c r="AB2199"/>
      <c r="AC2199"/>
    </row>
    <row r="2200" spans="16:29" x14ac:dyDescent="0.25">
      <c r="P2200" s="7"/>
      <c r="Q2200" s="8"/>
      <c r="R2200" s="6"/>
      <c r="S2200" s="6"/>
      <c r="AB2200"/>
      <c r="AC2200"/>
    </row>
    <row r="2201" spans="16:29" x14ac:dyDescent="0.25">
      <c r="P2201" s="7"/>
      <c r="Q2201" s="8"/>
      <c r="R2201" s="6"/>
      <c r="S2201" s="6"/>
      <c r="AB2201"/>
      <c r="AC2201"/>
    </row>
    <row r="2202" spans="16:29" x14ac:dyDescent="0.25">
      <c r="P2202" s="7"/>
      <c r="Q2202" s="8"/>
      <c r="R2202" s="6"/>
      <c r="S2202" s="6"/>
      <c r="AB2202"/>
      <c r="AC2202"/>
    </row>
    <row r="2203" spans="16:29" x14ac:dyDescent="0.25">
      <c r="P2203" s="7"/>
      <c r="Q2203" s="8"/>
      <c r="R2203" s="6"/>
      <c r="S2203" s="6"/>
      <c r="AB2203"/>
      <c r="AC2203"/>
    </row>
    <row r="2204" spans="16:29" x14ac:dyDescent="0.25">
      <c r="P2204" s="7"/>
      <c r="Q2204" s="8"/>
      <c r="R2204" s="6"/>
      <c r="S2204" s="6"/>
      <c r="AB2204"/>
      <c r="AC2204"/>
    </row>
    <row r="2205" spans="16:29" x14ac:dyDescent="0.25">
      <c r="P2205" s="7"/>
      <c r="Q2205" s="8"/>
      <c r="R2205" s="6"/>
      <c r="S2205" s="6"/>
      <c r="AB2205"/>
      <c r="AC2205"/>
    </row>
    <row r="2206" spans="16:29" x14ac:dyDescent="0.25">
      <c r="P2206" s="7"/>
      <c r="Q2206" s="8"/>
      <c r="R2206" s="6"/>
      <c r="S2206" s="6"/>
      <c r="AB2206"/>
      <c r="AC2206"/>
    </row>
    <row r="2207" spans="16:29" x14ac:dyDescent="0.25">
      <c r="P2207" s="7"/>
      <c r="Q2207" s="8"/>
      <c r="R2207" s="6"/>
      <c r="S2207" s="6"/>
      <c r="AB2207"/>
      <c r="AC2207"/>
    </row>
    <row r="2208" spans="16:29" x14ac:dyDescent="0.25">
      <c r="P2208" s="7"/>
      <c r="Q2208" s="8"/>
      <c r="R2208" s="6"/>
      <c r="S2208" s="6"/>
      <c r="AB2208"/>
      <c r="AC2208"/>
    </row>
    <row r="2209" spans="16:29" x14ac:dyDescent="0.25">
      <c r="P2209" s="7"/>
      <c r="Q2209" s="8"/>
      <c r="R2209" s="6"/>
      <c r="S2209" s="6"/>
      <c r="AB2209"/>
      <c r="AC2209"/>
    </row>
    <row r="2210" spans="16:29" x14ac:dyDescent="0.25">
      <c r="P2210" s="7"/>
      <c r="Q2210" s="8"/>
      <c r="R2210" s="6"/>
      <c r="S2210" s="6"/>
      <c r="AB2210"/>
      <c r="AC2210"/>
    </row>
    <row r="2211" spans="16:29" x14ac:dyDescent="0.25">
      <c r="P2211" s="7"/>
      <c r="Q2211" s="8"/>
      <c r="R2211" s="6"/>
      <c r="S2211" s="6"/>
      <c r="AB2211"/>
      <c r="AC2211"/>
    </row>
    <row r="2212" spans="16:29" x14ac:dyDescent="0.25">
      <c r="P2212" s="7"/>
      <c r="Q2212" s="8"/>
      <c r="R2212" s="6"/>
      <c r="S2212" s="6"/>
      <c r="AB2212"/>
      <c r="AC2212"/>
    </row>
    <row r="2213" spans="16:29" x14ac:dyDescent="0.25">
      <c r="P2213" s="7"/>
      <c r="Q2213" s="8"/>
      <c r="R2213" s="6"/>
      <c r="S2213" s="6"/>
      <c r="AB2213"/>
      <c r="AC2213"/>
    </row>
    <row r="2214" spans="16:29" x14ac:dyDescent="0.25">
      <c r="P2214" s="7"/>
      <c r="Q2214" s="8"/>
      <c r="R2214" s="6"/>
      <c r="S2214" s="6"/>
      <c r="AB2214"/>
      <c r="AC2214"/>
    </row>
    <row r="2215" spans="16:29" x14ac:dyDescent="0.25">
      <c r="P2215" s="7"/>
      <c r="Q2215" s="8"/>
      <c r="R2215" s="6"/>
      <c r="S2215" s="6"/>
      <c r="AB2215"/>
      <c r="AC2215"/>
    </row>
    <row r="2216" spans="16:29" x14ac:dyDescent="0.25">
      <c r="P2216" s="7"/>
      <c r="Q2216" s="8"/>
      <c r="R2216" s="6"/>
      <c r="S2216" s="6"/>
      <c r="AB2216"/>
      <c r="AC2216"/>
    </row>
    <row r="2217" spans="16:29" x14ac:dyDescent="0.25">
      <c r="P2217" s="7"/>
      <c r="Q2217" s="8"/>
      <c r="R2217" s="6"/>
      <c r="S2217" s="6"/>
      <c r="AB2217"/>
      <c r="AC2217"/>
    </row>
    <row r="2218" spans="16:29" x14ac:dyDescent="0.25">
      <c r="P2218" s="7"/>
      <c r="Q2218" s="8"/>
      <c r="R2218" s="6"/>
      <c r="S2218" s="6"/>
      <c r="AB2218"/>
      <c r="AC2218"/>
    </row>
    <row r="2219" spans="16:29" x14ac:dyDescent="0.25">
      <c r="P2219" s="7"/>
      <c r="Q2219" s="8"/>
      <c r="R2219" s="6"/>
      <c r="S2219" s="6"/>
      <c r="AB2219"/>
      <c r="AC2219"/>
    </row>
    <row r="2220" spans="16:29" x14ac:dyDescent="0.25">
      <c r="P2220" s="7"/>
      <c r="Q2220" s="8"/>
      <c r="R2220" s="6"/>
      <c r="S2220" s="6"/>
      <c r="AB2220"/>
      <c r="AC2220"/>
    </row>
    <row r="2221" spans="16:29" x14ac:dyDescent="0.25">
      <c r="P2221" s="7"/>
      <c r="Q2221" s="8"/>
      <c r="R2221" s="6"/>
      <c r="S2221" s="6"/>
      <c r="AB2221"/>
      <c r="AC2221"/>
    </row>
    <row r="2222" spans="16:29" x14ac:dyDescent="0.25">
      <c r="P2222" s="7"/>
      <c r="Q2222" s="8"/>
      <c r="R2222" s="6"/>
      <c r="S2222" s="6"/>
      <c r="AB2222"/>
      <c r="AC2222"/>
    </row>
    <row r="2223" spans="16:29" x14ac:dyDescent="0.25">
      <c r="P2223" s="7"/>
      <c r="Q2223" s="8"/>
      <c r="R2223" s="6"/>
      <c r="S2223" s="6"/>
      <c r="AB2223"/>
      <c r="AC2223"/>
    </row>
    <row r="2224" spans="16:29" x14ac:dyDescent="0.25">
      <c r="P2224" s="7"/>
      <c r="Q2224" s="8"/>
      <c r="R2224" s="6"/>
      <c r="S2224" s="6"/>
      <c r="AB2224"/>
      <c r="AC2224"/>
    </row>
    <row r="2225" spans="16:29" x14ac:dyDescent="0.25">
      <c r="P2225" s="7"/>
      <c r="Q2225" s="8"/>
      <c r="R2225" s="6"/>
      <c r="S2225" s="6"/>
      <c r="AB2225"/>
      <c r="AC2225"/>
    </row>
    <row r="2226" spans="16:29" x14ac:dyDescent="0.25">
      <c r="P2226" s="7"/>
      <c r="Q2226" s="8"/>
      <c r="R2226" s="6"/>
      <c r="S2226" s="6"/>
      <c r="AB2226"/>
      <c r="AC2226"/>
    </row>
    <row r="2227" spans="16:29" x14ac:dyDescent="0.25">
      <c r="P2227" s="7"/>
      <c r="Q2227" s="8"/>
      <c r="R2227" s="6"/>
      <c r="S2227" s="6"/>
      <c r="AB2227"/>
      <c r="AC2227"/>
    </row>
    <row r="2228" spans="16:29" x14ac:dyDescent="0.25">
      <c r="P2228" s="7"/>
      <c r="Q2228" s="8"/>
      <c r="R2228" s="6"/>
      <c r="S2228" s="6"/>
      <c r="AB2228"/>
      <c r="AC2228"/>
    </row>
    <row r="2229" spans="16:29" x14ac:dyDescent="0.25">
      <c r="P2229" s="7"/>
      <c r="Q2229" s="8"/>
      <c r="R2229" s="6"/>
      <c r="S2229" s="6"/>
      <c r="T2229" s="11"/>
      <c r="AB2229"/>
      <c r="AC2229"/>
    </row>
    <row r="2230" spans="16:29" x14ac:dyDescent="0.25">
      <c r="P2230" s="7"/>
      <c r="Q2230" s="8"/>
      <c r="R2230" s="6"/>
      <c r="S2230" s="6"/>
      <c r="T2230" s="11"/>
      <c r="AB2230"/>
      <c r="AC2230"/>
    </row>
    <row r="2231" spans="16:29" x14ac:dyDescent="0.25">
      <c r="P2231" s="7"/>
      <c r="Q2231" s="8"/>
      <c r="R2231" s="6"/>
      <c r="S2231" s="6"/>
      <c r="T2231" s="11"/>
      <c r="AB2231"/>
      <c r="AC2231"/>
    </row>
    <row r="2232" spans="16:29" x14ac:dyDescent="0.25">
      <c r="P2232" s="7"/>
      <c r="Q2232" s="8"/>
      <c r="R2232" s="6"/>
      <c r="S2232" s="6"/>
      <c r="AB2232"/>
      <c r="AC2232"/>
    </row>
    <row r="2233" spans="16:29" x14ac:dyDescent="0.25">
      <c r="P2233" s="7"/>
      <c r="Q2233" s="8"/>
      <c r="R2233" s="6"/>
      <c r="S2233" s="6"/>
      <c r="AB2233"/>
      <c r="AC2233"/>
    </row>
    <row r="2234" spans="16:29" x14ac:dyDescent="0.25">
      <c r="P2234" s="7"/>
      <c r="Q2234" s="8"/>
      <c r="R2234" s="6"/>
      <c r="S2234" s="6"/>
      <c r="T2234" s="11"/>
      <c r="AB2234"/>
      <c r="AC2234"/>
    </row>
    <row r="2235" spans="16:29" x14ac:dyDescent="0.25">
      <c r="P2235" s="7"/>
      <c r="Q2235" s="8"/>
      <c r="R2235" s="6"/>
      <c r="S2235" s="6"/>
      <c r="AB2235"/>
      <c r="AC2235"/>
    </row>
    <row r="2236" spans="16:29" x14ac:dyDescent="0.25">
      <c r="P2236" s="7"/>
      <c r="Q2236" s="8"/>
      <c r="R2236" s="6"/>
      <c r="S2236" s="6"/>
      <c r="AB2236"/>
      <c r="AC2236"/>
    </row>
    <row r="2237" spans="16:29" x14ac:dyDescent="0.25">
      <c r="P2237" s="7"/>
      <c r="Q2237" s="8"/>
      <c r="R2237" s="6"/>
      <c r="S2237" s="6"/>
      <c r="T2237" s="11"/>
      <c r="AB2237"/>
      <c r="AC2237"/>
    </row>
    <row r="2238" spans="16:29" x14ac:dyDescent="0.25">
      <c r="P2238" s="7"/>
      <c r="Q2238" s="8"/>
      <c r="R2238" s="6"/>
      <c r="S2238" s="6"/>
      <c r="AB2238"/>
      <c r="AC2238"/>
    </row>
    <row r="2239" spans="16:29" x14ac:dyDescent="0.25">
      <c r="P2239" s="7"/>
      <c r="Q2239" s="8"/>
      <c r="R2239" s="6"/>
      <c r="S2239" s="6"/>
      <c r="T2239" s="11"/>
      <c r="AB2239"/>
      <c r="AC2239"/>
    </row>
    <row r="2240" spans="16:29" x14ac:dyDescent="0.25">
      <c r="P2240" s="7"/>
      <c r="Q2240" s="8"/>
      <c r="R2240" s="6"/>
      <c r="S2240" s="6"/>
      <c r="T2240" s="11"/>
      <c r="AB2240"/>
      <c r="AC2240"/>
    </row>
    <row r="2241" spans="16:29" x14ac:dyDescent="0.25">
      <c r="P2241" s="7"/>
      <c r="Q2241" s="8"/>
      <c r="R2241" s="6"/>
      <c r="S2241" s="6"/>
      <c r="T2241" s="11"/>
      <c r="AB2241"/>
      <c r="AC2241"/>
    </row>
    <row r="2242" spans="16:29" x14ac:dyDescent="0.25">
      <c r="P2242" s="7"/>
      <c r="Q2242" s="8"/>
      <c r="R2242" s="6"/>
      <c r="S2242" s="6"/>
      <c r="T2242" s="11"/>
      <c r="AB2242"/>
      <c r="AC2242"/>
    </row>
    <row r="2243" spans="16:29" x14ac:dyDescent="0.25">
      <c r="P2243" s="7"/>
      <c r="Q2243" s="8"/>
      <c r="R2243" s="6"/>
      <c r="S2243" s="6"/>
      <c r="AB2243"/>
      <c r="AC2243"/>
    </row>
    <row r="2244" spans="16:29" x14ac:dyDescent="0.25">
      <c r="P2244" s="7"/>
      <c r="Q2244" s="8"/>
      <c r="R2244" s="6"/>
      <c r="S2244" s="6"/>
      <c r="AB2244"/>
      <c r="AC2244"/>
    </row>
    <row r="2245" spans="16:29" x14ac:dyDescent="0.25">
      <c r="P2245" s="7"/>
      <c r="Q2245" s="8"/>
      <c r="R2245" s="6"/>
      <c r="S2245" s="6"/>
      <c r="AB2245"/>
      <c r="AC2245"/>
    </row>
    <row r="2246" spans="16:29" x14ac:dyDescent="0.25">
      <c r="P2246" s="7"/>
      <c r="Q2246" s="8"/>
      <c r="R2246" s="6"/>
      <c r="S2246" s="6"/>
      <c r="AB2246"/>
      <c r="AC2246"/>
    </row>
    <row r="2247" spans="16:29" x14ac:dyDescent="0.25">
      <c r="P2247" s="7"/>
      <c r="Q2247" s="8"/>
      <c r="R2247" s="6"/>
      <c r="S2247" s="6"/>
      <c r="AB2247"/>
      <c r="AC2247"/>
    </row>
    <row r="2248" spans="16:29" x14ac:dyDescent="0.25">
      <c r="P2248" s="7"/>
      <c r="Q2248" s="8"/>
      <c r="R2248" s="6"/>
      <c r="S2248" s="6"/>
      <c r="T2248" s="11"/>
      <c r="AB2248"/>
      <c r="AC2248"/>
    </row>
    <row r="2249" spans="16:29" x14ac:dyDescent="0.25">
      <c r="P2249" s="7"/>
      <c r="Q2249" s="8"/>
      <c r="R2249" s="6"/>
      <c r="S2249" s="6"/>
      <c r="AB2249"/>
      <c r="AC2249"/>
    </row>
    <row r="2250" spans="16:29" x14ac:dyDescent="0.25">
      <c r="P2250" s="7"/>
      <c r="Q2250" s="8"/>
      <c r="R2250" s="6"/>
      <c r="S2250" s="6"/>
      <c r="AB2250"/>
      <c r="AC2250"/>
    </row>
    <row r="2251" spans="16:29" x14ac:dyDescent="0.25">
      <c r="P2251" s="7"/>
      <c r="Q2251" s="8"/>
      <c r="R2251" s="6"/>
      <c r="S2251" s="6"/>
      <c r="AB2251"/>
      <c r="AC2251"/>
    </row>
    <row r="2252" spans="16:29" x14ac:dyDescent="0.25">
      <c r="P2252" s="7"/>
      <c r="Q2252" s="8"/>
      <c r="R2252" s="6"/>
      <c r="S2252" s="6"/>
      <c r="AB2252"/>
      <c r="AC2252"/>
    </row>
    <row r="2253" spans="16:29" x14ac:dyDescent="0.25">
      <c r="P2253" s="7"/>
      <c r="Q2253" s="8"/>
      <c r="R2253" s="6"/>
      <c r="S2253" s="6"/>
      <c r="AB2253"/>
      <c r="AC2253"/>
    </row>
    <row r="2254" spans="16:29" x14ac:dyDescent="0.25">
      <c r="P2254" s="7"/>
      <c r="Q2254" s="8"/>
      <c r="R2254" s="6"/>
      <c r="S2254" s="6"/>
      <c r="AB2254"/>
      <c r="AC2254"/>
    </row>
    <row r="2255" spans="16:29" x14ac:dyDescent="0.25">
      <c r="P2255" s="7"/>
      <c r="Q2255" s="8"/>
      <c r="R2255" s="6"/>
      <c r="S2255" s="6"/>
      <c r="AB2255"/>
      <c r="AC2255"/>
    </row>
    <row r="2256" spans="16:29" x14ac:dyDescent="0.25">
      <c r="P2256" s="7"/>
      <c r="Q2256" s="8"/>
      <c r="R2256" s="6"/>
      <c r="S2256" s="6"/>
      <c r="AB2256"/>
      <c r="AC2256"/>
    </row>
    <row r="2257" spans="16:29" x14ac:dyDescent="0.25">
      <c r="P2257" s="7"/>
      <c r="Q2257" s="8"/>
      <c r="R2257" s="6"/>
      <c r="S2257" s="6"/>
      <c r="AB2257"/>
      <c r="AC2257"/>
    </row>
    <row r="2258" spans="16:29" x14ac:dyDescent="0.25">
      <c r="P2258" s="7"/>
      <c r="Q2258" s="8"/>
      <c r="R2258" s="6"/>
      <c r="S2258" s="6"/>
      <c r="AB2258"/>
      <c r="AC2258"/>
    </row>
    <row r="2259" spans="16:29" x14ac:dyDescent="0.25">
      <c r="P2259" s="7"/>
      <c r="Q2259" s="8"/>
      <c r="R2259" s="6"/>
      <c r="S2259" s="6"/>
      <c r="AB2259"/>
      <c r="AC2259"/>
    </row>
    <row r="2260" spans="16:29" x14ac:dyDescent="0.25">
      <c r="P2260" s="7"/>
      <c r="Q2260" s="8"/>
      <c r="R2260" s="6"/>
      <c r="S2260" s="6"/>
      <c r="AB2260"/>
      <c r="AC2260"/>
    </row>
    <row r="2261" spans="16:29" x14ac:dyDescent="0.25">
      <c r="P2261" s="7"/>
      <c r="Q2261" s="8"/>
      <c r="R2261" s="6"/>
      <c r="S2261" s="6"/>
      <c r="AB2261"/>
      <c r="AC2261"/>
    </row>
    <row r="2262" spans="16:29" x14ac:dyDescent="0.25">
      <c r="P2262" s="7"/>
      <c r="Q2262" s="8"/>
      <c r="R2262" s="6"/>
      <c r="S2262" s="6"/>
      <c r="AB2262"/>
      <c r="AC2262"/>
    </row>
    <row r="2263" spans="16:29" x14ac:dyDescent="0.25">
      <c r="P2263" s="7"/>
      <c r="Q2263" s="8"/>
      <c r="R2263" s="6"/>
      <c r="S2263" s="6"/>
      <c r="AB2263"/>
      <c r="AC2263"/>
    </row>
    <row r="2264" spans="16:29" x14ac:dyDescent="0.25">
      <c r="P2264" s="7"/>
      <c r="Q2264" s="8"/>
      <c r="R2264" s="6"/>
      <c r="S2264" s="6"/>
      <c r="AB2264"/>
      <c r="AC2264"/>
    </row>
    <row r="2265" spans="16:29" x14ac:dyDescent="0.25">
      <c r="P2265" s="7"/>
      <c r="Q2265" s="8"/>
      <c r="R2265" s="6"/>
      <c r="S2265" s="6"/>
      <c r="AB2265"/>
      <c r="AC2265"/>
    </row>
    <row r="2266" spans="16:29" x14ac:dyDescent="0.25">
      <c r="P2266" s="7"/>
      <c r="Q2266" s="8"/>
      <c r="R2266" s="6"/>
      <c r="S2266" s="6"/>
      <c r="AB2266"/>
      <c r="AC2266"/>
    </row>
    <row r="2267" spans="16:29" x14ac:dyDescent="0.25">
      <c r="P2267" s="7"/>
      <c r="Q2267" s="8"/>
      <c r="R2267" s="6"/>
      <c r="S2267" s="6"/>
      <c r="AB2267"/>
      <c r="AC2267"/>
    </row>
    <row r="2268" spans="16:29" x14ac:dyDescent="0.25">
      <c r="P2268" s="7"/>
      <c r="Q2268" s="8"/>
      <c r="R2268" s="6"/>
      <c r="S2268" s="6"/>
      <c r="AB2268"/>
      <c r="AC2268"/>
    </row>
    <row r="2269" spans="16:29" x14ac:dyDescent="0.25">
      <c r="P2269" s="7"/>
      <c r="Q2269" s="8"/>
      <c r="R2269" s="6"/>
      <c r="S2269" s="6"/>
      <c r="AB2269"/>
      <c r="AC2269"/>
    </row>
    <row r="2270" spans="16:29" x14ac:dyDescent="0.25">
      <c r="P2270" s="7"/>
      <c r="Q2270" s="8"/>
      <c r="R2270" s="6"/>
      <c r="S2270" s="6"/>
      <c r="AB2270"/>
      <c r="AC2270"/>
    </row>
    <row r="2271" spans="16:29" x14ac:dyDescent="0.25">
      <c r="P2271" s="7"/>
      <c r="Q2271" s="8"/>
      <c r="R2271" s="6"/>
      <c r="S2271" s="6"/>
      <c r="AB2271"/>
      <c r="AC2271"/>
    </row>
    <row r="2272" spans="16:29" x14ac:dyDescent="0.25">
      <c r="P2272" s="7"/>
      <c r="Q2272" s="8"/>
      <c r="R2272" s="6"/>
      <c r="S2272" s="6"/>
      <c r="AB2272"/>
      <c r="AC2272"/>
    </row>
    <row r="2273" spans="16:29" x14ac:dyDescent="0.25">
      <c r="P2273" s="7"/>
      <c r="Q2273" s="8"/>
      <c r="R2273" s="6"/>
      <c r="S2273" s="6"/>
      <c r="AB2273"/>
      <c r="AC2273"/>
    </row>
    <row r="2274" spans="16:29" x14ac:dyDescent="0.25">
      <c r="P2274" s="7"/>
      <c r="Q2274" s="8"/>
      <c r="R2274" s="6"/>
      <c r="S2274" s="6"/>
      <c r="AB2274"/>
      <c r="AC2274"/>
    </row>
    <row r="2275" spans="16:29" x14ac:dyDescent="0.25">
      <c r="P2275" s="7"/>
      <c r="Q2275" s="8"/>
      <c r="R2275" s="6"/>
      <c r="S2275" s="6"/>
      <c r="AB2275"/>
      <c r="AC2275"/>
    </row>
    <row r="2276" spans="16:29" x14ac:dyDescent="0.25">
      <c r="P2276" s="7"/>
      <c r="Q2276" s="8"/>
      <c r="R2276" s="6"/>
      <c r="S2276" s="6"/>
      <c r="AB2276"/>
      <c r="AC2276"/>
    </row>
    <row r="2277" spans="16:29" x14ac:dyDescent="0.25">
      <c r="P2277" s="7"/>
      <c r="Q2277" s="8"/>
      <c r="R2277" s="6"/>
      <c r="S2277" s="6"/>
      <c r="AB2277"/>
      <c r="AC2277"/>
    </row>
    <row r="2278" spans="16:29" x14ac:dyDescent="0.25">
      <c r="P2278" s="7"/>
      <c r="Q2278" s="8"/>
      <c r="R2278" s="6"/>
      <c r="S2278" s="6"/>
      <c r="AB2278"/>
      <c r="AC2278"/>
    </row>
    <row r="2279" spans="16:29" x14ac:dyDescent="0.25">
      <c r="P2279" s="7"/>
      <c r="Q2279" s="8"/>
      <c r="R2279" s="6"/>
      <c r="S2279" s="6"/>
      <c r="AB2279"/>
      <c r="AC2279"/>
    </row>
    <row r="2280" spans="16:29" x14ac:dyDescent="0.25">
      <c r="P2280" s="7"/>
      <c r="Q2280" s="8"/>
      <c r="R2280" s="6"/>
      <c r="S2280" s="6"/>
      <c r="AB2280"/>
      <c r="AC2280"/>
    </row>
    <row r="2281" spans="16:29" x14ac:dyDescent="0.25">
      <c r="P2281" s="7"/>
      <c r="Q2281" s="8"/>
      <c r="R2281" s="6"/>
      <c r="S2281" s="6"/>
      <c r="AB2281"/>
      <c r="AC2281"/>
    </row>
    <row r="2282" spans="16:29" x14ac:dyDescent="0.25">
      <c r="P2282" s="7"/>
      <c r="Q2282" s="8"/>
      <c r="R2282" s="6"/>
      <c r="S2282" s="6"/>
      <c r="AB2282"/>
      <c r="AC2282"/>
    </row>
    <row r="2283" spans="16:29" x14ac:dyDescent="0.25">
      <c r="P2283" s="7"/>
      <c r="Q2283" s="8"/>
      <c r="R2283" s="6"/>
      <c r="S2283" s="6"/>
      <c r="AB2283"/>
      <c r="AC2283"/>
    </row>
    <row r="2284" spans="16:29" x14ac:dyDescent="0.25">
      <c r="P2284" s="7"/>
      <c r="Q2284" s="8"/>
      <c r="R2284" s="6"/>
      <c r="S2284" s="6"/>
      <c r="AB2284"/>
      <c r="AC2284"/>
    </row>
    <row r="2285" spans="16:29" x14ac:dyDescent="0.25">
      <c r="P2285" s="7"/>
      <c r="Q2285" s="8"/>
      <c r="R2285" s="6"/>
      <c r="S2285" s="6"/>
      <c r="AB2285"/>
      <c r="AC2285"/>
    </row>
    <row r="2286" spans="16:29" x14ac:dyDescent="0.25">
      <c r="P2286" s="7"/>
      <c r="Q2286" s="8"/>
      <c r="R2286" s="6"/>
      <c r="S2286" s="6"/>
      <c r="AB2286"/>
      <c r="AC2286"/>
    </row>
    <row r="2287" spans="16:29" x14ac:dyDescent="0.25">
      <c r="P2287" s="7"/>
      <c r="Q2287" s="8"/>
      <c r="R2287" s="6"/>
      <c r="S2287" s="6"/>
      <c r="AB2287"/>
      <c r="AC2287"/>
    </row>
    <row r="2288" spans="16:29" x14ac:dyDescent="0.25">
      <c r="P2288" s="7"/>
      <c r="Q2288" s="8"/>
      <c r="R2288" s="6"/>
      <c r="S2288" s="6"/>
      <c r="AB2288"/>
      <c r="AC2288"/>
    </row>
    <row r="2289" spans="16:29" x14ac:dyDescent="0.25">
      <c r="P2289" s="7"/>
      <c r="Q2289" s="8"/>
      <c r="R2289" s="6"/>
      <c r="S2289" s="6"/>
      <c r="AB2289"/>
      <c r="AC2289"/>
    </row>
    <row r="2290" spans="16:29" x14ac:dyDescent="0.25">
      <c r="P2290" s="7"/>
      <c r="Q2290" s="8"/>
      <c r="R2290" s="6"/>
      <c r="S2290" s="6"/>
      <c r="AB2290"/>
      <c r="AC2290"/>
    </row>
    <row r="2291" spans="16:29" x14ac:dyDescent="0.25">
      <c r="P2291" s="7"/>
      <c r="Q2291" s="8"/>
      <c r="R2291" s="6"/>
      <c r="S2291" s="6"/>
      <c r="AB2291"/>
      <c r="AC2291"/>
    </row>
    <row r="2292" spans="16:29" x14ac:dyDescent="0.25">
      <c r="P2292" s="7"/>
      <c r="Q2292" s="8"/>
      <c r="R2292" s="6"/>
      <c r="S2292" s="6"/>
      <c r="AB2292"/>
      <c r="AC2292"/>
    </row>
    <row r="2293" spans="16:29" x14ac:dyDescent="0.25">
      <c r="P2293" s="7"/>
      <c r="Q2293" s="8"/>
      <c r="R2293" s="6"/>
      <c r="S2293" s="6"/>
      <c r="AB2293"/>
      <c r="AC2293"/>
    </row>
    <row r="2294" spans="16:29" x14ac:dyDescent="0.25">
      <c r="P2294" s="7"/>
      <c r="Q2294" s="8"/>
      <c r="R2294" s="6"/>
      <c r="S2294" s="6"/>
      <c r="AB2294"/>
      <c r="AC2294"/>
    </row>
    <row r="2295" spans="16:29" x14ac:dyDescent="0.25">
      <c r="P2295" s="7"/>
      <c r="Q2295" s="8"/>
      <c r="R2295" s="6"/>
      <c r="S2295" s="6"/>
      <c r="AB2295"/>
      <c r="AC2295"/>
    </row>
    <row r="2296" spans="16:29" x14ac:dyDescent="0.25">
      <c r="P2296" s="7"/>
      <c r="Q2296" s="8"/>
      <c r="R2296" s="6"/>
      <c r="S2296" s="6"/>
      <c r="AB2296"/>
      <c r="AC2296"/>
    </row>
    <row r="2297" spans="16:29" x14ac:dyDescent="0.25">
      <c r="P2297" s="7"/>
      <c r="Q2297" s="8"/>
      <c r="R2297" s="6"/>
      <c r="S2297" s="6"/>
      <c r="AB2297"/>
      <c r="AC2297"/>
    </row>
    <row r="2298" spans="16:29" x14ac:dyDescent="0.25">
      <c r="P2298" s="7"/>
      <c r="Q2298" s="8"/>
      <c r="R2298" s="6"/>
      <c r="S2298" s="6"/>
      <c r="AB2298"/>
      <c r="AC2298"/>
    </row>
    <row r="2299" spans="16:29" x14ac:dyDescent="0.25">
      <c r="P2299" s="7"/>
      <c r="Q2299" s="8"/>
      <c r="R2299" s="6"/>
      <c r="S2299" s="6"/>
      <c r="AB2299"/>
      <c r="AC2299"/>
    </row>
    <row r="2300" spans="16:29" x14ac:dyDescent="0.25">
      <c r="P2300" s="7"/>
      <c r="Q2300" s="8"/>
      <c r="R2300" s="6"/>
      <c r="S2300" s="6"/>
      <c r="AB2300"/>
      <c r="AC2300"/>
    </row>
    <row r="2301" spans="16:29" x14ac:dyDescent="0.25">
      <c r="P2301" s="7"/>
      <c r="Q2301" s="8"/>
      <c r="R2301" s="6"/>
      <c r="S2301" s="6"/>
      <c r="AB2301"/>
      <c r="AC2301"/>
    </row>
    <row r="2302" spans="16:29" x14ac:dyDescent="0.25">
      <c r="P2302" s="7"/>
      <c r="Q2302" s="8"/>
      <c r="R2302" s="6"/>
      <c r="S2302" s="6"/>
      <c r="AB2302"/>
      <c r="AC2302"/>
    </row>
    <row r="2303" spans="16:29" x14ac:dyDescent="0.25">
      <c r="P2303" s="7"/>
      <c r="Q2303" s="8"/>
      <c r="R2303" s="6"/>
      <c r="S2303" s="6"/>
      <c r="AB2303"/>
      <c r="AC2303"/>
    </row>
    <row r="2304" spans="16:29" x14ac:dyDescent="0.25">
      <c r="P2304" s="7"/>
      <c r="Q2304" s="8"/>
      <c r="R2304" s="6"/>
      <c r="S2304" s="6"/>
      <c r="AB2304"/>
      <c r="AC2304"/>
    </row>
    <row r="2305" spans="16:29" x14ac:dyDescent="0.25">
      <c r="P2305" s="7"/>
      <c r="Q2305" s="8"/>
      <c r="R2305" s="6"/>
      <c r="S2305" s="6"/>
      <c r="AB2305"/>
      <c r="AC2305"/>
    </row>
    <row r="2306" spans="16:29" x14ac:dyDescent="0.25">
      <c r="P2306" s="7"/>
      <c r="Q2306" s="8"/>
      <c r="R2306" s="6"/>
      <c r="S2306" s="6"/>
      <c r="AB2306"/>
      <c r="AC2306"/>
    </row>
    <row r="2307" spans="16:29" x14ac:dyDescent="0.25">
      <c r="P2307" s="7"/>
      <c r="Q2307" s="8"/>
      <c r="R2307" s="6"/>
      <c r="S2307" s="6"/>
      <c r="AB2307"/>
      <c r="AC2307"/>
    </row>
    <row r="2308" spans="16:29" x14ac:dyDescent="0.25">
      <c r="P2308" s="7"/>
      <c r="Q2308" s="8"/>
      <c r="R2308" s="6"/>
      <c r="S2308" s="6"/>
      <c r="AB2308"/>
      <c r="AC2308"/>
    </row>
    <row r="2309" spans="16:29" x14ac:dyDescent="0.25">
      <c r="P2309" s="7"/>
      <c r="Q2309" s="8"/>
      <c r="R2309" s="6"/>
      <c r="S2309" s="6"/>
      <c r="AB2309"/>
      <c r="AC2309"/>
    </row>
    <row r="2310" spans="16:29" x14ac:dyDescent="0.25">
      <c r="P2310" s="7"/>
      <c r="Q2310" s="8"/>
      <c r="R2310" s="6"/>
      <c r="S2310" s="6"/>
      <c r="AB2310"/>
      <c r="AC2310"/>
    </row>
    <row r="2311" spans="16:29" x14ac:dyDescent="0.25">
      <c r="P2311" s="7"/>
      <c r="Q2311" s="8"/>
      <c r="R2311" s="6"/>
      <c r="S2311" s="6"/>
      <c r="AB2311"/>
      <c r="AC2311"/>
    </row>
    <row r="2312" spans="16:29" x14ac:dyDescent="0.25">
      <c r="P2312" s="7"/>
      <c r="Q2312" s="8"/>
      <c r="R2312" s="6"/>
      <c r="S2312" s="6"/>
      <c r="AB2312"/>
      <c r="AC2312"/>
    </row>
    <row r="2313" spans="16:29" x14ac:dyDescent="0.25">
      <c r="P2313" s="7"/>
      <c r="Q2313" s="8"/>
      <c r="R2313" s="6"/>
      <c r="S2313" s="6"/>
      <c r="AB2313"/>
      <c r="AC2313"/>
    </row>
    <row r="2314" spans="16:29" x14ac:dyDescent="0.25">
      <c r="P2314" s="7"/>
      <c r="Q2314" s="8"/>
      <c r="R2314" s="6"/>
      <c r="S2314" s="6"/>
      <c r="AB2314"/>
      <c r="AC2314"/>
    </row>
    <row r="2315" spans="16:29" x14ac:dyDescent="0.25">
      <c r="P2315" s="7"/>
      <c r="Q2315" s="8"/>
      <c r="R2315" s="6"/>
      <c r="S2315" s="6"/>
      <c r="AB2315"/>
      <c r="AC2315"/>
    </row>
    <row r="2316" spans="16:29" x14ac:dyDescent="0.25">
      <c r="P2316" s="7"/>
      <c r="Q2316" s="8"/>
      <c r="R2316" s="6"/>
      <c r="S2316" s="6"/>
      <c r="AB2316"/>
      <c r="AC2316"/>
    </row>
    <row r="2317" spans="16:29" x14ac:dyDescent="0.25">
      <c r="P2317" s="7"/>
      <c r="Q2317" s="8"/>
      <c r="R2317" s="6"/>
      <c r="S2317" s="6"/>
      <c r="AB2317"/>
      <c r="AC2317"/>
    </row>
    <row r="2318" spans="16:29" x14ac:dyDescent="0.25">
      <c r="P2318" s="7"/>
      <c r="Q2318" s="8"/>
      <c r="R2318" s="6"/>
      <c r="S2318" s="6"/>
      <c r="AB2318"/>
      <c r="AC2318"/>
    </row>
    <row r="2319" spans="16:29" x14ac:dyDescent="0.25">
      <c r="P2319" s="7"/>
      <c r="Q2319" s="8"/>
      <c r="R2319" s="6"/>
      <c r="S2319" s="6"/>
      <c r="AB2319"/>
      <c r="AC2319"/>
    </row>
    <row r="2320" spans="16:29" x14ac:dyDescent="0.25">
      <c r="P2320" s="7"/>
      <c r="Q2320" s="8"/>
      <c r="R2320" s="6"/>
      <c r="S2320" s="6"/>
      <c r="AB2320"/>
      <c r="AC2320"/>
    </row>
    <row r="2321" spans="16:29" x14ac:dyDescent="0.25">
      <c r="P2321" s="7"/>
      <c r="Q2321" s="8"/>
      <c r="R2321" s="6"/>
      <c r="S2321" s="6"/>
      <c r="AB2321"/>
      <c r="AC2321"/>
    </row>
    <row r="2322" spans="16:29" x14ac:dyDescent="0.25">
      <c r="P2322" s="7"/>
      <c r="Q2322" s="8"/>
      <c r="R2322" s="6"/>
      <c r="S2322" s="6"/>
      <c r="AB2322"/>
      <c r="AC2322"/>
    </row>
    <row r="2323" spans="16:29" x14ac:dyDescent="0.25">
      <c r="P2323" s="7"/>
      <c r="Q2323" s="8"/>
      <c r="R2323" s="6"/>
      <c r="S2323" s="6"/>
      <c r="AB2323"/>
      <c r="AC2323"/>
    </row>
    <row r="2324" spans="16:29" x14ac:dyDescent="0.25">
      <c r="P2324" s="7"/>
      <c r="Q2324" s="8"/>
      <c r="R2324" s="6"/>
      <c r="S2324" s="6"/>
      <c r="AB2324"/>
      <c r="AC2324"/>
    </row>
    <row r="2325" spans="16:29" x14ac:dyDescent="0.25">
      <c r="P2325" s="7"/>
      <c r="Q2325" s="8"/>
      <c r="R2325" s="6"/>
      <c r="S2325" s="6"/>
      <c r="AB2325"/>
      <c r="AC2325"/>
    </row>
    <row r="2326" spans="16:29" x14ac:dyDescent="0.25">
      <c r="P2326" s="7"/>
      <c r="Q2326" s="8"/>
      <c r="R2326" s="6"/>
      <c r="S2326" s="6"/>
      <c r="AB2326"/>
      <c r="AC2326"/>
    </row>
    <row r="2327" spans="16:29" x14ac:dyDescent="0.25">
      <c r="P2327" s="7"/>
      <c r="Q2327" s="8"/>
      <c r="R2327" s="6"/>
      <c r="S2327" s="6"/>
      <c r="AB2327"/>
      <c r="AC2327"/>
    </row>
    <row r="2328" spans="16:29" x14ac:dyDescent="0.25">
      <c r="P2328" s="7"/>
      <c r="Q2328" s="8"/>
      <c r="R2328" s="6"/>
      <c r="S2328" s="6"/>
      <c r="AB2328"/>
      <c r="AC2328"/>
    </row>
    <row r="2329" spans="16:29" x14ac:dyDescent="0.25">
      <c r="P2329" s="7"/>
      <c r="Q2329" s="8"/>
      <c r="R2329" s="6"/>
      <c r="S2329" s="6"/>
      <c r="AB2329"/>
      <c r="AC2329"/>
    </row>
    <row r="2330" spans="16:29" x14ac:dyDescent="0.25">
      <c r="P2330" s="7"/>
      <c r="Q2330" s="8"/>
      <c r="R2330" s="6"/>
      <c r="S2330" s="6"/>
      <c r="AB2330"/>
      <c r="AC2330"/>
    </row>
    <row r="2331" spans="16:29" x14ac:dyDescent="0.25">
      <c r="P2331" s="7"/>
      <c r="Q2331" s="8"/>
      <c r="R2331" s="6"/>
      <c r="S2331" s="6"/>
      <c r="AB2331"/>
      <c r="AC2331"/>
    </row>
    <row r="2332" spans="16:29" x14ac:dyDescent="0.25">
      <c r="P2332" s="7"/>
      <c r="Q2332" s="8"/>
      <c r="R2332" s="6"/>
      <c r="S2332" s="6"/>
      <c r="AB2332"/>
      <c r="AC2332"/>
    </row>
    <row r="2333" spans="16:29" x14ac:dyDescent="0.25">
      <c r="P2333" s="7"/>
      <c r="Q2333" s="8"/>
      <c r="R2333" s="6"/>
      <c r="S2333" s="6"/>
      <c r="AB2333"/>
      <c r="AC2333"/>
    </row>
    <row r="2334" spans="16:29" x14ac:dyDescent="0.25">
      <c r="P2334" s="7"/>
      <c r="Q2334" s="8"/>
      <c r="R2334" s="6"/>
      <c r="S2334" s="6"/>
      <c r="AB2334"/>
      <c r="AC2334"/>
    </row>
    <row r="2335" spans="16:29" x14ac:dyDescent="0.25">
      <c r="P2335" s="7"/>
      <c r="Q2335" s="8"/>
      <c r="R2335" s="6"/>
      <c r="S2335" s="6"/>
      <c r="AB2335"/>
      <c r="AC2335"/>
    </row>
    <row r="2336" spans="16:29" x14ac:dyDescent="0.25">
      <c r="P2336" s="7"/>
      <c r="Q2336" s="8"/>
      <c r="R2336" s="6"/>
      <c r="S2336" s="6"/>
      <c r="AB2336"/>
      <c r="AC2336"/>
    </row>
    <row r="2337" spans="16:29" x14ac:dyDescent="0.25">
      <c r="P2337" s="7"/>
      <c r="Q2337" s="8"/>
      <c r="R2337" s="6"/>
      <c r="S2337" s="6"/>
      <c r="AB2337"/>
      <c r="AC2337"/>
    </row>
    <row r="2338" spans="16:29" x14ac:dyDescent="0.25">
      <c r="P2338" s="7"/>
      <c r="Q2338" s="8"/>
      <c r="R2338" s="6"/>
      <c r="S2338" s="6"/>
      <c r="AB2338"/>
      <c r="AC2338"/>
    </row>
    <row r="2339" spans="16:29" x14ac:dyDescent="0.25">
      <c r="P2339" s="7"/>
      <c r="Q2339" s="8"/>
      <c r="R2339" s="6"/>
      <c r="S2339" s="6"/>
      <c r="AB2339"/>
      <c r="AC2339"/>
    </row>
    <row r="2340" spans="16:29" x14ac:dyDescent="0.25">
      <c r="P2340" s="7"/>
      <c r="Q2340" s="8"/>
      <c r="R2340" s="6"/>
      <c r="S2340" s="6"/>
      <c r="AB2340"/>
      <c r="AC2340"/>
    </row>
    <row r="2341" spans="16:29" x14ac:dyDescent="0.25">
      <c r="P2341" s="7"/>
      <c r="Q2341" s="8"/>
      <c r="R2341" s="6"/>
      <c r="S2341" s="6"/>
      <c r="AB2341"/>
      <c r="AC2341"/>
    </row>
    <row r="2342" spans="16:29" x14ac:dyDescent="0.25">
      <c r="P2342" s="7"/>
      <c r="Q2342" s="8"/>
      <c r="R2342" s="6"/>
      <c r="S2342" s="6"/>
      <c r="AB2342"/>
      <c r="AC2342"/>
    </row>
    <row r="2343" spans="16:29" x14ac:dyDescent="0.25">
      <c r="P2343" s="7"/>
      <c r="Q2343" s="8"/>
      <c r="R2343" s="6"/>
      <c r="S2343" s="6"/>
      <c r="AB2343"/>
      <c r="AC2343"/>
    </row>
    <row r="2344" spans="16:29" x14ac:dyDescent="0.25">
      <c r="P2344" s="7"/>
      <c r="Q2344" s="8"/>
      <c r="R2344" s="6"/>
      <c r="S2344" s="6"/>
      <c r="AB2344"/>
      <c r="AC2344"/>
    </row>
    <row r="2345" spans="16:29" x14ac:dyDescent="0.25">
      <c r="P2345" s="7"/>
      <c r="Q2345" s="8"/>
      <c r="R2345" s="6"/>
      <c r="S2345" s="6"/>
      <c r="AB2345"/>
      <c r="AC2345"/>
    </row>
    <row r="2346" spans="16:29" x14ac:dyDescent="0.25">
      <c r="P2346" s="7"/>
      <c r="Q2346" s="8"/>
      <c r="R2346" s="6"/>
      <c r="S2346" s="6"/>
      <c r="AB2346"/>
      <c r="AC2346"/>
    </row>
    <row r="2347" spans="16:29" x14ac:dyDescent="0.25">
      <c r="P2347" s="7"/>
      <c r="Q2347" s="8"/>
      <c r="R2347" s="6"/>
      <c r="S2347" s="6"/>
      <c r="AB2347"/>
      <c r="AC2347"/>
    </row>
    <row r="2348" spans="16:29" x14ac:dyDescent="0.25">
      <c r="P2348" s="7"/>
      <c r="Q2348" s="8"/>
      <c r="R2348" s="6"/>
      <c r="S2348" s="6"/>
      <c r="AB2348"/>
      <c r="AC2348"/>
    </row>
    <row r="2349" spans="16:29" x14ac:dyDescent="0.25">
      <c r="P2349" s="7"/>
      <c r="Q2349" s="8"/>
      <c r="R2349" s="6"/>
      <c r="S2349" s="6"/>
      <c r="AB2349"/>
      <c r="AC2349"/>
    </row>
    <row r="2350" spans="16:29" x14ac:dyDescent="0.25">
      <c r="P2350" s="7"/>
      <c r="Q2350" s="8"/>
      <c r="R2350" s="6"/>
      <c r="S2350" s="6"/>
      <c r="AB2350"/>
      <c r="AC2350"/>
    </row>
    <row r="2351" spans="16:29" x14ac:dyDescent="0.25">
      <c r="P2351" s="7"/>
      <c r="Q2351" s="8"/>
      <c r="R2351" s="6"/>
      <c r="S2351" s="6"/>
      <c r="AB2351"/>
      <c r="AC2351"/>
    </row>
    <row r="2352" spans="16:29" x14ac:dyDescent="0.25">
      <c r="P2352" s="7"/>
      <c r="Q2352" s="8"/>
      <c r="R2352" s="6"/>
      <c r="S2352" s="6"/>
      <c r="AB2352"/>
      <c r="AC2352"/>
    </row>
    <row r="2353" spans="16:29" x14ac:dyDescent="0.25">
      <c r="P2353" s="7"/>
      <c r="Q2353" s="8"/>
      <c r="R2353" s="6"/>
      <c r="S2353" s="6"/>
      <c r="AB2353"/>
      <c r="AC2353"/>
    </row>
    <row r="2354" spans="16:29" x14ac:dyDescent="0.25">
      <c r="P2354" s="7"/>
      <c r="Q2354" s="8"/>
      <c r="R2354" s="6"/>
      <c r="S2354" s="6"/>
      <c r="AB2354"/>
      <c r="AC2354"/>
    </row>
    <row r="2355" spans="16:29" x14ac:dyDescent="0.25">
      <c r="P2355" s="7"/>
      <c r="Q2355" s="8"/>
      <c r="R2355" s="6"/>
      <c r="S2355" s="6"/>
      <c r="AB2355"/>
      <c r="AC2355"/>
    </row>
    <row r="2356" spans="16:29" x14ac:dyDescent="0.25">
      <c r="P2356" s="7"/>
      <c r="Q2356" s="8"/>
      <c r="R2356" s="6"/>
      <c r="S2356" s="6"/>
      <c r="AB2356"/>
      <c r="AC2356"/>
    </row>
    <row r="2357" spans="16:29" x14ac:dyDescent="0.25">
      <c r="P2357" s="7"/>
      <c r="Q2357" s="8"/>
      <c r="R2357" s="6"/>
      <c r="S2357" s="6"/>
      <c r="AB2357"/>
      <c r="AC2357"/>
    </row>
    <row r="2358" spans="16:29" x14ac:dyDescent="0.25">
      <c r="P2358" s="7"/>
      <c r="Q2358" s="8"/>
      <c r="R2358" s="6"/>
      <c r="S2358" s="6"/>
      <c r="AB2358"/>
      <c r="AC2358"/>
    </row>
    <row r="2359" spans="16:29" x14ac:dyDescent="0.25">
      <c r="P2359" s="7"/>
      <c r="Q2359" s="8"/>
      <c r="R2359" s="6"/>
      <c r="S2359" s="6"/>
      <c r="AB2359"/>
      <c r="AC2359"/>
    </row>
    <row r="2360" spans="16:29" x14ac:dyDescent="0.25">
      <c r="P2360" s="7"/>
      <c r="Q2360" s="8"/>
      <c r="R2360" s="6"/>
      <c r="S2360" s="6"/>
      <c r="AB2360"/>
      <c r="AC2360"/>
    </row>
    <row r="2361" spans="16:29" x14ac:dyDescent="0.25">
      <c r="P2361" s="7"/>
      <c r="Q2361" s="8"/>
      <c r="R2361" s="6"/>
      <c r="S2361" s="6"/>
      <c r="AB2361"/>
      <c r="AC2361"/>
    </row>
    <row r="2362" spans="16:29" x14ac:dyDescent="0.25">
      <c r="P2362" s="7"/>
      <c r="Q2362" s="8"/>
      <c r="R2362" s="6"/>
      <c r="S2362" s="6"/>
      <c r="AB2362"/>
      <c r="AC2362"/>
    </row>
    <row r="2363" spans="16:29" x14ac:dyDescent="0.25">
      <c r="P2363" s="7"/>
      <c r="Q2363" s="8"/>
      <c r="R2363" s="6"/>
      <c r="S2363" s="6"/>
      <c r="AB2363"/>
      <c r="AC2363"/>
    </row>
    <row r="2364" spans="16:29" x14ac:dyDescent="0.25">
      <c r="P2364" s="7"/>
      <c r="Q2364" s="8"/>
      <c r="R2364" s="6"/>
      <c r="S2364" s="6"/>
      <c r="AB2364"/>
      <c r="AC2364"/>
    </row>
    <row r="2365" spans="16:29" x14ac:dyDescent="0.25">
      <c r="P2365" s="7"/>
      <c r="Q2365" s="8"/>
      <c r="R2365" s="6"/>
      <c r="S2365" s="6"/>
      <c r="AB2365"/>
      <c r="AC2365"/>
    </row>
    <row r="2366" spans="16:29" x14ac:dyDescent="0.25">
      <c r="P2366" s="7"/>
      <c r="Q2366" s="8"/>
      <c r="R2366" s="6"/>
      <c r="S2366" s="6"/>
      <c r="AB2366"/>
      <c r="AC2366"/>
    </row>
    <row r="2367" spans="16:29" x14ac:dyDescent="0.25">
      <c r="P2367" s="7"/>
      <c r="Q2367" s="8"/>
      <c r="R2367" s="6"/>
      <c r="S2367" s="6"/>
      <c r="AB2367"/>
      <c r="AC2367"/>
    </row>
    <row r="2368" spans="16:29" x14ac:dyDescent="0.25">
      <c r="P2368" s="7"/>
      <c r="Q2368" s="8"/>
      <c r="R2368" s="6"/>
      <c r="S2368" s="6"/>
      <c r="AB2368"/>
      <c r="AC2368"/>
    </row>
    <row r="2369" spans="16:29" x14ac:dyDescent="0.25">
      <c r="P2369" s="7"/>
      <c r="Q2369" s="8"/>
      <c r="R2369" s="6"/>
      <c r="S2369" s="6"/>
      <c r="AB2369"/>
      <c r="AC2369"/>
    </row>
    <row r="2370" spans="16:29" x14ac:dyDescent="0.25">
      <c r="P2370" s="7"/>
      <c r="Q2370" s="8"/>
      <c r="R2370" s="6"/>
      <c r="S2370" s="6"/>
      <c r="AB2370"/>
      <c r="AC2370"/>
    </row>
    <row r="2371" spans="16:29" x14ac:dyDescent="0.25">
      <c r="P2371" s="7"/>
      <c r="Q2371" s="8"/>
      <c r="R2371" s="6"/>
      <c r="S2371" s="6"/>
      <c r="AB2371"/>
      <c r="AC2371"/>
    </row>
    <row r="2372" spans="16:29" x14ac:dyDescent="0.25">
      <c r="P2372" s="7"/>
      <c r="Q2372" s="8"/>
      <c r="R2372" s="6"/>
      <c r="S2372" s="6"/>
      <c r="AB2372"/>
      <c r="AC2372"/>
    </row>
    <row r="2373" spans="16:29" x14ac:dyDescent="0.25">
      <c r="P2373" s="7"/>
      <c r="Q2373" s="8"/>
      <c r="R2373" s="6"/>
      <c r="S2373" s="6"/>
      <c r="AB2373"/>
      <c r="AC2373"/>
    </row>
    <row r="2374" spans="16:29" x14ac:dyDescent="0.25">
      <c r="P2374" s="7"/>
      <c r="Q2374" s="8"/>
      <c r="R2374" s="6"/>
      <c r="S2374" s="6"/>
      <c r="AB2374"/>
      <c r="AC2374"/>
    </row>
    <row r="2375" spans="16:29" x14ac:dyDescent="0.25">
      <c r="P2375" s="7"/>
      <c r="Q2375" s="8"/>
      <c r="R2375" s="6"/>
      <c r="S2375" s="6"/>
      <c r="AB2375"/>
      <c r="AC2375"/>
    </row>
    <row r="2376" spans="16:29" x14ac:dyDescent="0.25">
      <c r="P2376" s="7"/>
      <c r="Q2376" s="8"/>
      <c r="R2376" s="6"/>
      <c r="S2376" s="6"/>
      <c r="AB2376"/>
      <c r="AC2376"/>
    </row>
    <row r="2377" spans="16:29" x14ac:dyDescent="0.25">
      <c r="P2377" s="7"/>
      <c r="Q2377" s="8"/>
      <c r="R2377" s="6"/>
      <c r="S2377" s="6"/>
      <c r="AB2377"/>
      <c r="AC2377"/>
    </row>
    <row r="2378" spans="16:29" x14ac:dyDescent="0.25">
      <c r="P2378" s="7"/>
      <c r="Q2378" s="8"/>
      <c r="R2378" s="6"/>
      <c r="S2378" s="6"/>
      <c r="AB2378"/>
      <c r="AC2378"/>
    </row>
    <row r="2379" spans="16:29" x14ac:dyDescent="0.25">
      <c r="P2379" s="7"/>
      <c r="Q2379" s="8"/>
      <c r="R2379" s="6"/>
      <c r="S2379" s="6"/>
      <c r="AB2379"/>
      <c r="AC2379"/>
    </row>
    <row r="2380" spans="16:29" x14ac:dyDescent="0.25">
      <c r="P2380" s="7"/>
      <c r="Q2380" s="8"/>
      <c r="R2380" s="6"/>
      <c r="S2380" s="6"/>
      <c r="AB2380"/>
      <c r="AC2380"/>
    </row>
    <row r="2381" spans="16:29" x14ac:dyDescent="0.25">
      <c r="P2381" s="7"/>
      <c r="Q2381" s="8"/>
      <c r="R2381" s="6"/>
      <c r="S2381" s="6"/>
      <c r="AB2381"/>
      <c r="AC2381"/>
    </row>
    <row r="2382" spans="16:29" x14ac:dyDescent="0.25">
      <c r="P2382" s="7"/>
      <c r="Q2382" s="8"/>
      <c r="R2382" s="6"/>
      <c r="S2382" s="6"/>
      <c r="AB2382"/>
      <c r="AC2382"/>
    </row>
    <row r="2383" spans="16:29" x14ac:dyDescent="0.25">
      <c r="P2383" s="7"/>
      <c r="Q2383" s="8"/>
      <c r="R2383" s="6"/>
      <c r="S2383" s="6"/>
      <c r="AB2383"/>
      <c r="AC2383"/>
    </row>
    <row r="2384" spans="16:29" x14ac:dyDescent="0.25">
      <c r="P2384" s="7"/>
      <c r="Q2384" s="8"/>
      <c r="R2384" s="6"/>
      <c r="S2384" s="6"/>
      <c r="AB2384"/>
      <c r="AC2384"/>
    </row>
    <row r="2385" spans="16:29" x14ac:dyDescent="0.25">
      <c r="P2385" s="7"/>
      <c r="Q2385" s="8"/>
      <c r="R2385" s="6"/>
      <c r="S2385" s="6"/>
      <c r="AB2385"/>
      <c r="AC2385"/>
    </row>
    <row r="2386" spans="16:29" x14ac:dyDescent="0.25">
      <c r="P2386" s="7"/>
      <c r="Q2386" s="8"/>
      <c r="R2386" s="6"/>
      <c r="S2386" s="6"/>
      <c r="AB2386"/>
      <c r="AC2386"/>
    </row>
    <row r="2387" spans="16:29" x14ac:dyDescent="0.25">
      <c r="P2387" s="7"/>
      <c r="Q2387" s="8"/>
      <c r="R2387" s="6"/>
      <c r="S2387" s="6"/>
      <c r="AB2387"/>
      <c r="AC2387"/>
    </row>
    <row r="2388" spans="16:29" x14ac:dyDescent="0.25">
      <c r="P2388" s="7"/>
      <c r="Q2388" s="8"/>
      <c r="R2388" s="6"/>
      <c r="S2388" s="6"/>
      <c r="AB2388"/>
      <c r="AC2388"/>
    </row>
    <row r="2389" spans="16:29" x14ac:dyDescent="0.25">
      <c r="P2389" s="7"/>
      <c r="Q2389" s="8"/>
      <c r="R2389" s="6"/>
      <c r="S2389" s="6"/>
      <c r="AB2389"/>
      <c r="AC2389"/>
    </row>
    <row r="2390" spans="16:29" x14ac:dyDescent="0.25">
      <c r="P2390" s="7"/>
      <c r="Q2390" s="8"/>
      <c r="R2390" s="6"/>
      <c r="S2390" s="6"/>
      <c r="AB2390"/>
      <c r="AC2390"/>
    </row>
    <row r="2391" spans="16:29" x14ac:dyDescent="0.25">
      <c r="P2391" s="7"/>
      <c r="Q2391" s="8"/>
      <c r="R2391" s="6"/>
      <c r="S2391" s="6"/>
      <c r="AB2391"/>
      <c r="AC2391"/>
    </row>
    <row r="2392" spans="16:29" x14ac:dyDescent="0.25">
      <c r="P2392" s="7"/>
      <c r="Q2392" s="8"/>
      <c r="R2392" s="6"/>
      <c r="S2392" s="6"/>
      <c r="AB2392"/>
      <c r="AC2392"/>
    </row>
    <row r="2393" spans="16:29" x14ac:dyDescent="0.25">
      <c r="P2393" s="7"/>
      <c r="Q2393" s="8"/>
      <c r="R2393" s="6"/>
      <c r="S2393" s="6"/>
      <c r="AB2393"/>
      <c r="AC2393"/>
    </row>
    <row r="2394" spans="16:29" x14ac:dyDescent="0.25">
      <c r="P2394" s="7"/>
      <c r="Q2394" s="8"/>
      <c r="R2394" s="6"/>
      <c r="S2394" s="6"/>
      <c r="AB2394"/>
      <c r="AC2394"/>
    </row>
    <row r="2395" spans="16:29" x14ac:dyDescent="0.25">
      <c r="P2395" s="7"/>
      <c r="Q2395" s="8"/>
      <c r="R2395" s="6"/>
      <c r="S2395" s="6"/>
      <c r="AB2395"/>
      <c r="AC2395"/>
    </row>
    <row r="2396" spans="16:29" x14ac:dyDescent="0.25">
      <c r="P2396" s="7"/>
      <c r="Q2396" s="8"/>
      <c r="R2396" s="6"/>
      <c r="S2396" s="6"/>
      <c r="AB2396"/>
      <c r="AC2396"/>
    </row>
    <row r="2397" spans="16:29" x14ac:dyDescent="0.25">
      <c r="P2397" s="7"/>
      <c r="Q2397" s="8"/>
      <c r="R2397" s="6"/>
      <c r="S2397" s="6"/>
      <c r="AB2397"/>
      <c r="AC2397"/>
    </row>
    <row r="2398" spans="16:29" x14ac:dyDescent="0.25">
      <c r="P2398" s="7"/>
      <c r="Q2398" s="8"/>
      <c r="R2398" s="6"/>
      <c r="S2398" s="6"/>
      <c r="AB2398"/>
      <c r="AC2398"/>
    </row>
    <row r="2399" spans="16:29" x14ac:dyDescent="0.25">
      <c r="P2399" s="7"/>
      <c r="Q2399" s="8"/>
      <c r="R2399" s="6"/>
      <c r="S2399" s="6"/>
      <c r="AB2399"/>
      <c r="AC2399"/>
    </row>
    <row r="2400" spans="16:29" x14ac:dyDescent="0.25">
      <c r="P2400" s="7"/>
      <c r="Q2400" s="8"/>
      <c r="R2400" s="6"/>
      <c r="S2400" s="6"/>
      <c r="AB2400"/>
      <c r="AC2400"/>
    </row>
    <row r="2401" spans="16:29" x14ac:dyDescent="0.25">
      <c r="P2401" s="7"/>
      <c r="Q2401" s="8"/>
      <c r="R2401" s="6"/>
      <c r="S2401" s="6"/>
      <c r="AB2401"/>
      <c r="AC2401"/>
    </row>
    <row r="2402" spans="16:29" x14ac:dyDescent="0.25">
      <c r="P2402" s="7"/>
      <c r="Q2402" s="8"/>
      <c r="R2402" s="6"/>
      <c r="S2402" s="6"/>
      <c r="AB2402"/>
      <c r="AC2402"/>
    </row>
    <row r="2403" spans="16:29" x14ac:dyDescent="0.25">
      <c r="P2403" s="7"/>
      <c r="Q2403" s="8"/>
      <c r="R2403" s="6"/>
      <c r="S2403" s="6"/>
      <c r="AB2403"/>
      <c r="AC2403"/>
    </row>
    <row r="2404" spans="16:29" x14ac:dyDescent="0.25">
      <c r="P2404" s="7"/>
      <c r="Q2404" s="8"/>
      <c r="R2404" s="6"/>
      <c r="S2404" s="6"/>
      <c r="AB2404"/>
      <c r="AC2404"/>
    </row>
    <row r="2405" spans="16:29" x14ac:dyDescent="0.25">
      <c r="P2405" s="7"/>
      <c r="Q2405" s="8"/>
      <c r="R2405" s="6"/>
      <c r="S2405" s="6"/>
      <c r="AB2405"/>
      <c r="AC2405"/>
    </row>
    <row r="2406" spans="16:29" x14ac:dyDescent="0.25">
      <c r="P2406" s="7"/>
      <c r="Q2406" s="8"/>
      <c r="R2406" s="6"/>
      <c r="S2406" s="6"/>
      <c r="AB2406"/>
      <c r="AC2406"/>
    </row>
    <row r="2407" spans="16:29" x14ac:dyDescent="0.25">
      <c r="P2407" s="7"/>
      <c r="Q2407" s="8"/>
      <c r="R2407" s="6"/>
      <c r="S2407" s="6"/>
      <c r="AB2407"/>
      <c r="AC2407"/>
    </row>
    <row r="2408" spans="16:29" x14ac:dyDescent="0.25">
      <c r="P2408" s="7"/>
      <c r="Q2408" s="8"/>
      <c r="R2408" s="6"/>
      <c r="S2408" s="6"/>
      <c r="AB2408"/>
      <c r="AC2408"/>
    </row>
    <row r="2409" spans="16:29" x14ac:dyDescent="0.25">
      <c r="P2409" s="7"/>
      <c r="Q2409" s="8"/>
      <c r="R2409" s="6"/>
      <c r="S2409" s="6"/>
      <c r="AB2409"/>
      <c r="AC2409"/>
    </row>
    <row r="2410" spans="16:29" x14ac:dyDescent="0.25">
      <c r="P2410" s="7"/>
      <c r="Q2410" s="8"/>
      <c r="R2410" s="6"/>
      <c r="S2410" s="6"/>
      <c r="AB2410"/>
      <c r="AC2410"/>
    </row>
    <row r="2411" spans="16:29" x14ac:dyDescent="0.25">
      <c r="P2411" s="7"/>
      <c r="Q2411" s="8"/>
      <c r="R2411" s="6"/>
      <c r="S2411" s="6"/>
      <c r="AB2411"/>
      <c r="AC2411"/>
    </row>
    <row r="2412" spans="16:29" x14ac:dyDescent="0.25">
      <c r="P2412" s="7"/>
      <c r="Q2412" s="8"/>
      <c r="R2412" s="6"/>
      <c r="S2412" s="6"/>
      <c r="AB2412"/>
      <c r="AC2412"/>
    </row>
    <row r="2413" spans="16:29" x14ac:dyDescent="0.25">
      <c r="P2413" s="7"/>
      <c r="Q2413" s="8"/>
      <c r="R2413" s="6"/>
      <c r="S2413" s="6"/>
      <c r="AB2413"/>
      <c r="AC2413"/>
    </row>
    <row r="2414" spans="16:29" x14ac:dyDescent="0.25">
      <c r="P2414" s="7"/>
      <c r="Q2414" s="8"/>
      <c r="R2414" s="6"/>
      <c r="S2414" s="6"/>
      <c r="AB2414"/>
      <c r="AC2414"/>
    </row>
    <row r="2415" spans="16:29" x14ac:dyDescent="0.25">
      <c r="P2415" s="7"/>
      <c r="Q2415" s="8"/>
      <c r="R2415" s="6"/>
      <c r="S2415" s="6"/>
      <c r="AB2415"/>
      <c r="AC2415"/>
    </row>
    <row r="2416" spans="16:29" x14ac:dyDescent="0.25">
      <c r="P2416" s="7"/>
      <c r="Q2416" s="8"/>
      <c r="R2416" s="6"/>
      <c r="S2416" s="6"/>
      <c r="AB2416"/>
      <c r="AC2416"/>
    </row>
    <row r="2417" spans="16:29" x14ac:dyDescent="0.25">
      <c r="P2417" s="7"/>
      <c r="Q2417" s="8"/>
      <c r="R2417" s="6"/>
      <c r="S2417" s="6"/>
      <c r="AB2417"/>
      <c r="AC2417"/>
    </row>
    <row r="2418" spans="16:29" x14ac:dyDescent="0.25">
      <c r="P2418" s="7"/>
      <c r="Q2418" s="8"/>
      <c r="R2418" s="6"/>
      <c r="S2418" s="6"/>
      <c r="AB2418"/>
      <c r="AC2418"/>
    </row>
    <row r="2419" spans="16:29" x14ac:dyDescent="0.25">
      <c r="P2419" s="7"/>
      <c r="Q2419" s="8"/>
      <c r="R2419" s="6"/>
      <c r="S2419" s="6"/>
      <c r="AB2419"/>
      <c r="AC2419"/>
    </row>
    <row r="2420" spans="16:29" x14ac:dyDescent="0.25">
      <c r="P2420" s="7"/>
      <c r="Q2420" s="8"/>
      <c r="R2420" s="6"/>
      <c r="S2420" s="6"/>
      <c r="AB2420"/>
      <c r="AC2420"/>
    </row>
    <row r="2421" spans="16:29" x14ac:dyDescent="0.25">
      <c r="P2421" s="7"/>
      <c r="Q2421" s="8"/>
      <c r="R2421" s="6"/>
      <c r="S2421" s="6"/>
      <c r="AB2421"/>
      <c r="AC2421"/>
    </row>
    <row r="2422" spans="16:29" x14ac:dyDescent="0.25">
      <c r="P2422" s="7"/>
      <c r="Q2422" s="8"/>
      <c r="R2422" s="6"/>
      <c r="S2422" s="6"/>
      <c r="AB2422"/>
      <c r="AC2422"/>
    </row>
    <row r="2423" spans="16:29" x14ac:dyDescent="0.25">
      <c r="P2423" s="7"/>
      <c r="Q2423" s="8"/>
      <c r="R2423" s="6"/>
      <c r="S2423" s="6"/>
      <c r="AB2423"/>
      <c r="AC2423"/>
    </row>
    <row r="2424" spans="16:29" x14ac:dyDescent="0.25">
      <c r="P2424" s="7"/>
      <c r="Q2424" s="8"/>
      <c r="R2424" s="6"/>
      <c r="S2424" s="6"/>
      <c r="AB2424"/>
      <c r="AC2424"/>
    </row>
    <row r="2425" spans="16:29" x14ac:dyDescent="0.25">
      <c r="P2425" s="7"/>
      <c r="Q2425" s="8"/>
      <c r="R2425" s="6"/>
      <c r="S2425" s="6"/>
      <c r="AB2425"/>
      <c r="AC2425"/>
    </row>
    <row r="2426" spans="16:29" x14ac:dyDescent="0.25">
      <c r="P2426" s="7"/>
      <c r="Q2426" s="8"/>
      <c r="R2426" s="6"/>
      <c r="S2426" s="6"/>
      <c r="AB2426"/>
      <c r="AC2426"/>
    </row>
    <row r="2427" spans="16:29" x14ac:dyDescent="0.25">
      <c r="P2427" s="7"/>
      <c r="Q2427" s="8"/>
      <c r="R2427" s="6"/>
      <c r="S2427" s="6"/>
      <c r="AB2427"/>
      <c r="AC2427"/>
    </row>
    <row r="2428" spans="16:29" x14ac:dyDescent="0.25">
      <c r="P2428" s="7"/>
      <c r="Q2428" s="8"/>
      <c r="R2428" s="6"/>
      <c r="S2428" s="6"/>
      <c r="AB2428"/>
      <c r="AC2428"/>
    </row>
    <row r="2429" spans="16:29" x14ac:dyDescent="0.25">
      <c r="P2429" s="7"/>
      <c r="Q2429" s="8"/>
      <c r="R2429" s="6"/>
      <c r="S2429" s="6"/>
      <c r="AB2429"/>
      <c r="AC2429"/>
    </row>
    <row r="2430" spans="16:29" x14ac:dyDescent="0.25">
      <c r="P2430" s="7"/>
      <c r="Q2430" s="8"/>
      <c r="R2430" s="6"/>
      <c r="S2430" s="6"/>
      <c r="AB2430"/>
      <c r="AC2430"/>
    </row>
    <row r="2431" spans="16:29" x14ac:dyDescent="0.25">
      <c r="P2431" s="7"/>
      <c r="Q2431" s="8"/>
      <c r="R2431" s="6"/>
      <c r="S2431" s="6"/>
      <c r="AB2431"/>
      <c r="AC2431"/>
    </row>
    <row r="2432" spans="16:29" x14ac:dyDescent="0.25">
      <c r="P2432" s="7"/>
      <c r="Q2432" s="8"/>
      <c r="R2432" s="6"/>
      <c r="S2432" s="6"/>
      <c r="AB2432"/>
      <c r="AC2432"/>
    </row>
    <row r="2433" spans="16:29" x14ac:dyDescent="0.25">
      <c r="P2433" s="7"/>
      <c r="Q2433" s="8"/>
      <c r="R2433" s="6"/>
      <c r="S2433" s="6"/>
      <c r="AB2433"/>
      <c r="AC2433"/>
    </row>
    <row r="2434" spans="16:29" x14ac:dyDescent="0.25">
      <c r="P2434" s="7"/>
      <c r="Q2434" s="8"/>
      <c r="R2434" s="6"/>
      <c r="S2434" s="6"/>
      <c r="AB2434"/>
      <c r="AC2434"/>
    </row>
    <row r="2435" spans="16:29" x14ac:dyDescent="0.25">
      <c r="P2435" s="7"/>
      <c r="Q2435" s="8"/>
      <c r="R2435" s="6"/>
      <c r="S2435" s="6"/>
      <c r="AB2435"/>
      <c r="AC2435"/>
    </row>
    <row r="2436" spans="16:29" x14ac:dyDescent="0.25">
      <c r="P2436" s="7"/>
      <c r="Q2436" s="8"/>
      <c r="R2436" s="6"/>
      <c r="S2436" s="6"/>
      <c r="AB2436"/>
      <c r="AC2436"/>
    </row>
    <row r="2437" spans="16:29" x14ac:dyDescent="0.25">
      <c r="P2437" s="7"/>
      <c r="Q2437" s="8"/>
      <c r="R2437" s="6"/>
      <c r="S2437" s="6"/>
      <c r="AB2437"/>
      <c r="AC2437"/>
    </row>
    <row r="2438" spans="16:29" x14ac:dyDescent="0.25">
      <c r="P2438" s="7"/>
      <c r="Q2438" s="8"/>
      <c r="R2438" s="6"/>
      <c r="S2438" s="6"/>
      <c r="AB2438"/>
      <c r="AC2438"/>
    </row>
    <row r="2439" spans="16:29" x14ac:dyDescent="0.25">
      <c r="P2439" s="7"/>
      <c r="Q2439" s="8"/>
      <c r="R2439" s="6"/>
      <c r="S2439" s="6"/>
      <c r="AB2439"/>
      <c r="AC2439"/>
    </row>
    <row r="2440" spans="16:29" x14ac:dyDescent="0.25">
      <c r="P2440" s="7"/>
      <c r="Q2440" s="8"/>
      <c r="R2440" s="6"/>
      <c r="S2440" s="6"/>
      <c r="AB2440"/>
      <c r="AC2440"/>
    </row>
    <row r="2441" spans="16:29" x14ac:dyDescent="0.25">
      <c r="P2441" s="7"/>
      <c r="Q2441" s="8"/>
      <c r="R2441" s="6"/>
      <c r="S2441" s="6"/>
      <c r="AB2441"/>
      <c r="AC2441"/>
    </row>
    <row r="2442" spans="16:29" x14ac:dyDescent="0.25">
      <c r="P2442" s="7"/>
      <c r="Q2442" s="8"/>
      <c r="R2442" s="6"/>
      <c r="S2442" s="6"/>
      <c r="AB2442"/>
      <c r="AC2442"/>
    </row>
    <row r="2443" spans="16:29" x14ac:dyDescent="0.25">
      <c r="P2443" s="7"/>
      <c r="Q2443" s="8"/>
      <c r="R2443" s="6"/>
      <c r="S2443" s="6"/>
      <c r="AB2443"/>
      <c r="AC2443"/>
    </row>
    <row r="2444" spans="16:29" x14ac:dyDescent="0.25">
      <c r="P2444" s="7"/>
      <c r="Q2444" s="8"/>
      <c r="R2444" s="6"/>
      <c r="S2444" s="6"/>
      <c r="AB2444"/>
      <c r="AC2444"/>
    </row>
    <row r="2445" spans="16:29" x14ac:dyDescent="0.25">
      <c r="P2445" s="7"/>
      <c r="Q2445" s="8"/>
      <c r="R2445" s="6"/>
      <c r="S2445" s="6"/>
      <c r="AB2445"/>
      <c r="AC2445"/>
    </row>
    <row r="2446" spans="16:29" x14ac:dyDescent="0.25">
      <c r="P2446" s="7"/>
      <c r="Q2446" s="8"/>
      <c r="R2446" s="6"/>
      <c r="S2446" s="6"/>
      <c r="AB2446"/>
      <c r="AC2446"/>
    </row>
    <row r="2447" spans="16:29" x14ac:dyDescent="0.25">
      <c r="P2447" s="7"/>
      <c r="Q2447" s="8"/>
      <c r="R2447" s="6"/>
      <c r="S2447" s="6"/>
      <c r="AB2447"/>
      <c r="AC2447"/>
    </row>
    <row r="2448" spans="16:29" x14ac:dyDescent="0.25">
      <c r="P2448" s="7"/>
      <c r="Q2448" s="8"/>
      <c r="R2448" s="6"/>
      <c r="S2448" s="6"/>
      <c r="AB2448"/>
      <c r="AC2448"/>
    </row>
    <row r="2449" spans="16:29" x14ac:dyDescent="0.25">
      <c r="P2449" s="7"/>
      <c r="Q2449" s="8"/>
      <c r="R2449" s="6"/>
      <c r="S2449" s="6"/>
      <c r="AB2449"/>
      <c r="AC2449"/>
    </row>
    <row r="2450" spans="16:29" x14ac:dyDescent="0.25">
      <c r="P2450" s="7"/>
      <c r="Q2450" s="8"/>
      <c r="R2450" s="6"/>
      <c r="S2450" s="6"/>
      <c r="AB2450"/>
      <c r="AC2450"/>
    </row>
    <row r="2451" spans="16:29" x14ac:dyDescent="0.25">
      <c r="P2451" s="7"/>
      <c r="Q2451" s="8"/>
      <c r="R2451" s="6"/>
      <c r="S2451" s="6"/>
      <c r="AB2451"/>
      <c r="AC2451"/>
    </row>
    <row r="2452" spans="16:29" x14ac:dyDescent="0.25">
      <c r="P2452" s="7"/>
      <c r="Q2452" s="8"/>
      <c r="R2452" s="6"/>
      <c r="S2452" s="6"/>
      <c r="AB2452"/>
      <c r="AC2452"/>
    </row>
    <row r="2453" spans="16:29" x14ac:dyDescent="0.25">
      <c r="P2453" s="7"/>
      <c r="Q2453" s="8"/>
      <c r="R2453" s="6"/>
      <c r="S2453" s="6"/>
      <c r="AB2453"/>
      <c r="AC2453"/>
    </row>
    <row r="2454" spans="16:29" x14ac:dyDescent="0.25">
      <c r="P2454" s="7"/>
      <c r="Q2454" s="8"/>
      <c r="R2454" s="6"/>
      <c r="S2454" s="6"/>
      <c r="AB2454"/>
      <c r="AC2454"/>
    </row>
    <row r="2455" spans="16:29" x14ac:dyDescent="0.25">
      <c r="P2455" s="7"/>
      <c r="Q2455" s="8"/>
      <c r="R2455" s="6"/>
      <c r="S2455" s="6"/>
      <c r="AB2455"/>
      <c r="AC2455"/>
    </row>
    <row r="2456" spans="16:29" x14ac:dyDescent="0.25">
      <c r="P2456" s="7"/>
      <c r="Q2456" s="8"/>
      <c r="R2456" s="6"/>
      <c r="S2456" s="6"/>
      <c r="AB2456"/>
      <c r="AC2456"/>
    </row>
    <row r="2457" spans="16:29" x14ac:dyDescent="0.25">
      <c r="P2457" s="7"/>
      <c r="Q2457" s="8"/>
      <c r="R2457" s="6"/>
      <c r="S2457" s="6"/>
      <c r="AB2457"/>
      <c r="AC2457"/>
    </row>
    <row r="2458" spans="16:29" x14ac:dyDescent="0.25">
      <c r="P2458" s="7"/>
      <c r="Q2458" s="8"/>
      <c r="R2458" s="6"/>
      <c r="S2458" s="6"/>
      <c r="AB2458"/>
      <c r="AC2458"/>
    </row>
    <row r="2459" spans="16:29" x14ac:dyDescent="0.25">
      <c r="P2459" s="7"/>
      <c r="Q2459" s="8"/>
      <c r="R2459" s="6"/>
      <c r="S2459" s="6"/>
      <c r="AB2459"/>
      <c r="AC2459"/>
    </row>
    <row r="2460" spans="16:29" x14ac:dyDescent="0.25">
      <c r="P2460" s="7"/>
      <c r="Q2460" s="8"/>
      <c r="R2460" s="6"/>
      <c r="S2460" s="6"/>
      <c r="AB2460"/>
      <c r="AC2460"/>
    </row>
    <row r="2461" spans="16:29" x14ac:dyDescent="0.25">
      <c r="P2461" s="7"/>
      <c r="Q2461" s="8"/>
      <c r="R2461" s="6"/>
      <c r="S2461" s="6"/>
      <c r="AB2461"/>
      <c r="AC2461"/>
    </row>
    <row r="2462" spans="16:29" x14ac:dyDescent="0.25">
      <c r="P2462" s="7"/>
      <c r="Q2462" s="8"/>
      <c r="R2462" s="6"/>
      <c r="S2462" s="6"/>
      <c r="AB2462"/>
      <c r="AC2462"/>
    </row>
    <row r="2463" spans="16:29" x14ac:dyDescent="0.25">
      <c r="P2463" s="7"/>
      <c r="Q2463" s="8"/>
      <c r="R2463" s="6"/>
      <c r="S2463" s="6"/>
      <c r="AB2463"/>
      <c r="AC2463"/>
    </row>
    <row r="2464" spans="16:29" x14ac:dyDescent="0.25">
      <c r="P2464" s="7"/>
      <c r="Q2464" s="8"/>
      <c r="R2464" s="6"/>
      <c r="S2464" s="6"/>
      <c r="AB2464"/>
      <c r="AC2464"/>
    </row>
    <row r="2465" spans="16:29" x14ac:dyDescent="0.25">
      <c r="P2465" s="7"/>
      <c r="Q2465" s="8"/>
      <c r="R2465" s="6"/>
      <c r="S2465" s="6"/>
      <c r="AB2465"/>
      <c r="AC2465"/>
    </row>
    <row r="2466" spans="16:29" x14ac:dyDescent="0.25">
      <c r="P2466" s="7"/>
      <c r="Q2466" s="8"/>
      <c r="R2466" s="6"/>
      <c r="S2466" s="6"/>
      <c r="AB2466"/>
      <c r="AC2466"/>
    </row>
    <row r="2467" spans="16:29" x14ac:dyDescent="0.25">
      <c r="P2467" s="7"/>
      <c r="Q2467" s="8"/>
      <c r="R2467" s="6"/>
      <c r="S2467" s="6"/>
      <c r="AB2467"/>
      <c r="AC2467"/>
    </row>
    <row r="2468" spans="16:29" x14ac:dyDescent="0.25">
      <c r="P2468" s="7"/>
      <c r="Q2468" s="8"/>
      <c r="R2468" s="6"/>
      <c r="S2468" s="6"/>
      <c r="AB2468"/>
      <c r="AC2468"/>
    </row>
    <row r="2469" spans="16:29" x14ac:dyDescent="0.25">
      <c r="P2469" s="7"/>
      <c r="Q2469" s="8"/>
      <c r="R2469" s="6"/>
      <c r="S2469" s="6"/>
      <c r="AB2469"/>
      <c r="AC2469"/>
    </row>
    <row r="2470" spans="16:29" x14ac:dyDescent="0.25">
      <c r="P2470" s="7"/>
      <c r="Q2470" s="8"/>
      <c r="R2470" s="6"/>
      <c r="S2470" s="6"/>
      <c r="AB2470"/>
      <c r="AC2470"/>
    </row>
    <row r="2471" spans="16:29" x14ac:dyDescent="0.25">
      <c r="P2471" s="7"/>
      <c r="Q2471" s="8"/>
      <c r="R2471" s="6"/>
      <c r="S2471" s="6"/>
      <c r="AB2471"/>
      <c r="AC2471"/>
    </row>
    <row r="2472" spans="16:29" x14ac:dyDescent="0.25">
      <c r="P2472" s="7"/>
      <c r="Q2472" s="8"/>
      <c r="R2472" s="6"/>
      <c r="S2472" s="6"/>
      <c r="AB2472"/>
      <c r="AC2472"/>
    </row>
    <row r="2473" spans="16:29" x14ac:dyDescent="0.25">
      <c r="P2473" s="7"/>
      <c r="Q2473" s="8"/>
      <c r="R2473" s="6"/>
      <c r="S2473" s="6"/>
      <c r="AB2473"/>
      <c r="AC2473"/>
    </row>
    <row r="2474" spans="16:29" x14ac:dyDescent="0.25">
      <c r="P2474" s="7"/>
      <c r="Q2474" s="8"/>
      <c r="R2474" s="6"/>
      <c r="S2474" s="6"/>
      <c r="AB2474"/>
      <c r="AC2474"/>
    </row>
    <row r="2475" spans="16:29" x14ac:dyDescent="0.25">
      <c r="P2475" s="7"/>
      <c r="Q2475" s="8"/>
      <c r="R2475" s="6"/>
      <c r="S2475" s="6"/>
      <c r="AB2475"/>
      <c r="AC2475"/>
    </row>
    <row r="2476" spans="16:29" x14ac:dyDescent="0.25">
      <c r="P2476" s="7"/>
      <c r="Q2476" s="8"/>
      <c r="R2476" s="6"/>
      <c r="S2476" s="6"/>
      <c r="AB2476"/>
      <c r="AC2476"/>
    </row>
    <row r="2477" spans="16:29" x14ac:dyDescent="0.25">
      <c r="P2477" s="7"/>
      <c r="Q2477" s="8"/>
      <c r="R2477" s="6"/>
      <c r="S2477" s="6"/>
      <c r="AB2477"/>
      <c r="AC2477"/>
    </row>
    <row r="2478" spans="16:29" x14ac:dyDescent="0.25">
      <c r="P2478" s="7"/>
      <c r="Q2478" s="8"/>
      <c r="R2478" s="6"/>
      <c r="S2478" s="6"/>
      <c r="AB2478"/>
      <c r="AC2478"/>
    </row>
    <row r="2479" spans="16:29" x14ac:dyDescent="0.25">
      <c r="P2479" s="7"/>
      <c r="Q2479" s="8"/>
      <c r="R2479" s="6"/>
      <c r="S2479" s="6"/>
      <c r="AB2479"/>
      <c r="AC2479"/>
    </row>
    <row r="2480" spans="16:29" x14ac:dyDescent="0.25">
      <c r="P2480" s="7"/>
      <c r="Q2480" s="8"/>
      <c r="R2480" s="6"/>
      <c r="S2480" s="6"/>
      <c r="AB2480"/>
      <c r="AC2480"/>
    </row>
    <row r="2481" spans="16:29" x14ac:dyDescent="0.25">
      <c r="P2481" s="7"/>
      <c r="Q2481" s="8"/>
      <c r="R2481" s="6"/>
      <c r="S2481" s="6"/>
      <c r="AB2481"/>
      <c r="AC2481"/>
    </row>
    <row r="2482" spans="16:29" x14ac:dyDescent="0.25">
      <c r="P2482" s="7"/>
      <c r="Q2482" s="8"/>
      <c r="R2482" s="6"/>
      <c r="S2482" s="6"/>
      <c r="AB2482"/>
      <c r="AC2482"/>
    </row>
    <row r="2483" spans="16:29" x14ac:dyDescent="0.25">
      <c r="P2483" s="7"/>
      <c r="Q2483" s="8"/>
      <c r="R2483" s="6"/>
      <c r="S2483" s="6"/>
      <c r="AB2483"/>
      <c r="AC2483"/>
    </row>
    <row r="2484" spans="16:29" x14ac:dyDescent="0.25">
      <c r="P2484" s="7"/>
      <c r="Q2484" s="8"/>
      <c r="R2484" s="6"/>
      <c r="S2484" s="6"/>
      <c r="AB2484"/>
      <c r="AC2484"/>
    </row>
    <row r="2485" spans="16:29" x14ac:dyDescent="0.25">
      <c r="P2485" s="7"/>
      <c r="Q2485" s="8"/>
      <c r="R2485" s="6"/>
      <c r="S2485" s="6"/>
      <c r="AB2485"/>
      <c r="AC2485"/>
    </row>
    <row r="2486" spans="16:29" x14ac:dyDescent="0.25">
      <c r="P2486" s="7"/>
      <c r="Q2486" s="8"/>
      <c r="R2486" s="6"/>
      <c r="S2486" s="6"/>
      <c r="AB2486"/>
      <c r="AC2486"/>
    </row>
    <row r="2487" spans="16:29" x14ac:dyDescent="0.25">
      <c r="P2487" s="7"/>
      <c r="Q2487" s="8"/>
      <c r="R2487" s="6"/>
      <c r="S2487" s="6"/>
      <c r="AB2487"/>
      <c r="AC2487"/>
    </row>
    <row r="2488" spans="16:29" x14ac:dyDescent="0.25">
      <c r="P2488" s="7"/>
      <c r="Q2488" s="8"/>
      <c r="R2488" s="6"/>
      <c r="S2488" s="6"/>
      <c r="AB2488"/>
      <c r="AC2488"/>
    </row>
    <row r="2489" spans="16:29" x14ac:dyDescent="0.25">
      <c r="P2489" s="7"/>
      <c r="Q2489" s="8"/>
      <c r="R2489" s="6"/>
      <c r="S2489" s="6"/>
      <c r="AB2489"/>
      <c r="AC2489"/>
    </row>
    <row r="2490" spans="16:29" x14ac:dyDescent="0.25">
      <c r="P2490" s="7"/>
      <c r="Q2490" s="8"/>
      <c r="R2490" s="6"/>
      <c r="S2490" s="6"/>
      <c r="AB2490"/>
      <c r="AC2490"/>
    </row>
    <row r="2491" spans="16:29" x14ac:dyDescent="0.25">
      <c r="P2491" s="7"/>
      <c r="Q2491" s="8"/>
      <c r="R2491" s="6"/>
      <c r="S2491" s="6"/>
      <c r="AB2491"/>
      <c r="AC2491"/>
    </row>
    <row r="2492" spans="16:29" x14ac:dyDescent="0.25">
      <c r="P2492" s="7"/>
      <c r="Q2492" s="8"/>
      <c r="R2492" s="6"/>
      <c r="S2492" s="6"/>
      <c r="AB2492"/>
      <c r="AC2492"/>
    </row>
    <row r="2493" spans="16:29" x14ac:dyDescent="0.25">
      <c r="P2493" s="7"/>
      <c r="Q2493" s="8"/>
      <c r="R2493" s="6"/>
      <c r="S2493" s="6"/>
      <c r="AB2493"/>
      <c r="AC2493"/>
    </row>
    <row r="2494" spans="16:29" x14ac:dyDescent="0.25">
      <c r="P2494" s="7"/>
      <c r="Q2494" s="8"/>
      <c r="R2494" s="6"/>
      <c r="S2494" s="6"/>
      <c r="AB2494"/>
      <c r="AC2494"/>
    </row>
    <row r="2495" spans="16:29" x14ac:dyDescent="0.25">
      <c r="P2495" s="7"/>
      <c r="Q2495" s="8"/>
      <c r="R2495" s="6"/>
      <c r="S2495" s="6"/>
      <c r="AB2495"/>
      <c r="AC2495"/>
    </row>
    <row r="2496" spans="16:29" x14ac:dyDescent="0.25">
      <c r="P2496" s="7"/>
      <c r="Q2496" s="8"/>
      <c r="R2496" s="6"/>
      <c r="S2496" s="6"/>
      <c r="AB2496"/>
      <c r="AC2496"/>
    </row>
    <row r="2497" spans="16:29" x14ac:dyDescent="0.25">
      <c r="P2497" s="7"/>
      <c r="Q2497" s="8"/>
      <c r="R2497" s="6"/>
      <c r="S2497" s="6"/>
      <c r="AB2497"/>
      <c r="AC2497"/>
    </row>
    <row r="2498" spans="16:29" x14ac:dyDescent="0.25">
      <c r="P2498" s="7"/>
      <c r="Q2498" s="8"/>
      <c r="R2498" s="6"/>
      <c r="S2498" s="6"/>
      <c r="AB2498"/>
      <c r="AC2498"/>
    </row>
    <row r="2499" spans="16:29" x14ac:dyDescent="0.25">
      <c r="P2499" s="7"/>
      <c r="Q2499" s="8"/>
      <c r="R2499" s="6"/>
      <c r="S2499" s="6"/>
      <c r="AB2499"/>
      <c r="AC2499"/>
    </row>
    <row r="2500" spans="16:29" x14ac:dyDescent="0.25">
      <c r="P2500" s="7"/>
      <c r="Q2500" s="8"/>
      <c r="R2500" s="6"/>
      <c r="S2500" s="6"/>
      <c r="AB2500"/>
      <c r="AC2500"/>
    </row>
    <row r="2501" spans="16:29" x14ac:dyDescent="0.25">
      <c r="P2501" s="7"/>
      <c r="Q2501" s="8"/>
      <c r="R2501" s="6"/>
      <c r="S2501" s="6"/>
      <c r="AB2501"/>
      <c r="AC2501"/>
    </row>
    <row r="2502" spans="16:29" x14ac:dyDescent="0.25">
      <c r="P2502" s="7"/>
      <c r="Q2502" s="8"/>
      <c r="R2502" s="6"/>
      <c r="S2502" s="6"/>
      <c r="AB2502"/>
      <c r="AC2502"/>
    </row>
    <row r="2503" spans="16:29" x14ac:dyDescent="0.25">
      <c r="P2503" s="7"/>
      <c r="Q2503" s="8"/>
      <c r="R2503" s="6"/>
      <c r="S2503" s="6"/>
      <c r="AB2503"/>
      <c r="AC2503"/>
    </row>
    <row r="2504" spans="16:29" x14ac:dyDescent="0.25">
      <c r="P2504" s="7"/>
      <c r="Q2504" s="8"/>
      <c r="R2504" s="6"/>
      <c r="S2504" s="6"/>
      <c r="AB2504"/>
      <c r="AC2504"/>
    </row>
    <row r="2505" spans="16:29" x14ac:dyDescent="0.25">
      <c r="P2505" s="7"/>
      <c r="Q2505" s="8"/>
      <c r="R2505" s="6"/>
      <c r="S2505" s="6"/>
      <c r="AB2505"/>
      <c r="AC2505"/>
    </row>
    <row r="2506" spans="16:29" x14ac:dyDescent="0.25">
      <c r="P2506" s="7"/>
      <c r="Q2506" s="8"/>
      <c r="R2506" s="6"/>
      <c r="S2506" s="6"/>
      <c r="AB2506"/>
      <c r="AC2506"/>
    </row>
    <row r="2507" spans="16:29" x14ac:dyDescent="0.25">
      <c r="P2507" s="7"/>
      <c r="Q2507" s="8"/>
      <c r="R2507" s="6"/>
      <c r="S2507" s="6"/>
      <c r="AB2507"/>
      <c r="AC2507"/>
    </row>
    <row r="2508" spans="16:29" x14ac:dyDescent="0.25">
      <c r="P2508" s="7"/>
      <c r="Q2508" s="8"/>
      <c r="R2508" s="6"/>
      <c r="S2508" s="6"/>
      <c r="AB2508"/>
      <c r="AC2508"/>
    </row>
    <row r="2509" spans="16:29" x14ac:dyDescent="0.25">
      <c r="P2509" s="7"/>
      <c r="Q2509" s="8"/>
      <c r="R2509" s="6"/>
      <c r="S2509" s="6"/>
      <c r="AB2509"/>
      <c r="AC2509"/>
    </row>
    <row r="2510" spans="16:29" x14ac:dyDescent="0.25">
      <c r="P2510" s="7"/>
      <c r="Q2510" s="8"/>
      <c r="R2510" s="6"/>
      <c r="S2510" s="6"/>
      <c r="AB2510"/>
      <c r="AC2510"/>
    </row>
    <row r="2511" spans="16:29" x14ac:dyDescent="0.25">
      <c r="P2511" s="7"/>
      <c r="Q2511" s="8"/>
      <c r="R2511" s="6"/>
      <c r="S2511" s="6"/>
      <c r="AB2511"/>
      <c r="AC2511"/>
    </row>
    <row r="2512" spans="16:29" x14ac:dyDescent="0.25">
      <c r="P2512" s="7"/>
      <c r="Q2512" s="8"/>
      <c r="R2512" s="6"/>
      <c r="S2512" s="6"/>
      <c r="AB2512"/>
      <c r="AC2512"/>
    </row>
    <row r="2513" spans="16:29" x14ac:dyDescent="0.25">
      <c r="P2513" s="7"/>
      <c r="Q2513" s="8"/>
      <c r="R2513" s="6"/>
      <c r="S2513" s="6"/>
      <c r="AB2513"/>
      <c r="AC2513"/>
    </row>
    <row r="2514" spans="16:29" x14ac:dyDescent="0.25">
      <c r="P2514" s="7"/>
      <c r="Q2514" s="8"/>
      <c r="R2514" s="6"/>
      <c r="S2514" s="6"/>
      <c r="AB2514"/>
      <c r="AC2514"/>
    </row>
    <row r="2515" spans="16:29" x14ac:dyDescent="0.25">
      <c r="P2515" s="7"/>
      <c r="Q2515" s="8"/>
      <c r="R2515" s="6"/>
      <c r="S2515" s="6"/>
      <c r="AB2515"/>
      <c r="AC2515"/>
    </row>
    <row r="2516" spans="16:29" x14ac:dyDescent="0.25">
      <c r="P2516" s="7"/>
      <c r="Q2516" s="8"/>
      <c r="R2516" s="6"/>
      <c r="S2516" s="6"/>
      <c r="AB2516"/>
      <c r="AC2516"/>
    </row>
    <row r="2517" spans="16:29" x14ac:dyDescent="0.25">
      <c r="P2517" s="7"/>
      <c r="Q2517" s="8"/>
      <c r="R2517" s="6"/>
      <c r="S2517" s="6"/>
      <c r="AB2517"/>
      <c r="AC2517"/>
    </row>
    <row r="2518" spans="16:29" x14ac:dyDescent="0.25">
      <c r="P2518" s="7"/>
      <c r="Q2518" s="8"/>
      <c r="R2518" s="6"/>
      <c r="S2518" s="6"/>
      <c r="AB2518"/>
      <c r="AC2518"/>
    </row>
    <row r="2519" spans="16:29" x14ac:dyDescent="0.25">
      <c r="P2519" s="7"/>
      <c r="Q2519" s="8"/>
      <c r="R2519" s="6"/>
      <c r="S2519" s="6"/>
      <c r="AB2519"/>
      <c r="AC2519"/>
    </row>
    <row r="2520" spans="16:29" x14ac:dyDescent="0.25">
      <c r="P2520" s="7"/>
      <c r="Q2520" s="8"/>
      <c r="R2520" s="6"/>
      <c r="S2520" s="6"/>
      <c r="AB2520"/>
      <c r="AC2520"/>
    </row>
    <row r="2521" spans="16:29" x14ac:dyDescent="0.25">
      <c r="P2521" s="7"/>
      <c r="Q2521" s="8"/>
      <c r="R2521" s="6"/>
      <c r="S2521" s="6"/>
      <c r="AB2521"/>
      <c r="AC2521"/>
    </row>
    <row r="2522" spans="16:29" x14ac:dyDescent="0.25">
      <c r="P2522" s="7"/>
      <c r="Q2522" s="8"/>
      <c r="R2522" s="6"/>
      <c r="S2522" s="6"/>
      <c r="AB2522"/>
      <c r="AC2522"/>
    </row>
    <row r="2523" spans="16:29" x14ac:dyDescent="0.25">
      <c r="P2523" s="7"/>
      <c r="Q2523" s="8"/>
      <c r="R2523" s="6"/>
      <c r="S2523" s="6"/>
      <c r="AB2523"/>
      <c r="AC2523"/>
    </row>
    <row r="2524" spans="16:29" x14ac:dyDescent="0.25">
      <c r="P2524" s="7"/>
      <c r="Q2524" s="8"/>
      <c r="R2524" s="6"/>
      <c r="S2524" s="6"/>
      <c r="AB2524"/>
      <c r="AC2524"/>
    </row>
    <row r="2525" spans="16:29" x14ac:dyDescent="0.25">
      <c r="P2525" s="7"/>
      <c r="Q2525" s="8"/>
      <c r="R2525" s="6"/>
      <c r="S2525" s="6"/>
      <c r="AB2525"/>
      <c r="AC2525"/>
    </row>
    <row r="2526" spans="16:29" x14ac:dyDescent="0.25">
      <c r="P2526" s="7"/>
      <c r="Q2526" s="8"/>
      <c r="R2526" s="6"/>
      <c r="S2526" s="6"/>
      <c r="AB2526"/>
      <c r="AC2526"/>
    </row>
    <row r="2527" spans="16:29" x14ac:dyDescent="0.25">
      <c r="P2527" s="7"/>
      <c r="Q2527" s="8"/>
      <c r="R2527" s="6"/>
      <c r="S2527" s="6"/>
      <c r="AB2527"/>
      <c r="AC2527"/>
    </row>
    <row r="2528" spans="16:29" x14ac:dyDescent="0.25">
      <c r="P2528" s="7"/>
      <c r="Q2528" s="8"/>
      <c r="R2528" s="6"/>
      <c r="S2528" s="6"/>
      <c r="AB2528"/>
      <c r="AC2528"/>
    </row>
    <row r="2529" spans="16:29" x14ac:dyDescent="0.25">
      <c r="P2529" s="7"/>
      <c r="Q2529" s="8"/>
      <c r="R2529" s="6"/>
      <c r="S2529" s="6"/>
      <c r="AB2529"/>
      <c r="AC2529"/>
    </row>
    <row r="2530" spans="16:29" x14ac:dyDescent="0.25">
      <c r="P2530" s="7"/>
      <c r="Q2530" s="8"/>
      <c r="R2530" s="6"/>
      <c r="S2530" s="6"/>
      <c r="AB2530"/>
      <c r="AC2530"/>
    </row>
    <row r="2531" spans="16:29" x14ac:dyDescent="0.25">
      <c r="P2531" s="65"/>
      <c r="Q2531" s="66"/>
      <c r="R2531" s="64"/>
      <c r="S2531" s="64"/>
      <c r="AB2531"/>
      <c r="AC2531"/>
    </row>
    <row r="2532" spans="16:29" x14ac:dyDescent="0.25">
      <c r="P2532" s="65"/>
      <c r="Q2532" s="66"/>
      <c r="R2532" s="64"/>
      <c r="S2532" s="64"/>
      <c r="AB2532"/>
      <c r="AC2532"/>
    </row>
    <row r="2533" spans="16:29" x14ac:dyDescent="0.25">
      <c r="P2533" s="65"/>
      <c r="Q2533" s="66"/>
      <c r="R2533" s="64"/>
      <c r="S2533" s="64"/>
      <c r="AB2533"/>
      <c r="AC2533"/>
    </row>
    <row r="2534" spans="16:29" x14ac:dyDescent="0.25">
      <c r="P2534" s="65"/>
      <c r="Q2534" s="66"/>
      <c r="R2534" s="64"/>
      <c r="S2534" s="64"/>
      <c r="AB2534"/>
      <c r="AC2534"/>
    </row>
    <row r="2535" spans="16:29" x14ac:dyDescent="0.25">
      <c r="P2535" s="65"/>
      <c r="Q2535" s="66"/>
      <c r="R2535" s="64"/>
      <c r="S2535" s="64"/>
      <c r="AB2535"/>
      <c r="AC2535"/>
    </row>
    <row r="2536" spans="16:29" x14ac:dyDescent="0.25">
      <c r="P2536" s="65"/>
      <c r="Q2536" s="66"/>
      <c r="R2536" s="64"/>
      <c r="S2536" s="64"/>
      <c r="AB2536"/>
      <c r="AC2536"/>
    </row>
    <row r="2537" spans="16:29" x14ac:dyDescent="0.25">
      <c r="P2537" s="65"/>
      <c r="Q2537" s="66"/>
      <c r="R2537" s="64"/>
      <c r="S2537" s="64"/>
      <c r="AB2537"/>
      <c r="AC2537"/>
    </row>
    <row r="2538" spans="16:29" x14ac:dyDescent="0.25">
      <c r="P2538" s="65"/>
      <c r="Q2538" s="66"/>
      <c r="R2538" s="64"/>
      <c r="S2538" s="64"/>
      <c r="AB2538"/>
      <c r="AC2538"/>
    </row>
    <row r="2539" spans="16:29" x14ac:dyDescent="0.25">
      <c r="P2539" s="65"/>
      <c r="Q2539" s="66"/>
      <c r="R2539" s="64"/>
      <c r="S2539" s="64"/>
      <c r="AB2539"/>
      <c r="AC2539"/>
    </row>
    <row r="2540" spans="16:29" x14ac:dyDescent="0.25">
      <c r="P2540" s="65"/>
      <c r="Q2540" s="66"/>
      <c r="R2540" s="64"/>
      <c r="S2540" s="64"/>
      <c r="AB2540"/>
      <c r="AC2540"/>
    </row>
    <row r="2541" spans="16:29" x14ac:dyDescent="0.25">
      <c r="P2541" s="65"/>
      <c r="Q2541" s="66"/>
      <c r="R2541" s="64"/>
      <c r="S2541" s="64"/>
      <c r="AB2541"/>
      <c r="AC2541"/>
    </row>
    <row r="2542" spans="16:29" x14ac:dyDescent="0.25">
      <c r="P2542" s="65"/>
      <c r="Q2542" s="66"/>
      <c r="R2542" s="64"/>
      <c r="S2542" s="64"/>
      <c r="AB2542"/>
      <c r="AC2542"/>
    </row>
    <row r="2543" spans="16:29" x14ac:dyDescent="0.25">
      <c r="P2543" s="65"/>
      <c r="Q2543" s="66"/>
      <c r="R2543" s="64"/>
      <c r="S2543" s="64"/>
      <c r="AB2543"/>
      <c r="AC2543"/>
    </row>
    <row r="2544" spans="16:29" x14ac:dyDescent="0.25">
      <c r="P2544" s="65"/>
      <c r="Q2544" s="66"/>
      <c r="R2544" s="64"/>
      <c r="S2544" s="64"/>
      <c r="AB2544"/>
      <c r="AC2544"/>
    </row>
    <row r="2545" spans="16:29" x14ac:dyDescent="0.25">
      <c r="P2545" s="65"/>
      <c r="Q2545" s="66"/>
      <c r="R2545" s="64"/>
      <c r="S2545" s="64"/>
      <c r="AB2545"/>
      <c r="AC2545"/>
    </row>
    <row r="2546" spans="16:29" x14ac:dyDescent="0.25">
      <c r="P2546" s="65"/>
      <c r="Q2546" s="66"/>
      <c r="R2546" s="64"/>
      <c r="S2546" s="64"/>
      <c r="AB2546"/>
      <c r="AC2546"/>
    </row>
    <row r="2547" spans="16:29" x14ac:dyDescent="0.25">
      <c r="P2547" s="65"/>
      <c r="Q2547" s="66"/>
      <c r="R2547" s="64"/>
      <c r="S2547" s="64"/>
      <c r="AB2547"/>
      <c r="AC2547"/>
    </row>
    <row r="2548" spans="16:29" x14ac:dyDescent="0.25">
      <c r="P2548" s="65"/>
      <c r="Q2548" s="66"/>
      <c r="R2548" s="64"/>
      <c r="S2548" s="64"/>
      <c r="AB2548"/>
      <c r="AC2548"/>
    </row>
    <row r="2549" spans="16:29" x14ac:dyDescent="0.25">
      <c r="P2549" s="65"/>
      <c r="Q2549" s="66"/>
      <c r="R2549" s="64"/>
      <c r="S2549" s="64"/>
      <c r="AB2549"/>
      <c r="AC2549"/>
    </row>
    <row r="2550" spans="16:29" x14ac:dyDescent="0.25">
      <c r="P2550" s="65"/>
      <c r="Q2550" s="66"/>
      <c r="R2550" s="64"/>
      <c r="S2550" s="64"/>
      <c r="AB2550"/>
      <c r="AC2550"/>
    </row>
    <row r="2551" spans="16:29" x14ac:dyDescent="0.25">
      <c r="P2551" s="65"/>
      <c r="Q2551" s="66"/>
      <c r="R2551" s="64"/>
      <c r="S2551" s="64"/>
      <c r="AB2551"/>
      <c r="AC2551"/>
    </row>
    <row r="2552" spans="16:29" x14ac:dyDescent="0.25">
      <c r="P2552" s="65"/>
      <c r="Q2552" s="66"/>
      <c r="R2552" s="64"/>
      <c r="S2552" s="64"/>
      <c r="AB2552"/>
      <c r="AC2552"/>
    </row>
    <row r="2553" spans="16:29" x14ac:dyDescent="0.25">
      <c r="P2553" s="65"/>
      <c r="Q2553" s="66"/>
      <c r="R2553" s="64"/>
      <c r="S2553" s="64"/>
      <c r="AB2553"/>
      <c r="AC2553"/>
    </row>
    <row r="2554" spans="16:29" x14ac:dyDescent="0.25">
      <c r="P2554" s="65"/>
      <c r="Q2554" s="66"/>
      <c r="R2554" s="64"/>
      <c r="S2554" s="64"/>
      <c r="AB2554"/>
      <c r="AC2554"/>
    </row>
    <row r="2555" spans="16:29" x14ac:dyDescent="0.25">
      <c r="P2555" s="65"/>
      <c r="Q2555" s="66"/>
      <c r="R2555" s="64"/>
      <c r="S2555" s="64"/>
      <c r="AB2555"/>
      <c r="AC2555"/>
    </row>
    <row r="2556" spans="16:29" x14ac:dyDescent="0.25">
      <c r="P2556" s="65"/>
      <c r="Q2556" s="66"/>
      <c r="R2556" s="64"/>
      <c r="S2556" s="64"/>
      <c r="AB2556"/>
      <c r="AC2556"/>
    </row>
    <row r="2557" spans="16:29" x14ac:dyDescent="0.25">
      <c r="P2557" s="65"/>
      <c r="Q2557" s="66"/>
      <c r="R2557" s="64"/>
      <c r="S2557" s="64"/>
      <c r="AB2557"/>
      <c r="AC2557"/>
    </row>
    <row r="2558" spans="16:29" x14ac:dyDescent="0.25">
      <c r="P2558" s="65"/>
      <c r="Q2558" s="66"/>
      <c r="R2558" s="64"/>
      <c r="S2558" s="64"/>
      <c r="AB2558"/>
      <c r="AC2558"/>
    </row>
    <row r="2559" spans="16:29" x14ac:dyDescent="0.25">
      <c r="P2559" s="65"/>
      <c r="Q2559" s="66"/>
      <c r="R2559" s="64"/>
      <c r="S2559" s="64"/>
      <c r="AB2559"/>
      <c r="AC2559"/>
    </row>
    <row r="2560" spans="16:29" x14ac:dyDescent="0.25">
      <c r="P2560" s="65"/>
      <c r="Q2560" s="66"/>
      <c r="R2560" s="64"/>
      <c r="S2560" s="64"/>
      <c r="AB2560"/>
      <c r="AC2560"/>
    </row>
    <row r="2561" spans="16:29" x14ac:dyDescent="0.25">
      <c r="P2561" s="65"/>
      <c r="Q2561" s="66"/>
      <c r="R2561" s="64"/>
      <c r="S2561" s="64"/>
      <c r="AB2561"/>
      <c r="AC2561"/>
    </row>
    <row r="2562" spans="16:29" x14ac:dyDescent="0.25">
      <c r="P2562" s="65"/>
      <c r="Q2562" s="66"/>
      <c r="R2562" s="64"/>
      <c r="S2562" s="64"/>
      <c r="AB2562"/>
      <c r="AC2562"/>
    </row>
    <row r="2563" spans="16:29" x14ac:dyDescent="0.25">
      <c r="P2563" s="65"/>
      <c r="Q2563" s="66"/>
      <c r="R2563" s="64"/>
      <c r="S2563" s="64"/>
      <c r="AB2563"/>
      <c r="AC2563"/>
    </row>
    <row r="2564" spans="16:29" x14ac:dyDescent="0.25">
      <c r="P2564" s="65"/>
      <c r="Q2564" s="66"/>
      <c r="R2564" s="64"/>
      <c r="S2564" s="64"/>
      <c r="AB2564"/>
      <c r="AC2564"/>
    </row>
    <row r="2565" spans="16:29" x14ac:dyDescent="0.25">
      <c r="P2565" s="65"/>
      <c r="Q2565" s="66"/>
      <c r="R2565" s="64"/>
      <c r="S2565" s="64"/>
      <c r="AB2565"/>
      <c r="AC2565"/>
    </row>
    <row r="2566" spans="16:29" x14ac:dyDescent="0.25">
      <c r="P2566" s="65"/>
      <c r="Q2566" s="66"/>
      <c r="R2566" s="64"/>
      <c r="S2566" s="64"/>
      <c r="AB2566"/>
      <c r="AC2566"/>
    </row>
    <row r="2567" spans="16:29" x14ac:dyDescent="0.25">
      <c r="P2567" s="65"/>
      <c r="Q2567" s="66"/>
      <c r="R2567" s="64"/>
      <c r="S2567" s="64"/>
      <c r="AB2567"/>
      <c r="AC2567"/>
    </row>
    <row r="2568" spans="16:29" x14ac:dyDescent="0.25">
      <c r="P2568" s="65"/>
      <c r="Q2568" s="66"/>
      <c r="R2568" s="64"/>
      <c r="S2568" s="64"/>
      <c r="AB2568"/>
      <c r="AC2568"/>
    </row>
    <row r="2569" spans="16:29" x14ac:dyDescent="0.25">
      <c r="P2569" s="65"/>
      <c r="Q2569" s="66"/>
      <c r="R2569" s="64"/>
      <c r="S2569" s="64"/>
      <c r="AB2569"/>
      <c r="AC2569"/>
    </row>
    <row r="2570" spans="16:29" x14ac:dyDescent="0.25">
      <c r="P2570" s="65"/>
      <c r="Q2570" s="66"/>
      <c r="R2570" s="64"/>
      <c r="S2570" s="64"/>
      <c r="AB2570"/>
      <c r="AC2570"/>
    </row>
    <row r="2571" spans="16:29" x14ac:dyDescent="0.25">
      <c r="P2571" s="65"/>
      <c r="Q2571" s="66"/>
      <c r="R2571" s="64"/>
      <c r="S2571" s="64"/>
      <c r="AB2571"/>
      <c r="AC2571"/>
    </row>
    <row r="2572" spans="16:29" x14ac:dyDescent="0.25">
      <c r="P2572" s="65"/>
      <c r="Q2572" s="66"/>
      <c r="R2572" s="64"/>
      <c r="S2572" s="64"/>
      <c r="AB2572"/>
      <c r="AC2572"/>
    </row>
    <row r="2573" spans="16:29" x14ac:dyDescent="0.25">
      <c r="P2573" s="65"/>
      <c r="Q2573" s="66"/>
      <c r="R2573" s="64"/>
      <c r="S2573" s="64"/>
      <c r="AB2573"/>
      <c r="AC2573"/>
    </row>
    <row r="2574" spans="16:29" x14ac:dyDescent="0.25">
      <c r="P2574" s="65"/>
      <c r="Q2574" s="66"/>
      <c r="R2574" s="64"/>
      <c r="S2574" s="64"/>
      <c r="AB2574"/>
      <c r="AC2574"/>
    </row>
    <row r="2575" spans="16:29" x14ac:dyDescent="0.25">
      <c r="P2575" s="65"/>
      <c r="Q2575" s="66"/>
      <c r="R2575" s="64"/>
      <c r="S2575" s="64"/>
      <c r="AB2575"/>
      <c r="AC2575"/>
    </row>
    <row r="2576" spans="16:29" x14ac:dyDescent="0.25">
      <c r="P2576" s="65"/>
      <c r="Q2576" s="66"/>
      <c r="R2576" s="64"/>
      <c r="S2576" s="64"/>
      <c r="AB2576"/>
      <c r="AC2576"/>
    </row>
    <row r="2577" spans="16:29" x14ac:dyDescent="0.25">
      <c r="P2577" s="65"/>
      <c r="Q2577" s="66"/>
      <c r="R2577" s="64"/>
      <c r="S2577" s="64"/>
      <c r="AB2577"/>
      <c r="AC2577"/>
    </row>
    <row r="2578" spans="16:29" x14ac:dyDescent="0.25">
      <c r="P2578" s="65"/>
      <c r="Q2578" s="66"/>
      <c r="R2578" s="64"/>
      <c r="S2578" s="64"/>
      <c r="AB2578"/>
      <c r="AC2578"/>
    </row>
    <row r="2579" spans="16:29" x14ac:dyDescent="0.25">
      <c r="P2579" s="65"/>
      <c r="Q2579" s="66"/>
      <c r="R2579" s="64"/>
      <c r="S2579" s="64"/>
      <c r="AB2579"/>
      <c r="AC2579"/>
    </row>
    <row r="2580" spans="16:29" x14ac:dyDescent="0.25">
      <c r="P2580" s="65"/>
      <c r="Q2580" s="66"/>
      <c r="R2580" s="64"/>
      <c r="S2580" s="64"/>
      <c r="AB2580"/>
      <c r="AC2580"/>
    </row>
    <row r="2581" spans="16:29" x14ac:dyDescent="0.25">
      <c r="P2581" s="65"/>
      <c r="Q2581" s="66"/>
      <c r="R2581" s="64"/>
      <c r="S2581" s="64"/>
      <c r="AB2581"/>
      <c r="AC2581"/>
    </row>
    <row r="2582" spans="16:29" x14ac:dyDescent="0.25">
      <c r="P2582" s="65"/>
      <c r="Q2582" s="66"/>
      <c r="R2582" s="64"/>
      <c r="S2582" s="64"/>
      <c r="AB2582"/>
      <c r="AC2582"/>
    </row>
    <row r="2583" spans="16:29" x14ac:dyDescent="0.25">
      <c r="P2583" s="65"/>
      <c r="Q2583" s="66"/>
      <c r="R2583" s="64"/>
      <c r="S2583" s="64"/>
      <c r="AB2583"/>
      <c r="AC2583"/>
    </row>
    <row r="2584" spans="16:29" x14ac:dyDescent="0.25">
      <c r="P2584" s="65"/>
      <c r="Q2584" s="66"/>
      <c r="R2584" s="64"/>
      <c r="S2584" s="64"/>
      <c r="AB2584"/>
      <c r="AC2584"/>
    </row>
    <row r="2585" spans="16:29" x14ac:dyDescent="0.25">
      <c r="P2585" s="65"/>
      <c r="Q2585" s="66"/>
      <c r="R2585" s="64"/>
      <c r="S2585" s="64"/>
      <c r="AB2585"/>
      <c r="AC2585"/>
    </row>
    <row r="2586" spans="16:29" x14ac:dyDescent="0.25">
      <c r="P2586" s="65"/>
      <c r="Q2586" s="66"/>
      <c r="R2586" s="64"/>
      <c r="S2586" s="64"/>
      <c r="AB2586"/>
      <c r="AC2586"/>
    </row>
    <row r="2587" spans="16:29" x14ac:dyDescent="0.25">
      <c r="P2587" s="65"/>
      <c r="Q2587" s="66"/>
      <c r="R2587" s="64"/>
      <c r="S2587" s="64"/>
      <c r="AB2587"/>
      <c r="AC2587"/>
    </row>
    <row r="2588" spans="16:29" x14ac:dyDescent="0.25">
      <c r="P2588" s="65"/>
      <c r="Q2588" s="66"/>
      <c r="R2588" s="64"/>
      <c r="S2588" s="64"/>
      <c r="AB2588"/>
      <c r="AC2588"/>
    </row>
    <row r="2589" spans="16:29" x14ac:dyDescent="0.25">
      <c r="P2589" s="65"/>
      <c r="Q2589" s="66"/>
      <c r="R2589" s="64"/>
      <c r="S2589" s="64"/>
      <c r="AB2589"/>
      <c r="AC2589"/>
    </row>
    <row r="2590" spans="16:29" x14ac:dyDescent="0.25">
      <c r="P2590" s="65"/>
      <c r="Q2590" s="66"/>
      <c r="R2590" s="64"/>
      <c r="S2590" s="64"/>
      <c r="AB2590"/>
      <c r="AC2590"/>
    </row>
    <row r="2591" spans="16:29" x14ac:dyDescent="0.25">
      <c r="P2591" s="65"/>
      <c r="Q2591" s="66"/>
      <c r="R2591" s="64"/>
      <c r="S2591" s="64"/>
      <c r="AB2591"/>
      <c r="AC2591"/>
    </row>
    <row r="2592" spans="16:29" x14ac:dyDescent="0.25">
      <c r="P2592" s="65"/>
      <c r="Q2592" s="66"/>
      <c r="R2592" s="64"/>
      <c r="S2592" s="64"/>
      <c r="AB2592"/>
      <c r="AC2592"/>
    </row>
    <row r="2593" spans="16:29" x14ac:dyDescent="0.25">
      <c r="P2593" s="65"/>
      <c r="Q2593" s="66"/>
      <c r="R2593" s="64"/>
      <c r="S2593" s="64"/>
      <c r="AB2593"/>
      <c r="AC2593"/>
    </row>
    <row r="2594" spans="16:29" x14ac:dyDescent="0.25">
      <c r="P2594" s="65"/>
      <c r="Q2594" s="66"/>
      <c r="R2594" s="64"/>
      <c r="S2594" s="64"/>
      <c r="AB2594"/>
      <c r="AC2594"/>
    </row>
    <row r="2595" spans="16:29" x14ac:dyDescent="0.25">
      <c r="P2595" s="65"/>
      <c r="Q2595" s="66"/>
      <c r="R2595" s="64"/>
      <c r="S2595" s="64"/>
      <c r="AB2595"/>
      <c r="AC2595"/>
    </row>
    <row r="2596" spans="16:29" x14ac:dyDescent="0.25">
      <c r="P2596" s="65"/>
      <c r="Q2596" s="66"/>
      <c r="R2596" s="64"/>
      <c r="S2596" s="64"/>
      <c r="AB2596"/>
      <c r="AC2596"/>
    </row>
    <row r="2597" spans="16:29" x14ac:dyDescent="0.25">
      <c r="P2597" s="65"/>
      <c r="Q2597" s="66"/>
      <c r="R2597" s="64"/>
      <c r="S2597" s="64"/>
      <c r="AB2597"/>
      <c r="AC2597"/>
    </row>
    <row r="2598" spans="16:29" x14ac:dyDescent="0.25">
      <c r="P2598" s="65"/>
      <c r="Q2598" s="66"/>
      <c r="R2598" s="64"/>
      <c r="S2598" s="64"/>
      <c r="AB2598"/>
      <c r="AC2598"/>
    </row>
    <row r="2599" spans="16:29" x14ac:dyDescent="0.25">
      <c r="P2599" s="65"/>
      <c r="Q2599" s="66"/>
      <c r="R2599" s="64"/>
      <c r="S2599" s="64"/>
      <c r="AB2599"/>
      <c r="AC2599"/>
    </row>
    <row r="2600" spans="16:29" x14ac:dyDescent="0.25">
      <c r="P2600" s="65"/>
      <c r="Q2600" s="66"/>
      <c r="R2600" s="64"/>
      <c r="S2600" s="64"/>
      <c r="AB2600"/>
      <c r="AC2600"/>
    </row>
    <row r="2601" spans="16:29" x14ac:dyDescent="0.25">
      <c r="P2601" s="65"/>
      <c r="Q2601" s="66"/>
      <c r="R2601" s="64"/>
      <c r="S2601" s="64"/>
      <c r="AB2601"/>
      <c r="AC2601"/>
    </row>
    <row r="2602" spans="16:29" x14ac:dyDescent="0.25">
      <c r="P2602" s="65"/>
      <c r="Q2602" s="66"/>
      <c r="R2602" s="64"/>
      <c r="S2602" s="64"/>
      <c r="AB2602"/>
      <c r="AC2602"/>
    </row>
    <row r="2603" spans="16:29" x14ac:dyDescent="0.25">
      <c r="P2603" s="65"/>
      <c r="Q2603" s="66"/>
      <c r="R2603" s="64"/>
      <c r="S2603" s="64"/>
      <c r="AB2603"/>
      <c r="AC2603"/>
    </row>
    <row r="2604" spans="16:29" x14ac:dyDescent="0.25">
      <c r="P2604" s="65"/>
      <c r="Q2604" s="66"/>
      <c r="R2604" s="64"/>
      <c r="S2604" s="64"/>
      <c r="AB2604"/>
      <c r="AC2604"/>
    </row>
    <row r="2605" spans="16:29" x14ac:dyDescent="0.25">
      <c r="P2605" s="65"/>
      <c r="Q2605" s="66"/>
      <c r="R2605" s="64"/>
      <c r="S2605" s="64"/>
      <c r="AB2605"/>
      <c r="AC2605"/>
    </row>
    <row r="2606" spans="16:29" x14ac:dyDescent="0.25">
      <c r="P2606" s="65"/>
      <c r="Q2606" s="66"/>
      <c r="R2606" s="64"/>
      <c r="S2606" s="64"/>
      <c r="AB2606"/>
      <c r="AC2606"/>
    </row>
    <row r="2607" spans="16:29" x14ac:dyDescent="0.25">
      <c r="P2607" s="65"/>
      <c r="Q2607" s="66"/>
      <c r="R2607" s="64"/>
      <c r="S2607" s="64"/>
      <c r="AB2607"/>
      <c r="AC2607"/>
    </row>
    <row r="2608" spans="16:29" x14ac:dyDescent="0.25">
      <c r="P2608" s="65"/>
      <c r="Q2608" s="66"/>
      <c r="R2608" s="64"/>
      <c r="S2608" s="64"/>
      <c r="AB2608"/>
      <c r="AC2608"/>
    </row>
    <row r="2609" spans="16:29" x14ac:dyDescent="0.25">
      <c r="P2609" s="65"/>
      <c r="Q2609" s="66"/>
      <c r="R2609" s="64"/>
      <c r="S2609" s="64"/>
      <c r="AB2609"/>
      <c r="AC2609"/>
    </row>
    <row r="2610" spans="16:29" x14ac:dyDescent="0.25">
      <c r="P2610" s="65"/>
      <c r="Q2610" s="66"/>
      <c r="R2610" s="64"/>
      <c r="S2610" s="64"/>
      <c r="AB2610"/>
      <c r="AC2610"/>
    </row>
    <row r="2611" spans="16:29" x14ac:dyDescent="0.25">
      <c r="P2611" s="65"/>
      <c r="Q2611" s="66"/>
      <c r="R2611" s="64"/>
      <c r="S2611" s="64"/>
      <c r="AB2611"/>
      <c r="AC2611"/>
    </row>
    <row r="2612" spans="16:29" x14ac:dyDescent="0.25">
      <c r="P2612" s="65"/>
      <c r="Q2612" s="66"/>
      <c r="R2612" s="64"/>
      <c r="S2612" s="64"/>
      <c r="AB2612"/>
      <c r="AC2612"/>
    </row>
    <row r="2613" spans="16:29" x14ac:dyDescent="0.25">
      <c r="P2613" s="65"/>
      <c r="Q2613" s="66"/>
      <c r="R2613" s="64"/>
      <c r="S2613" s="64"/>
      <c r="AB2613"/>
      <c r="AC2613"/>
    </row>
    <row r="2614" spans="16:29" x14ac:dyDescent="0.25">
      <c r="P2614" s="65"/>
      <c r="Q2614" s="66"/>
      <c r="R2614" s="64"/>
      <c r="S2614" s="64"/>
      <c r="AB2614"/>
      <c r="AC2614"/>
    </row>
    <row r="2615" spans="16:29" x14ac:dyDescent="0.25">
      <c r="P2615" s="65"/>
      <c r="Q2615" s="66"/>
      <c r="R2615" s="64"/>
      <c r="S2615" s="64"/>
      <c r="AB2615"/>
      <c r="AC2615"/>
    </row>
    <row r="2616" spans="16:29" x14ac:dyDescent="0.25">
      <c r="P2616" s="65"/>
      <c r="Q2616" s="66"/>
      <c r="R2616" s="64"/>
      <c r="S2616" s="64"/>
      <c r="AB2616"/>
      <c r="AC2616"/>
    </row>
    <row r="2617" spans="16:29" x14ac:dyDescent="0.25">
      <c r="P2617" s="65"/>
      <c r="Q2617" s="66"/>
      <c r="R2617" s="64"/>
      <c r="S2617" s="64"/>
      <c r="AB2617"/>
      <c r="AC2617"/>
    </row>
    <row r="2618" spans="16:29" x14ac:dyDescent="0.25">
      <c r="P2618" s="65"/>
      <c r="Q2618" s="66"/>
      <c r="R2618" s="64"/>
      <c r="S2618" s="64"/>
      <c r="AB2618"/>
      <c r="AC2618"/>
    </row>
    <row r="2619" spans="16:29" x14ac:dyDescent="0.25">
      <c r="P2619" s="65"/>
      <c r="Q2619" s="66"/>
      <c r="R2619" s="64"/>
      <c r="S2619" s="64"/>
      <c r="AB2619"/>
      <c r="AC2619"/>
    </row>
    <row r="2620" spans="16:29" x14ac:dyDescent="0.25">
      <c r="P2620" s="65"/>
      <c r="Q2620" s="66"/>
      <c r="R2620" s="64"/>
      <c r="S2620" s="64"/>
      <c r="AB2620"/>
      <c r="AC2620"/>
    </row>
    <row r="2621" spans="16:29" x14ac:dyDescent="0.25">
      <c r="P2621" s="65"/>
      <c r="Q2621" s="66"/>
      <c r="R2621" s="64"/>
      <c r="S2621" s="64"/>
      <c r="AB2621"/>
      <c r="AC2621"/>
    </row>
    <row r="2622" spans="16:29" x14ac:dyDescent="0.25">
      <c r="P2622" s="65"/>
      <c r="Q2622" s="66"/>
      <c r="R2622" s="64"/>
      <c r="S2622" s="64"/>
      <c r="AB2622"/>
      <c r="AC2622"/>
    </row>
    <row r="2623" spans="16:29" x14ac:dyDescent="0.25">
      <c r="P2623" s="65"/>
      <c r="Q2623" s="66"/>
      <c r="R2623" s="64"/>
      <c r="S2623" s="64"/>
      <c r="AB2623"/>
      <c r="AC2623"/>
    </row>
    <row r="2624" spans="16:29" x14ac:dyDescent="0.25">
      <c r="P2624" s="65"/>
      <c r="Q2624" s="66"/>
      <c r="R2624" s="64"/>
      <c r="S2624" s="64"/>
      <c r="AB2624"/>
      <c r="AC2624"/>
    </row>
    <row r="2625" spans="16:29" x14ac:dyDescent="0.25">
      <c r="P2625" s="65"/>
      <c r="Q2625" s="66"/>
      <c r="R2625" s="64"/>
      <c r="S2625" s="64"/>
      <c r="AB2625"/>
      <c r="AC2625"/>
    </row>
    <row r="2626" spans="16:29" x14ac:dyDescent="0.25">
      <c r="P2626" s="65"/>
      <c r="Q2626" s="66"/>
      <c r="R2626" s="64"/>
      <c r="S2626" s="64"/>
      <c r="AB2626"/>
      <c r="AC2626"/>
    </row>
    <row r="2627" spans="16:29" x14ac:dyDescent="0.25">
      <c r="P2627" s="65"/>
      <c r="Q2627" s="66"/>
      <c r="R2627" s="64"/>
      <c r="S2627" s="64"/>
      <c r="AB2627"/>
      <c r="AC2627"/>
    </row>
    <row r="2628" spans="16:29" x14ac:dyDescent="0.25">
      <c r="P2628" s="65"/>
      <c r="Q2628" s="66"/>
      <c r="R2628" s="64"/>
      <c r="S2628" s="64"/>
      <c r="AB2628"/>
      <c r="AC2628"/>
    </row>
    <row r="2629" spans="16:29" x14ac:dyDescent="0.25">
      <c r="P2629" s="65"/>
      <c r="Q2629" s="66"/>
      <c r="R2629" s="64"/>
      <c r="S2629" s="64"/>
      <c r="AB2629"/>
      <c r="AC2629"/>
    </row>
    <row r="2630" spans="16:29" x14ac:dyDescent="0.25">
      <c r="P2630" s="65"/>
      <c r="Q2630" s="66"/>
      <c r="R2630" s="64"/>
      <c r="S2630" s="64"/>
      <c r="AB2630"/>
      <c r="AC2630"/>
    </row>
    <row r="2631" spans="16:29" x14ac:dyDescent="0.25">
      <c r="P2631" s="65"/>
      <c r="Q2631" s="66"/>
      <c r="R2631" s="64"/>
      <c r="S2631" s="64"/>
      <c r="AB2631"/>
      <c r="AC2631"/>
    </row>
    <row r="2632" spans="16:29" x14ac:dyDescent="0.25">
      <c r="P2632" s="65"/>
      <c r="Q2632" s="66"/>
      <c r="R2632" s="64"/>
      <c r="S2632" s="64"/>
      <c r="AB2632"/>
      <c r="AC2632"/>
    </row>
    <row r="2633" spans="16:29" x14ac:dyDescent="0.25">
      <c r="P2633" s="65"/>
      <c r="Q2633" s="66"/>
      <c r="R2633" s="64"/>
      <c r="S2633" s="64"/>
      <c r="AB2633"/>
      <c r="AC2633"/>
    </row>
    <row r="2634" spans="16:29" x14ac:dyDescent="0.25">
      <c r="P2634" s="65"/>
      <c r="Q2634" s="66"/>
      <c r="R2634" s="64"/>
      <c r="S2634" s="64"/>
      <c r="AB2634"/>
      <c r="AC2634"/>
    </row>
    <row r="2635" spans="16:29" x14ac:dyDescent="0.25">
      <c r="P2635" s="65"/>
      <c r="Q2635" s="66"/>
      <c r="R2635" s="64"/>
      <c r="S2635" s="64"/>
      <c r="AB2635"/>
      <c r="AC2635"/>
    </row>
    <row r="2636" spans="16:29" x14ac:dyDescent="0.25">
      <c r="P2636" s="65"/>
      <c r="Q2636" s="66"/>
      <c r="R2636" s="64"/>
      <c r="S2636" s="64"/>
      <c r="AB2636"/>
      <c r="AC2636"/>
    </row>
    <row r="2637" spans="16:29" x14ac:dyDescent="0.25">
      <c r="P2637" s="65"/>
      <c r="Q2637" s="66"/>
      <c r="R2637" s="64"/>
      <c r="S2637" s="64"/>
      <c r="AB2637"/>
      <c r="AC2637"/>
    </row>
    <row r="2638" spans="16:29" x14ac:dyDescent="0.25">
      <c r="P2638" s="65"/>
      <c r="Q2638" s="66"/>
      <c r="R2638" s="64"/>
      <c r="S2638" s="64"/>
      <c r="AB2638"/>
      <c r="AC2638"/>
    </row>
    <row r="2639" spans="16:29" x14ac:dyDescent="0.25">
      <c r="P2639" s="65"/>
      <c r="Q2639" s="66"/>
      <c r="R2639" s="64"/>
      <c r="S2639" s="64"/>
      <c r="AB2639"/>
      <c r="AC2639"/>
    </row>
    <row r="2640" spans="16:29" x14ac:dyDescent="0.25">
      <c r="P2640" s="65"/>
      <c r="Q2640" s="66"/>
      <c r="R2640" s="64"/>
      <c r="S2640" s="64"/>
      <c r="AB2640"/>
      <c r="AC2640"/>
    </row>
    <row r="2641" spans="16:29" x14ac:dyDescent="0.25">
      <c r="P2641" s="65"/>
      <c r="Q2641" s="66"/>
      <c r="R2641" s="64"/>
      <c r="S2641" s="64"/>
      <c r="AB2641"/>
      <c r="AC2641"/>
    </row>
    <row r="2642" spans="16:29" x14ac:dyDescent="0.25">
      <c r="P2642" s="65"/>
      <c r="Q2642" s="66"/>
      <c r="R2642" s="64"/>
      <c r="S2642" s="64"/>
      <c r="AB2642"/>
      <c r="AC2642"/>
    </row>
    <row r="2643" spans="16:29" x14ac:dyDescent="0.25">
      <c r="P2643" s="65"/>
      <c r="Q2643" s="66"/>
      <c r="R2643" s="64"/>
      <c r="S2643" s="64"/>
      <c r="AB2643"/>
      <c r="AC2643"/>
    </row>
    <row r="2644" spans="16:29" x14ac:dyDescent="0.25">
      <c r="P2644" s="65"/>
      <c r="Q2644" s="66"/>
      <c r="R2644" s="64"/>
      <c r="S2644" s="64"/>
      <c r="AB2644"/>
      <c r="AC2644"/>
    </row>
    <row r="2645" spans="16:29" x14ac:dyDescent="0.25">
      <c r="P2645" s="65"/>
      <c r="Q2645" s="66"/>
      <c r="R2645" s="64"/>
      <c r="S2645" s="64"/>
      <c r="AB2645"/>
      <c r="AC2645"/>
    </row>
    <row r="2646" spans="16:29" x14ac:dyDescent="0.25">
      <c r="P2646" s="65"/>
      <c r="Q2646" s="66"/>
      <c r="R2646" s="64"/>
      <c r="S2646" s="64"/>
      <c r="AB2646"/>
      <c r="AC2646"/>
    </row>
    <row r="2647" spans="16:29" x14ac:dyDescent="0.25">
      <c r="P2647" s="65"/>
      <c r="Q2647" s="66"/>
      <c r="R2647" s="64"/>
      <c r="S2647" s="64"/>
      <c r="AB2647"/>
      <c r="AC2647"/>
    </row>
    <row r="2648" spans="16:29" x14ac:dyDescent="0.25">
      <c r="P2648" s="65"/>
      <c r="Q2648" s="66"/>
      <c r="R2648" s="64"/>
      <c r="S2648" s="64"/>
      <c r="AB2648"/>
      <c r="AC2648"/>
    </row>
    <row r="2649" spans="16:29" x14ac:dyDescent="0.25">
      <c r="P2649" s="65"/>
      <c r="Q2649" s="66"/>
      <c r="R2649" s="64"/>
      <c r="S2649" s="64"/>
      <c r="AB2649"/>
      <c r="AC2649"/>
    </row>
    <row r="2650" spans="16:29" x14ac:dyDescent="0.25">
      <c r="P2650" s="65"/>
      <c r="Q2650" s="66"/>
      <c r="R2650" s="64"/>
      <c r="S2650" s="64"/>
      <c r="AB2650"/>
      <c r="AC2650"/>
    </row>
    <row r="2651" spans="16:29" x14ac:dyDescent="0.25">
      <c r="P2651" s="65"/>
      <c r="Q2651" s="66"/>
      <c r="R2651" s="64"/>
      <c r="S2651" s="64"/>
      <c r="AB2651"/>
      <c r="AC2651"/>
    </row>
    <row r="2652" spans="16:29" x14ac:dyDescent="0.25">
      <c r="P2652" s="65"/>
      <c r="Q2652" s="66"/>
      <c r="R2652" s="64"/>
      <c r="S2652" s="64"/>
      <c r="AB2652"/>
      <c r="AC2652"/>
    </row>
    <row r="2653" spans="16:29" x14ac:dyDescent="0.25">
      <c r="P2653" s="65"/>
      <c r="Q2653" s="66"/>
      <c r="R2653" s="64"/>
      <c r="S2653" s="64"/>
      <c r="AB2653"/>
      <c r="AC2653"/>
    </row>
    <row r="2654" spans="16:29" x14ac:dyDescent="0.25">
      <c r="P2654" s="65"/>
      <c r="Q2654" s="66"/>
      <c r="R2654" s="64"/>
      <c r="S2654" s="64"/>
      <c r="AB2654"/>
      <c r="AC2654"/>
    </row>
    <row r="2655" spans="16:29" x14ac:dyDescent="0.25">
      <c r="P2655" s="65"/>
      <c r="Q2655" s="66"/>
      <c r="R2655" s="64"/>
      <c r="S2655" s="64"/>
      <c r="AB2655"/>
      <c r="AC2655"/>
    </row>
    <row r="2656" spans="16:29" x14ac:dyDescent="0.25">
      <c r="P2656" s="65"/>
      <c r="Q2656" s="66"/>
      <c r="R2656" s="64"/>
      <c r="S2656" s="64"/>
      <c r="AB2656"/>
      <c r="AC2656"/>
    </row>
    <row r="2657" spans="16:29" x14ac:dyDescent="0.25">
      <c r="P2657" s="65"/>
      <c r="Q2657" s="66"/>
      <c r="R2657" s="64"/>
      <c r="S2657" s="64"/>
      <c r="AB2657"/>
      <c r="AC2657"/>
    </row>
    <row r="2658" spans="16:29" x14ac:dyDescent="0.25">
      <c r="P2658" s="65"/>
      <c r="Q2658" s="66"/>
      <c r="R2658" s="64"/>
      <c r="S2658" s="64"/>
      <c r="AB2658"/>
      <c r="AC2658"/>
    </row>
    <row r="2659" spans="16:29" x14ac:dyDescent="0.25">
      <c r="P2659" s="65"/>
      <c r="Q2659" s="66"/>
      <c r="R2659" s="64"/>
      <c r="S2659" s="64"/>
      <c r="AB2659"/>
      <c r="AC2659"/>
    </row>
    <row r="2660" spans="16:29" x14ac:dyDescent="0.25">
      <c r="P2660" s="65"/>
      <c r="Q2660" s="66"/>
      <c r="R2660" s="64"/>
      <c r="S2660" s="64"/>
      <c r="AB2660"/>
      <c r="AC2660"/>
    </row>
    <row r="2661" spans="16:29" x14ac:dyDescent="0.25">
      <c r="P2661" s="65"/>
      <c r="Q2661" s="66"/>
      <c r="R2661" s="64"/>
      <c r="S2661" s="64"/>
      <c r="AB2661"/>
      <c r="AC2661"/>
    </row>
    <row r="2662" spans="16:29" x14ac:dyDescent="0.25">
      <c r="P2662" s="65"/>
      <c r="Q2662" s="66"/>
      <c r="R2662" s="64"/>
      <c r="S2662" s="64"/>
      <c r="AB2662"/>
      <c r="AC2662"/>
    </row>
    <row r="2663" spans="16:29" x14ac:dyDescent="0.25">
      <c r="P2663" s="65"/>
      <c r="Q2663" s="66"/>
      <c r="R2663" s="64"/>
      <c r="S2663" s="64"/>
      <c r="AB2663"/>
      <c r="AC2663"/>
    </row>
    <row r="2664" spans="16:29" x14ac:dyDescent="0.25">
      <c r="P2664" s="65"/>
      <c r="Q2664" s="66"/>
      <c r="R2664" s="64"/>
      <c r="S2664" s="64"/>
      <c r="AB2664"/>
      <c r="AC2664"/>
    </row>
    <row r="2665" spans="16:29" x14ac:dyDescent="0.25">
      <c r="P2665" s="65"/>
      <c r="Q2665" s="66"/>
      <c r="R2665" s="64"/>
      <c r="S2665" s="64"/>
      <c r="AB2665"/>
      <c r="AC2665"/>
    </row>
    <row r="2666" spans="16:29" x14ac:dyDescent="0.25">
      <c r="P2666" s="65"/>
      <c r="Q2666" s="66"/>
      <c r="R2666" s="64"/>
      <c r="S2666" s="64"/>
      <c r="AB2666"/>
      <c r="AC2666"/>
    </row>
    <row r="2667" spans="16:29" x14ac:dyDescent="0.25">
      <c r="P2667" s="65"/>
      <c r="Q2667" s="66"/>
      <c r="R2667" s="64"/>
      <c r="S2667" s="64"/>
      <c r="AB2667"/>
      <c r="AC2667"/>
    </row>
    <row r="2668" spans="16:29" x14ac:dyDescent="0.25">
      <c r="P2668" s="65"/>
      <c r="Q2668" s="66"/>
      <c r="R2668" s="64"/>
      <c r="S2668" s="64"/>
      <c r="AB2668"/>
      <c r="AC2668"/>
    </row>
    <row r="2669" spans="16:29" x14ac:dyDescent="0.25">
      <c r="P2669" s="65"/>
      <c r="Q2669" s="66"/>
      <c r="R2669" s="64"/>
      <c r="S2669" s="64"/>
      <c r="AB2669"/>
      <c r="AC2669"/>
    </row>
    <row r="2670" spans="16:29" x14ac:dyDescent="0.25">
      <c r="P2670" s="65"/>
      <c r="Q2670" s="66"/>
      <c r="R2670" s="64"/>
      <c r="S2670" s="64"/>
      <c r="AB2670"/>
      <c r="AC2670"/>
    </row>
    <row r="2671" spans="16:29" x14ac:dyDescent="0.25">
      <c r="P2671" s="65"/>
      <c r="Q2671" s="66"/>
      <c r="R2671" s="64"/>
      <c r="S2671" s="64"/>
      <c r="AB2671"/>
      <c r="AC2671"/>
    </row>
    <row r="2672" spans="16:29" x14ac:dyDescent="0.25">
      <c r="P2672" s="65"/>
      <c r="Q2672" s="66"/>
      <c r="R2672" s="64"/>
      <c r="S2672" s="64"/>
      <c r="AB2672"/>
      <c r="AC2672"/>
    </row>
    <row r="2673" spans="16:29" x14ac:dyDescent="0.25">
      <c r="P2673" s="65"/>
      <c r="Q2673" s="66"/>
      <c r="R2673" s="64"/>
      <c r="S2673" s="64"/>
      <c r="AB2673"/>
      <c r="AC2673"/>
    </row>
    <row r="2674" spans="16:29" x14ac:dyDescent="0.25">
      <c r="P2674" s="65"/>
      <c r="Q2674" s="66"/>
      <c r="R2674" s="64"/>
      <c r="S2674" s="64"/>
      <c r="AB2674"/>
      <c r="AC2674"/>
    </row>
    <row r="2675" spans="16:29" x14ac:dyDescent="0.25">
      <c r="P2675" s="65"/>
      <c r="Q2675" s="66"/>
      <c r="R2675" s="64"/>
      <c r="S2675" s="64"/>
      <c r="AB2675"/>
      <c r="AC2675"/>
    </row>
    <row r="2676" spans="16:29" x14ac:dyDescent="0.25">
      <c r="P2676" s="65"/>
      <c r="Q2676" s="66"/>
      <c r="R2676" s="64"/>
      <c r="S2676" s="64"/>
      <c r="AB2676"/>
      <c r="AC2676"/>
    </row>
    <row r="2677" spans="16:29" x14ac:dyDescent="0.25">
      <c r="P2677" s="65"/>
      <c r="Q2677" s="66"/>
      <c r="R2677" s="64"/>
      <c r="S2677" s="64"/>
      <c r="AB2677"/>
      <c r="AC2677"/>
    </row>
    <row r="2678" spans="16:29" x14ac:dyDescent="0.25">
      <c r="P2678" s="65"/>
      <c r="Q2678" s="66"/>
      <c r="R2678" s="64"/>
      <c r="S2678" s="64"/>
      <c r="AB2678"/>
      <c r="AC2678"/>
    </row>
    <row r="2679" spans="16:29" x14ac:dyDescent="0.25">
      <c r="P2679" s="65"/>
      <c r="Q2679" s="66"/>
      <c r="R2679" s="64"/>
      <c r="S2679" s="64"/>
      <c r="AB2679"/>
      <c r="AC2679"/>
    </row>
    <row r="2680" spans="16:29" x14ac:dyDescent="0.25">
      <c r="P2680" s="65"/>
      <c r="Q2680" s="66"/>
      <c r="R2680" s="64"/>
      <c r="S2680" s="64"/>
      <c r="AB2680"/>
      <c r="AC2680"/>
    </row>
    <row r="2681" spans="16:29" x14ac:dyDescent="0.25">
      <c r="P2681" s="65"/>
      <c r="Q2681" s="66"/>
      <c r="R2681" s="64"/>
      <c r="S2681" s="64"/>
      <c r="AB2681"/>
      <c r="AC2681"/>
    </row>
    <row r="2682" spans="16:29" x14ac:dyDescent="0.25">
      <c r="P2682" s="65"/>
      <c r="Q2682" s="66"/>
      <c r="R2682" s="64"/>
      <c r="S2682" s="64"/>
      <c r="AB2682"/>
      <c r="AC2682"/>
    </row>
    <row r="2683" spans="16:29" x14ac:dyDescent="0.25">
      <c r="P2683" s="65"/>
      <c r="Q2683" s="66"/>
      <c r="R2683" s="64"/>
      <c r="S2683" s="64"/>
      <c r="AB2683"/>
      <c r="AC2683"/>
    </row>
    <row r="2684" spans="16:29" x14ac:dyDescent="0.25">
      <c r="P2684" s="65"/>
      <c r="Q2684" s="66"/>
      <c r="R2684" s="64"/>
      <c r="S2684" s="64"/>
      <c r="AB2684"/>
      <c r="AC2684"/>
    </row>
    <row r="2685" spans="16:29" x14ac:dyDescent="0.25">
      <c r="P2685" s="65"/>
      <c r="Q2685" s="66"/>
      <c r="R2685" s="64"/>
      <c r="S2685" s="64"/>
      <c r="AB2685"/>
      <c r="AC2685"/>
    </row>
    <row r="2686" spans="16:29" x14ac:dyDescent="0.25">
      <c r="P2686" s="65"/>
      <c r="Q2686" s="66"/>
      <c r="R2686" s="64"/>
      <c r="S2686" s="64"/>
      <c r="AB2686"/>
      <c r="AC2686"/>
    </row>
    <row r="2687" spans="16:29" x14ac:dyDescent="0.25">
      <c r="P2687" s="65"/>
      <c r="Q2687" s="66"/>
      <c r="R2687" s="64"/>
      <c r="S2687" s="64"/>
      <c r="AB2687"/>
      <c r="AC2687"/>
    </row>
    <row r="2688" spans="16:29" x14ac:dyDescent="0.25">
      <c r="P2688" s="65"/>
      <c r="Q2688" s="66"/>
      <c r="R2688" s="64"/>
      <c r="S2688" s="64"/>
      <c r="AB2688"/>
      <c r="AC2688"/>
    </row>
    <row r="2689" spans="16:29" x14ac:dyDescent="0.25">
      <c r="P2689" s="65"/>
      <c r="Q2689" s="66"/>
      <c r="R2689" s="64"/>
      <c r="S2689" s="64"/>
      <c r="AB2689"/>
      <c r="AC2689"/>
    </row>
    <row r="2690" spans="16:29" x14ac:dyDescent="0.25">
      <c r="P2690" s="65"/>
      <c r="Q2690" s="66"/>
      <c r="R2690" s="64"/>
      <c r="S2690" s="64"/>
      <c r="AB2690"/>
      <c r="AC2690"/>
    </row>
    <row r="2691" spans="16:29" x14ac:dyDescent="0.25">
      <c r="P2691" s="65"/>
      <c r="Q2691" s="66"/>
      <c r="R2691" s="64"/>
      <c r="S2691" s="64"/>
      <c r="AB2691"/>
      <c r="AC2691"/>
    </row>
    <row r="2692" spans="16:29" x14ac:dyDescent="0.25">
      <c r="P2692" s="65"/>
      <c r="Q2692" s="66"/>
      <c r="R2692" s="64"/>
      <c r="S2692" s="64"/>
      <c r="AB2692"/>
      <c r="AC2692"/>
    </row>
    <row r="2693" spans="16:29" x14ac:dyDescent="0.25">
      <c r="P2693" s="65"/>
      <c r="Q2693" s="66"/>
      <c r="R2693" s="64"/>
      <c r="S2693" s="64"/>
      <c r="AB2693"/>
      <c r="AC2693"/>
    </row>
    <row r="2694" spans="16:29" x14ac:dyDescent="0.25">
      <c r="P2694" s="65"/>
      <c r="Q2694" s="66"/>
      <c r="R2694" s="64"/>
      <c r="S2694" s="64"/>
      <c r="AB2694"/>
      <c r="AC2694"/>
    </row>
    <row r="2695" spans="16:29" x14ac:dyDescent="0.25">
      <c r="P2695" s="65"/>
      <c r="Q2695" s="66"/>
      <c r="R2695" s="64"/>
      <c r="S2695" s="64"/>
      <c r="AB2695"/>
      <c r="AC2695"/>
    </row>
    <row r="2696" spans="16:29" x14ac:dyDescent="0.25">
      <c r="P2696" s="65"/>
      <c r="Q2696" s="66"/>
      <c r="R2696" s="64"/>
      <c r="S2696" s="64"/>
      <c r="AB2696"/>
      <c r="AC2696"/>
    </row>
    <row r="2697" spans="16:29" x14ac:dyDescent="0.25">
      <c r="P2697" s="65"/>
      <c r="Q2697" s="66"/>
      <c r="R2697" s="64"/>
      <c r="S2697" s="64"/>
      <c r="AB2697"/>
      <c r="AC2697"/>
    </row>
    <row r="2698" spans="16:29" x14ac:dyDescent="0.25">
      <c r="P2698" s="65"/>
      <c r="Q2698" s="66"/>
      <c r="R2698" s="64"/>
      <c r="S2698" s="64"/>
      <c r="AB2698"/>
      <c r="AC2698"/>
    </row>
    <row r="2699" spans="16:29" x14ac:dyDescent="0.25">
      <c r="P2699" s="65"/>
      <c r="Q2699" s="66"/>
      <c r="R2699" s="64"/>
      <c r="S2699" s="64"/>
      <c r="AB2699"/>
      <c r="AC2699"/>
    </row>
    <row r="2700" spans="16:29" x14ac:dyDescent="0.25">
      <c r="P2700" s="65"/>
      <c r="Q2700" s="66"/>
      <c r="R2700" s="64"/>
      <c r="S2700" s="64"/>
      <c r="AB2700"/>
      <c r="AC2700"/>
    </row>
    <row r="2701" spans="16:29" x14ac:dyDescent="0.25">
      <c r="P2701" s="65"/>
      <c r="Q2701" s="66"/>
      <c r="R2701" s="64"/>
      <c r="S2701" s="64"/>
      <c r="AB2701"/>
      <c r="AC2701"/>
    </row>
    <row r="2702" spans="16:29" x14ac:dyDescent="0.25">
      <c r="P2702" s="65"/>
      <c r="Q2702" s="66"/>
      <c r="R2702" s="64"/>
      <c r="S2702" s="64"/>
      <c r="AB2702"/>
      <c r="AC2702"/>
    </row>
    <row r="2703" spans="16:29" x14ac:dyDescent="0.25">
      <c r="P2703" s="65"/>
      <c r="Q2703" s="66"/>
      <c r="R2703" s="64"/>
      <c r="S2703" s="64"/>
      <c r="AB2703"/>
      <c r="AC2703"/>
    </row>
    <row r="2704" spans="16:29" x14ac:dyDescent="0.25">
      <c r="P2704" s="65"/>
      <c r="Q2704" s="66"/>
      <c r="R2704" s="64"/>
      <c r="S2704" s="64"/>
      <c r="AB2704"/>
      <c r="AC2704"/>
    </row>
    <row r="2705" spans="16:29" x14ac:dyDescent="0.25">
      <c r="P2705" s="65"/>
      <c r="Q2705" s="66"/>
      <c r="R2705" s="64"/>
      <c r="S2705" s="64"/>
      <c r="AB2705"/>
      <c r="AC2705"/>
    </row>
    <row r="2706" spans="16:29" x14ac:dyDescent="0.25">
      <c r="P2706" s="65"/>
      <c r="Q2706" s="66"/>
      <c r="R2706" s="64"/>
      <c r="S2706" s="64"/>
      <c r="AB2706"/>
      <c r="AC2706"/>
    </row>
    <row r="2707" spans="16:29" x14ac:dyDescent="0.25">
      <c r="P2707" s="65"/>
      <c r="Q2707" s="66"/>
      <c r="R2707" s="64"/>
      <c r="S2707" s="64"/>
      <c r="AB2707"/>
      <c r="AC2707"/>
    </row>
    <row r="2708" spans="16:29" x14ac:dyDescent="0.25">
      <c r="P2708" s="65"/>
      <c r="Q2708" s="66"/>
      <c r="R2708" s="64"/>
      <c r="S2708" s="64"/>
      <c r="AB2708"/>
      <c r="AC2708"/>
    </row>
    <row r="2709" spans="16:29" x14ac:dyDescent="0.25">
      <c r="P2709" s="65"/>
      <c r="Q2709" s="66"/>
      <c r="R2709" s="64"/>
      <c r="S2709" s="64"/>
      <c r="AB2709"/>
      <c r="AC2709"/>
    </row>
    <row r="2710" spans="16:29" x14ac:dyDescent="0.25">
      <c r="P2710" s="65"/>
      <c r="Q2710" s="66"/>
      <c r="R2710" s="64"/>
      <c r="S2710" s="64"/>
      <c r="AB2710"/>
      <c r="AC2710"/>
    </row>
    <row r="2711" spans="16:29" x14ac:dyDescent="0.25">
      <c r="P2711" s="65"/>
      <c r="Q2711" s="66"/>
      <c r="R2711" s="64"/>
      <c r="S2711" s="64"/>
      <c r="AB2711"/>
      <c r="AC2711"/>
    </row>
    <row r="2712" spans="16:29" x14ac:dyDescent="0.25">
      <c r="P2712" s="65"/>
      <c r="Q2712" s="66"/>
      <c r="R2712" s="64"/>
      <c r="S2712" s="64"/>
      <c r="AB2712"/>
      <c r="AC2712"/>
    </row>
    <row r="2713" spans="16:29" x14ac:dyDescent="0.25">
      <c r="P2713" s="65"/>
      <c r="Q2713" s="66"/>
      <c r="R2713" s="64"/>
      <c r="S2713" s="64"/>
      <c r="AB2713"/>
      <c r="AC2713"/>
    </row>
    <row r="2714" spans="16:29" x14ac:dyDescent="0.25">
      <c r="P2714" s="65"/>
      <c r="Q2714" s="66"/>
      <c r="R2714" s="64"/>
      <c r="S2714" s="64"/>
      <c r="AB2714"/>
      <c r="AC2714"/>
    </row>
    <row r="2715" spans="16:29" x14ac:dyDescent="0.25">
      <c r="P2715" s="65"/>
      <c r="Q2715" s="66"/>
      <c r="R2715" s="64"/>
      <c r="S2715" s="64"/>
      <c r="AB2715"/>
      <c r="AC2715"/>
    </row>
    <row r="2716" spans="16:29" x14ac:dyDescent="0.25">
      <c r="P2716" s="65"/>
      <c r="Q2716" s="66"/>
      <c r="R2716" s="64"/>
      <c r="S2716" s="64"/>
      <c r="AB2716"/>
      <c r="AC2716"/>
    </row>
    <row r="2717" spans="16:29" x14ac:dyDescent="0.25">
      <c r="P2717" s="65"/>
      <c r="Q2717" s="66"/>
      <c r="R2717" s="64"/>
      <c r="S2717" s="64"/>
      <c r="AB2717"/>
      <c r="AC2717"/>
    </row>
    <row r="2718" spans="16:29" x14ac:dyDescent="0.25">
      <c r="P2718" s="65"/>
      <c r="Q2718" s="66"/>
      <c r="R2718" s="64"/>
      <c r="S2718" s="64"/>
      <c r="AB2718"/>
      <c r="AC2718"/>
    </row>
    <row r="2719" spans="16:29" x14ac:dyDescent="0.25">
      <c r="P2719" s="65"/>
      <c r="Q2719" s="66"/>
      <c r="R2719" s="64"/>
      <c r="S2719" s="64"/>
      <c r="AB2719"/>
      <c r="AC2719"/>
    </row>
    <row r="2720" spans="16:29" x14ac:dyDescent="0.25">
      <c r="P2720" s="65"/>
      <c r="Q2720" s="66"/>
      <c r="R2720" s="64"/>
      <c r="S2720" s="64"/>
      <c r="AB2720"/>
      <c r="AC2720"/>
    </row>
    <row r="2721" spans="16:29" x14ac:dyDescent="0.25">
      <c r="P2721" s="65"/>
      <c r="Q2721" s="66"/>
      <c r="R2721" s="64"/>
      <c r="S2721" s="64"/>
      <c r="AB2721"/>
      <c r="AC2721"/>
    </row>
    <row r="2722" spans="16:29" x14ac:dyDescent="0.25">
      <c r="P2722" s="65"/>
      <c r="Q2722" s="66"/>
      <c r="R2722" s="64"/>
      <c r="S2722" s="64"/>
      <c r="AB2722"/>
      <c r="AC2722"/>
    </row>
    <row r="2723" spans="16:29" x14ac:dyDescent="0.25">
      <c r="P2723" s="65"/>
      <c r="Q2723" s="66"/>
      <c r="R2723" s="64"/>
      <c r="S2723" s="64"/>
      <c r="AB2723"/>
      <c r="AC2723"/>
    </row>
    <row r="2724" spans="16:29" x14ac:dyDescent="0.25">
      <c r="P2724" s="65"/>
      <c r="Q2724" s="66"/>
      <c r="R2724" s="64"/>
      <c r="S2724" s="64"/>
      <c r="AB2724"/>
      <c r="AC2724"/>
    </row>
    <row r="2725" spans="16:29" x14ac:dyDescent="0.25">
      <c r="P2725" s="65"/>
      <c r="Q2725" s="66"/>
      <c r="R2725" s="64"/>
      <c r="S2725" s="64"/>
      <c r="AB2725"/>
      <c r="AC2725"/>
    </row>
    <row r="2726" spans="16:29" x14ac:dyDescent="0.25">
      <c r="P2726" s="65"/>
      <c r="Q2726" s="66"/>
      <c r="R2726" s="64"/>
      <c r="S2726" s="64"/>
      <c r="AB2726"/>
      <c r="AC2726"/>
    </row>
    <row r="2727" spans="16:29" x14ac:dyDescent="0.25">
      <c r="P2727" s="65"/>
      <c r="Q2727" s="66"/>
      <c r="R2727" s="64"/>
      <c r="S2727" s="64"/>
      <c r="AB2727"/>
      <c r="AC2727"/>
    </row>
    <row r="2728" spans="16:29" x14ac:dyDescent="0.25">
      <c r="P2728" s="65"/>
      <c r="Q2728" s="66"/>
      <c r="R2728" s="64"/>
      <c r="S2728" s="64"/>
      <c r="AB2728"/>
      <c r="AC2728"/>
    </row>
    <row r="2729" spans="16:29" x14ac:dyDescent="0.25">
      <c r="P2729" s="65"/>
      <c r="Q2729" s="66"/>
      <c r="R2729" s="64"/>
      <c r="S2729" s="64"/>
      <c r="AB2729"/>
      <c r="AC2729"/>
    </row>
    <row r="2730" spans="16:29" x14ac:dyDescent="0.25">
      <c r="P2730" s="65"/>
      <c r="Q2730" s="66"/>
      <c r="R2730" s="64"/>
      <c r="S2730" s="64"/>
      <c r="AB2730"/>
      <c r="AC2730"/>
    </row>
    <row r="2731" spans="16:29" x14ac:dyDescent="0.25">
      <c r="P2731" s="65"/>
      <c r="Q2731" s="66"/>
      <c r="R2731" s="64"/>
      <c r="S2731" s="64"/>
      <c r="AB2731"/>
      <c r="AC2731"/>
    </row>
    <row r="2732" spans="16:29" x14ac:dyDescent="0.25">
      <c r="P2732" s="65"/>
      <c r="Q2732" s="66"/>
      <c r="R2732" s="64"/>
      <c r="S2732" s="64"/>
      <c r="AB2732"/>
      <c r="AC2732"/>
    </row>
    <row r="2733" spans="16:29" x14ac:dyDescent="0.25">
      <c r="P2733" s="65"/>
      <c r="Q2733" s="66"/>
      <c r="R2733" s="64"/>
      <c r="S2733" s="64"/>
      <c r="AB2733"/>
      <c r="AC2733"/>
    </row>
    <row r="2734" spans="16:29" x14ac:dyDescent="0.25">
      <c r="P2734" s="65"/>
      <c r="Q2734" s="66"/>
      <c r="R2734" s="64"/>
      <c r="S2734" s="64"/>
      <c r="AB2734"/>
      <c r="AC2734"/>
    </row>
    <row r="2735" spans="16:29" x14ac:dyDescent="0.25">
      <c r="P2735" s="65"/>
      <c r="Q2735" s="66"/>
      <c r="R2735" s="64"/>
      <c r="S2735" s="64"/>
      <c r="AB2735"/>
      <c r="AC2735"/>
    </row>
    <row r="2736" spans="16:29" x14ac:dyDescent="0.25">
      <c r="P2736" s="65"/>
      <c r="Q2736" s="66"/>
      <c r="R2736" s="64"/>
      <c r="S2736" s="64"/>
      <c r="AB2736"/>
      <c r="AC2736"/>
    </row>
    <row r="2737" spans="16:29" x14ac:dyDescent="0.25">
      <c r="P2737" s="65"/>
      <c r="Q2737" s="66"/>
      <c r="R2737" s="64"/>
      <c r="S2737" s="64"/>
      <c r="AB2737"/>
      <c r="AC2737"/>
    </row>
    <row r="2738" spans="16:29" x14ac:dyDescent="0.25">
      <c r="P2738" s="65"/>
      <c r="Q2738" s="66"/>
      <c r="R2738" s="64"/>
      <c r="S2738" s="64"/>
      <c r="AB2738"/>
      <c r="AC2738"/>
    </row>
    <row r="2739" spans="16:29" x14ac:dyDescent="0.25">
      <c r="P2739" s="65"/>
      <c r="Q2739" s="66"/>
      <c r="R2739" s="64"/>
      <c r="S2739" s="64"/>
      <c r="AB2739"/>
      <c r="AC2739"/>
    </row>
    <row r="2740" spans="16:29" x14ac:dyDescent="0.25">
      <c r="P2740" s="65"/>
      <c r="Q2740" s="66"/>
      <c r="R2740" s="64"/>
      <c r="S2740" s="64"/>
      <c r="AB2740"/>
      <c r="AC2740"/>
    </row>
    <row r="2741" spans="16:29" x14ac:dyDescent="0.25">
      <c r="P2741" s="65"/>
      <c r="Q2741" s="66"/>
      <c r="R2741" s="64"/>
      <c r="S2741" s="64"/>
      <c r="AB2741"/>
      <c r="AC2741"/>
    </row>
    <row r="2742" spans="16:29" x14ac:dyDescent="0.25">
      <c r="P2742" s="65"/>
      <c r="Q2742" s="66"/>
      <c r="R2742" s="64"/>
      <c r="S2742" s="64"/>
      <c r="AB2742"/>
      <c r="AC2742"/>
    </row>
    <row r="2743" spans="16:29" x14ac:dyDescent="0.25">
      <c r="P2743" s="65"/>
      <c r="Q2743" s="66"/>
      <c r="R2743" s="64"/>
      <c r="S2743" s="64"/>
      <c r="AB2743"/>
      <c r="AC2743"/>
    </row>
    <row r="2744" spans="16:29" x14ac:dyDescent="0.25">
      <c r="P2744" s="65"/>
      <c r="Q2744" s="66"/>
      <c r="R2744" s="64"/>
      <c r="S2744" s="64"/>
      <c r="AB2744"/>
      <c r="AC2744"/>
    </row>
    <row r="2745" spans="16:29" x14ac:dyDescent="0.25">
      <c r="P2745" s="65"/>
      <c r="Q2745" s="66"/>
      <c r="R2745" s="64"/>
      <c r="S2745" s="64"/>
      <c r="AB2745"/>
      <c r="AC2745"/>
    </row>
    <row r="2746" spans="16:29" x14ac:dyDescent="0.25">
      <c r="P2746" s="65"/>
      <c r="Q2746" s="66"/>
      <c r="R2746" s="64"/>
      <c r="S2746" s="64"/>
      <c r="AB2746"/>
      <c r="AC2746"/>
    </row>
    <row r="2747" spans="16:29" x14ac:dyDescent="0.25">
      <c r="P2747" s="65"/>
      <c r="Q2747" s="66"/>
      <c r="R2747" s="64"/>
      <c r="S2747" s="64"/>
      <c r="AB2747"/>
      <c r="AC2747"/>
    </row>
    <row r="2748" spans="16:29" x14ac:dyDescent="0.25">
      <c r="P2748" s="65"/>
      <c r="Q2748" s="66"/>
      <c r="R2748" s="64"/>
      <c r="S2748" s="64"/>
      <c r="AB2748"/>
      <c r="AC2748"/>
    </row>
    <row r="2749" spans="16:29" x14ac:dyDescent="0.25">
      <c r="P2749" s="65"/>
      <c r="Q2749" s="66"/>
      <c r="R2749" s="64"/>
      <c r="S2749" s="64"/>
      <c r="AB2749"/>
      <c r="AC2749"/>
    </row>
    <row r="2750" spans="16:29" x14ac:dyDescent="0.25">
      <c r="P2750" s="65"/>
      <c r="Q2750" s="66"/>
      <c r="R2750" s="64"/>
      <c r="S2750" s="64"/>
      <c r="AB2750"/>
      <c r="AC2750"/>
    </row>
    <row r="2751" spans="16:29" x14ac:dyDescent="0.25">
      <c r="P2751" s="65"/>
      <c r="Q2751" s="66"/>
      <c r="R2751" s="64"/>
      <c r="S2751" s="64"/>
      <c r="AB2751"/>
      <c r="AC2751"/>
    </row>
    <row r="2752" spans="16:29" x14ac:dyDescent="0.25">
      <c r="P2752" s="65"/>
      <c r="Q2752" s="66"/>
      <c r="R2752" s="64"/>
      <c r="S2752" s="64"/>
      <c r="AB2752"/>
      <c r="AC2752"/>
    </row>
    <row r="2753" spans="16:29" x14ac:dyDescent="0.25">
      <c r="P2753" s="65"/>
      <c r="Q2753" s="66"/>
      <c r="R2753" s="64"/>
      <c r="S2753" s="64"/>
      <c r="AB2753"/>
      <c r="AC2753"/>
    </row>
    <row r="2754" spans="16:29" x14ac:dyDescent="0.25">
      <c r="P2754" s="65"/>
      <c r="Q2754" s="66"/>
      <c r="R2754" s="64"/>
      <c r="S2754" s="64"/>
      <c r="AB2754"/>
      <c r="AC2754"/>
    </row>
    <row r="2755" spans="16:29" x14ac:dyDescent="0.25">
      <c r="P2755" s="65"/>
      <c r="Q2755" s="66"/>
      <c r="R2755" s="64"/>
      <c r="S2755" s="64"/>
      <c r="AB2755"/>
      <c r="AC2755"/>
    </row>
    <row r="2756" spans="16:29" x14ac:dyDescent="0.25">
      <c r="P2756" s="65"/>
      <c r="Q2756" s="66"/>
      <c r="R2756" s="64"/>
      <c r="S2756" s="64"/>
      <c r="AB2756"/>
      <c r="AC2756"/>
    </row>
    <row r="2757" spans="16:29" x14ac:dyDescent="0.25">
      <c r="P2757" s="65"/>
      <c r="Q2757" s="66"/>
      <c r="R2757" s="64"/>
      <c r="S2757" s="64"/>
      <c r="AB2757"/>
      <c r="AC2757"/>
    </row>
    <row r="2758" spans="16:29" x14ac:dyDescent="0.25">
      <c r="P2758" s="65"/>
      <c r="Q2758" s="66"/>
      <c r="R2758" s="64"/>
      <c r="S2758" s="64"/>
      <c r="AB2758"/>
      <c r="AC2758"/>
    </row>
    <row r="2759" spans="16:29" x14ac:dyDescent="0.25">
      <c r="P2759" s="65"/>
      <c r="Q2759" s="66"/>
      <c r="R2759" s="64"/>
      <c r="S2759" s="64"/>
      <c r="AB2759"/>
      <c r="AC2759"/>
    </row>
    <row r="2760" spans="16:29" x14ac:dyDescent="0.25">
      <c r="P2760" s="65"/>
      <c r="Q2760" s="66"/>
      <c r="R2760" s="64"/>
      <c r="S2760" s="64"/>
      <c r="AB2760"/>
      <c r="AC2760"/>
    </row>
    <row r="2761" spans="16:29" x14ac:dyDescent="0.25">
      <c r="P2761" s="65"/>
      <c r="Q2761" s="66"/>
      <c r="R2761" s="64"/>
      <c r="S2761" s="64"/>
      <c r="AB2761"/>
      <c r="AC2761"/>
    </row>
    <row r="2762" spans="16:29" x14ac:dyDescent="0.25">
      <c r="P2762" s="65"/>
      <c r="Q2762" s="66"/>
      <c r="R2762" s="64"/>
      <c r="S2762" s="64"/>
      <c r="AB2762"/>
      <c r="AC2762"/>
    </row>
    <row r="2763" spans="16:29" x14ac:dyDescent="0.25">
      <c r="P2763" s="65"/>
      <c r="Q2763" s="66"/>
      <c r="R2763" s="64"/>
      <c r="S2763" s="64"/>
      <c r="AB2763"/>
      <c r="AC2763"/>
    </row>
    <row r="2764" spans="16:29" x14ac:dyDescent="0.25">
      <c r="P2764" s="65"/>
      <c r="Q2764" s="66"/>
      <c r="R2764" s="64"/>
      <c r="S2764" s="64"/>
      <c r="AB2764"/>
      <c r="AC2764"/>
    </row>
    <row r="2765" spans="16:29" x14ac:dyDescent="0.25">
      <c r="P2765" s="65"/>
      <c r="Q2765" s="66"/>
      <c r="R2765" s="64"/>
      <c r="S2765" s="64"/>
      <c r="AB2765"/>
      <c r="AC2765"/>
    </row>
    <row r="2766" spans="16:29" x14ac:dyDescent="0.25">
      <c r="P2766" s="65"/>
      <c r="Q2766" s="66"/>
      <c r="R2766" s="64"/>
      <c r="S2766" s="64"/>
      <c r="AB2766"/>
      <c r="AC2766"/>
    </row>
    <row r="2767" spans="16:29" x14ac:dyDescent="0.25">
      <c r="P2767" s="65"/>
      <c r="Q2767" s="66"/>
      <c r="R2767" s="64"/>
      <c r="S2767" s="64"/>
      <c r="AB2767"/>
      <c r="AC2767"/>
    </row>
    <row r="2768" spans="16:29" x14ac:dyDescent="0.25">
      <c r="P2768" s="65"/>
      <c r="Q2768" s="66"/>
      <c r="R2768" s="64"/>
      <c r="S2768" s="64"/>
      <c r="AB2768"/>
      <c r="AC2768"/>
    </row>
    <row r="2769" spans="16:29" x14ac:dyDescent="0.25">
      <c r="P2769" s="65"/>
      <c r="Q2769" s="66"/>
      <c r="R2769" s="64"/>
      <c r="S2769" s="64"/>
      <c r="AB2769"/>
      <c r="AC2769"/>
    </row>
    <row r="2770" spans="16:29" x14ac:dyDescent="0.25">
      <c r="P2770" s="65"/>
      <c r="Q2770" s="66"/>
      <c r="R2770" s="64"/>
      <c r="S2770" s="64"/>
      <c r="AB2770"/>
      <c r="AC2770"/>
    </row>
    <row r="2771" spans="16:29" x14ac:dyDescent="0.25">
      <c r="P2771" s="65"/>
      <c r="Q2771" s="66"/>
      <c r="R2771" s="64"/>
      <c r="S2771" s="64"/>
      <c r="AB2771"/>
      <c r="AC2771"/>
    </row>
    <row r="2772" spans="16:29" x14ac:dyDescent="0.25">
      <c r="P2772" s="65"/>
      <c r="Q2772" s="66"/>
      <c r="R2772" s="64"/>
      <c r="S2772" s="64"/>
      <c r="AB2772"/>
      <c r="AC2772"/>
    </row>
    <row r="2773" spans="16:29" x14ac:dyDescent="0.25">
      <c r="P2773" s="65"/>
      <c r="Q2773" s="66"/>
      <c r="R2773" s="64"/>
      <c r="S2773" s="64"/>
      <c r="AB2773"/>
      <c r="AC2773"/>
    </row>
    <row r="2774" spans="16:29" x14ac:dyDescent="0.25">
      <c r="P2774" s="65"/>
      <c r="Q2774" s="66"/>
      <c r="R2774" s="64"/>
      <c r="S2774" s="64"/>
      <c r="AB2774"/>
      <c r="AC2774"/>
    </row>
    <row r="2775" spans="16:29" x14ac:dyDescent="0.25">
      <c r="P2775" s="65"/>
      <c r="Q2775" s="66"/>
      <c r="R2775" s="64"/>
      <c r="S2775" s="64"/>
      <c r="AB2775"/>
      <c r="AC2775"/>
    </row>
    <row r="2776" spans="16:29" x14ac:dyDescent="0.25">
      <c r="P2776" s="65"/>
      <c r="Q2776" s="66"/>
      <c r="R2776" s="64"/>
      <c r="S2776" s="64"/>
      <c r="AB2776"/>
      <c r="AC2776"/>
    </row>
    <row r="2777" spans="16:29" x14ac:dyDescent="0.25">
      <c r="P2777" s="65"/>
      <c r="Q2777" s="66"/>
      <c r="R2777" s="64"/>
      <c r="S2777" s="64"/>
      <c r="AB2777"/>
      <c r="AC2777"/>
    </row>
    <row r="2778" spans="16:29" x14ac:dyDescent="0.25">
      <c r="P2778" s="65"/>
      <c r="Q2778" s="66"/>
      <c r="R2778" s="64"/>
      <c r="S2778" s="64"/>
      <c r="AB2778"/>
      <c r="AC2778"/>
    </row>
    <row r="2779" spans="16:29" x14ac:dyDescent="0.25">
      <c r="P2779" s="65"/>
      <c r="Q2779" s="66"/>
      <c r="R2779" s="64"/>
      <c r="S2779" s="64"/>
      <c r="AB2779"/>
      <c r="AC2779"/>
    </row>
    <row r="2780" spans="16:29" x14ac:dyDescent="0.25">
      <c r="P2780" s="65"/>
      <c r="Q2780" s="66"/>
      <c r="R2780" s="64"/>
      <c r="S2780" s="64"/>
      <c r="AB2780"/>
      <c r="AC2780"/>
    </row>
    <row r="2781" spans="16:29" x14ac:dyDescent="0.25">
      <c r="P2781" s="65"/>
      <c r="Q2781" s="66"/>
      <c r="R2781" s="64"/>
      <c r="S2781" s="64"/>
      <c r="AB2781"/>
      <c r="AC2781"/>
    </row>
    <row r="2782" spans="16:29" x14ac:dyDescent="0.25">
      <c r="P2782" s="65"/>
      <c r="Q2782" s="66"/>
      <c r="R2782" s="64"/>
      <c r="S2782" s="64"/>
      <c r="AB2782"/>
      <c r="AC2782"/>
    </row>
    <row r="2783" spans="16:29" x14ac:dyDescent="0.25">
      <c r="P2783" s="65"/>
      <c r="Q2783" s="66"/>
      <c r="R2783" s="64"/>
      <c r="S2783" s="64"/>
      <c r="AB2783"/>
      <c r="AC2783"/>
    </row>
    <row r="2784" spans="16:29" x14ac:dyDescent="0.25">
      <c r="P2784" s="65"/>
      <c r="Q2784" s="66"/>
      <c r="R2784" s="64"/>
      <c r="S2784" s="64"/>
      <c r="AB2784"/>
      <c r="AC2784"/>
    </row>
    <row r="2785" spans="16:29" x14ac:dyDescent="0.25">
      <c r="P2785" s="65"/>
      <c r="Q2785" s="66"/>
      <c r="R2785" s="64"/>
      <c r="S2785" s="64"/>
      <c r="AB2785"/>
      <c r="AC2785"/>
    </row>
    <row r="2786" spans="16:29" x14ac:dyDescent="0.25">
      <c r="P2786" s="65"/>
      <c r="Q2786" s="66"/>
      <c r="R2786" s="64"/>
      <c r="S2786" s="64"/>
      <c r="AB2786"/>
      <c r="AC2786"/>
    </row>
    <row r="2787" spans="16:29" x14ac:dyDescent="0.25">
      <c r="P2787" s="65"/>
      <c r="Q2787" s="66"/>
      <c r="R2787" s="64"/>
      <c r="S2787" s="64"/>
      <c r="AB2787"/>
      <c r="AC2787"/>
    </row>
    <row r="2788" spans="16:29" x14ac:dyDescent="0.25">
      <c r="P2788" s="65"/>
      <c r="Q2788" s="66"/>
      <c r="R2788" s="64"/>
      <c r="S2788" s="64"/>
      <c r="AB2788"/>
      <c r="AC2788"/>
    </row>
    <row r="2789" spans="16:29" x14ac:dyDescent="0.25">
      <c r="P2789" s="65"/>
      <c r="Q2789" s="66"/>
      <c r="R2789" s="64"/>
      <c r="S2789" s="64"/>
      <c r="AB2789"/>
      <c r="AC2789"/>
    </row>
    <row r="2790" spans="16:29" x14ac:dyDescent="0.25">
      <c r="P2790" s="65"/>
      <c r="Q2790" s="66"/>
      <c r="R2790" s="64"/>
      <c r="S2790" s="64"/>
      <c r="AB2790"/>
      <c r="AC2790"/>
    </row>
    <row r="2791" spans="16:29" x14ac:dyDescent="0.25">
      <c r="P2791" s="65"/>
      <c r="Q2791" s="66"/>
      <c r="R2791" s="64"/>
      <c r="S2791" s="64"/>
      <c r="AB2791"/>
      <c r="AC2791"/>
    </row>
    <row r="2792" spans="16:29" x14ac:dyDescent="0.25">
      <c r="P2792" s="65"/>
      <c r="Q2792" s="66"/>
      <c r="R2792" s="64"/>
      <c r="S2792" s="64"/>
      <c r="AB2792"/>
      <c r="AC2792"/>
    </row>
    <row r="2793" spans="16:29" x14ac:dyDescent="0.25">
      <c r="P2793" s="65"/>
      <c r="Q2793" s="66"/>
      <c r="R2793" s="64"/>
      <c r="S2793" s="64"/>
      <c r="AB2793"/>
      <c r="AC2793"/>
    </row>
    <row r="2794" spans="16:29" x14ac:dyDescent="0.25">
      <c r="P2794" s="65"/>
      <c r="Q2794" s="66"/>
      <c r="R2794" s="64"/>
      <c r="S2794" s="64"/>
      <c r="AB2794"/>
      <c r="AC2794"/>
    </row>
    <row r="2795" spans="16:29" x14ac:dyDescent="0.25">
      <c r="P2795" s="65"/>
      <c r="Q2795" s="66"/>
      <c r="R2795" s="64"/>
      <c r="S2795" s="64"/>
      <c r="AB2795"/>
      <c r="AC2795"/>
    </row>
    <row r="2796" spans="16:29" x14ac:dyDescent="0.25">
      <c r="P2796" s="65"/>
      <c r="Q2796" s="66"/>
      <c r="R2796" s="64"/>
      <c r="S2796" s="64"/>
      <c r="AB2796"/>
      <c r="AC2796"/>
    </row>
    <row r="2797" spans="16:29" x14ac:dyDescent="0.25">
      <c r="P2797" s="65"/>
      <c r="Q2797" s="66"/>
      <c r="R2797" s="64"/>
      <c r="S2797" s="64"/>
      <c r="AB2797"/>
      <c r="AC2797"/>
    </row>
    <row r="2798" spans="16:29" x14ac:dyDescent="0.25">
      <c r="P2798" s="65"/>
      <c r="Q2798" s="66"/>
      <c r="R2798" s="64"/>
      <c r="S2798" s="64"/>
      <c r="AB2798"/>
      <c r="AC2798"/>
    </row>
    <row r="2799" spans="16:29" x14ac:dyDescent="0.25">
      <c r="P2799" s="65"/>
      <c r="Q2799" s="66"/>
      <c r="R2799" s="64"/>
      <c r="S2799" s="64"/>
      <c r="AB2799"/>
      <c r="AC2799"/>
    </row>
    <row r="2800" spans="16:29" x14ac:dyDescent="0.25">
      <c r="P2800" s="65"/>
      <c r="Q2800" s="66"/>
      <c r="R2800" s="64"/>
      <c r="S2800" s="64"/>
      <c r="AB2800"/>
      <c r="AC2800"/>
    </row>
    <row r="2801" spans="16:29" x14ac:dyDescent="0.25">
      <c r="P2801" s="65"/>
      <c r="Q2801" s="66"/>
      <c r="R2801" s="64"/>
      <c r="S2801" s="64"/>
      <c r="AB2801"/>
      <c r="AC2801"/>
    </row>
    <row r="2802" spans="16:29" x14ac:dyDescent="0.25">
      <c r="P2802" s="65"/>
      <c r="Q2802" s="66"/>
      <c r="R2802" s="64"/>
      <c r="S2802" s="64"/>
      <c r="AB2802"/>
      <c r="AC2802"/>
    </row>
    <row r="2803" spans="16:29" x14ac:dyDescent="0.25">
      <c r="P2803" s="65"/>
      <c r="Q2803" s="66"/>
      <c r="R2803" s="64"/>
      <c r="S2803" s="64"/>
      <c r="AB2803"/>
      <c r="AC2803"/>
    </row>
    <row r="2804" spans="16:29" x14ac:dyDescent="0.25">
      <c r="P2804" s="65"/>
      <c r="Q2804" s="66"/>
      <c r="R2804" s="64"/>
      <c r="S2804" s="64"/>
      <c r="AB2804"/>
      <c r="AC2804"/>
    </row>
    <row r="2805" spans="16:29" x14ac:dyDescent="0.25">
      <c r="P2805" s="65"/>
      <c r="Q2805" s="66"/>
      <c r="R2805" s="64"/>
      <c r="S2805" s="64"/>
      <c r="AB2805"/>
      <c r="AC2805"/>
    </row>
    <row r="2806" spans="16:29" x14ac:dyDescent="0.25">
      <c r="P2806" s="65"/>
      <c r="Q2806" s="66"/>
      <c r="R2806" s="64"/>
      <c r="S2806" s="64"/>
      <c r="AB2806"/>
      <c r="AC2806"/>
    </row>
    <row r="2807" spans="16:29" x14ac:dyDescent="0.25">
      <c r="P2807" s="65"/>
      <c r="Q2807" s="66"/>
      <c r="R2807" s="64"/>
      <c r="S2807" s="64"/>
      <c r="AB2807"/>
      <c r="AC2807"/>
    </row>
    <row r="2808" spans="16:29" x14ac:dyDescent="0.25">
      <c r="P2808" s="65"/>
      <c r="Q2808" s="66"/>
      <c r="R2808" s="64"/>
      <c r="S2808" s="64"/>
      <c r="AB2808"/>
      <c r="AC2808"/>
    </row>
    <row r="2809" spans="16:29" x14ac:dyDescent="0.25">
      <c r="P2809" s="65"/>
      <c r="Q2809" s="66"/>
      <c r="R2809" s="64"/>
      <c r="S2809" s="64"/>
      <c r="AB2809"/>
      <c r="AC2809"/>
    </row>
    <row r="2810" spans="16:29" x14ac:dyDescent="0.25">
      <c r="P2810" s="65"/>
      <c r="Q2810" s="66"/>
      <c r="R2810" s="64"/>
      <c r="S2810" s="64"/>
      <c r="AB2810"/>
      <c r="AC2810"/>
    </row>
    <row r="2811" spans="16:29" x14ac:dyDescent="0.25">
      <c r="P2811" s="65"/>
      <c r="Q2811" s="66"/>
      <c r="R2811" s="64"/>
      <c r="S2811" s="64"/>
      <c r="AB2811"/>
      <c r="AC2811"/>
    </row>
    <row r="2812" spans="16:29" x14ac:dyDescent="0.25">
      <c r="P2812" s="65"/>
      <c r="Q2812" s="66"/>
      <c r="R2812" s="64"/>
      <c r="S2812" s="64"/>
      <c r="AB2812"/>
      <c r="AC2812"/>
    </row>
    <row r="2813" spans="16:29" x14ac:dyDescent="0.25">
      <c r="P2813" s="65"/>
      <c r="Q2813" s="66"/>
      <c r="R2813" s="64"/>
      <c r="S2813" s="64"/>
      <c r="AB2813"/>
      <c r="AC2813"/>
    </row>
    <row r="2814" spans="16:29" x14ac:dyDescent="0.25">
      <c r="P2814" s="65"/>
      <c r="Q2814" s="66"/>
      <c r="R2814" s="64"/>
      <c r="S2814" s="64"/>
      <c r="AB2814"/>
      <c r="AC2814"/>
    </row>
    <row r="2815" spans="16:29" x14ac:dyDescent="0.25">
      <c r="P2815" s="65"/>
      <c r="Q2815" s="66"/>
      <c r="R2815" s="64"/>
      <c r="S2815" s="64"/>
      <c r="AB2815"/>
      <c r="AC2815"/>
    </row>
    <row r="2816" spans="16:29" x14ac:dyDescent="0.25">
      <c r="P2816" s="65"/>
      <c r="Q2816" s="66"/>
      <c r="R2816" s="64"/>
      <c r="S2816" s="64"/>
      <c r="AB2816"/>
      <c r="AC2816"/>
    </row>
    <row r="2817" spans="16:29" x14ac:dyDescent="0.25">
      <c r="P2817" s="65"/>
      <c r="Q2817" s="66"/>
      <c r="R2817" s="64"/>
      <c r="S2817" s="64"/>
      <c r="AB2817"/>
      <c r="AC2817"/>
    </row>
    <row r="2818" spans="16:29" x14ac:dyDescent="0.25">
      <c r="P2818" s="65"/>
      <c r="Q2818" s="66"/>
      <c r="R2818" s="64"/>
      <c r="S2818" s="64"/>
      <c r="AB2818"/>
      <c r="AC2818"/>
    </row>
    <row r="2819" spans="16:29" x14ac:dyDescent="0.25">
      <c r="P2819" s="65"/>
      <c r="Q2819" s="66"/>
      <c r="R2819" s="64"/>
      <c r="S2819" s="64"/>
      <c r="AB2819"/>
      <c r="AC2819"/>
    </row>
    <row r="2820" spans="16:29" x14ac:dyDescent="0.25">
      <c r="P2820" s="65"/>
      <c r="Q2820" s="66"/>
      <c r="R2820" s="64"/>
      <c r="S2820" s="64"/>
      <c r="AB2820"/>
      <c r="AC2820"/>
    </row>
    <row r="2821" spans="16:29" x14ac:dyDescent="0.25">
      <c r="P2821" s="65"/>
      <c r="Q2821" s="66"/>
      <c r="R2821" s="64"/>
      <c r="S2821" s="64"/>
      <c r="AB2821"/>
      <c r="AC2821"/>
    </row>
    <row r="2822" spans="16:29" x14ac:dyDescent="0.25">
      <c r="P2822" s="65"/>
      <c r="Q2822" s="66"/>
      <c r="R2822" s="64"/>
      <c r="S2822" s="64"/>
      <c r="AB2822"/>
      <c r="AC2822"/>
    </row>
    <row r="2823" spans="16:29" x14ac:dyDescent="0.25">
      <c r="P2823" s="65"/>
      <c r="Q2823" s="66"/>
      <c r="R2823" s="64"/>
      <c r="S2823" s="64"/>
      <c r="AB2823"/>
      <c r="AC2823"/>
    </row>
    <row r="2824" spans="16:29" x14ac:dyDescent="0.25">
      <c r="P2824" s="65"/>
      <c r="Q2824" s="66"/>
      <c r="R2824" s="64"/>
      <c r="S2824" s="64"/>
      <c r="AB2824"/>
      <c r="AC2824"/>
    </row>
    <row r="2825" spans="16:29" x14ac:dyDescent="0.25">
      <c r="P2825" s="65"/>
      <c r="Q2825" s="66"/>
      <c r="R2825" s="64"/>
      <c r="S2825" s="64"/>
      <c r="AB2825"/>
      <c r="AC2825"/>
    </row>
    <row r="2826" spans="16:29" x14ac:dyDescent="0.25">
      <c r="P2826" s="65"/>
      <c r="Q2826" s="66"/>
      <c r="R2826" s="64"/>
      <c r="S2826" s="64"/>
      <c r="AB2826"/>
      <c r="AC2826"/>
    </row>
    <row r="2827" spans="16:29" x14ac:dyDescent="0.25">
      <c r="P2827" s="65"/>
      <c r="Q2827" s="66"/>
      <c r="R2827" s="64"/>
      <c r="S2827" s="64"/>
      <c r="AB2827"/>
      <c r="AC2827"/>
    </row>
    <row r="2828" spans="16:29" x14ac:dyDescent="0.25">
      <c r="P2828" s="65"/>
      <c r="Q2828" s="66"/>
      <c r="R2828" s="64"/>
      <c r="S2828" s="64"/>
      <c r="AB2828"/>
      <c r="AC2828"/>
    </row>
    <row r="2829" spans="16:29" x14ac:dyDescent="0.25">
      <c r="P2829" s="65"/>
      <c r="Q2829" s="66"/>
      <c r="R2829" s="64"/>
      <c r="S2829" s="64"/>
      <c r="AB2829"/>
      <c r="AC2829"/>
    </row>
    <row r="2830" spans="16:29" x14ac:dyDescent="0.25">
      <c r="P2830" s="65"/>
      <c r="Q2830" s="66"/>
      <c r="R2830" s="64"/>
      <c r="S2830" s="64"/>
      <c r="AB2830"/>
      <c r="AC2830"/>
    </row>
    <row r="2831" spans="16:29" x14ac:dyDescent="0.25">
      <c r="P2831" s="65"/>
      <c r="Q2831" s="66"/>
      <c r="R2831" s="64"/>
      <c r="S2831" s="64"/>
      <c r="AB2831"/>
      <c r="AC2831"/>
    </row>
    <row r="2832" spans="16:29" x14ac:dyDescent="0.25">
      <c r="P2832" s="65"/>
      <c r="Q2832" s="66"/>
      <c r="R2832" s="64"/>
      <c r="S2832" s="64"/>
      <c r="AB2832"/>
      <c r="AC2832"/>
    </row>
    <row r="2833" spans="16:29" x14ac:dyDescent="0.25">
      <c r="P2833" s="65"/>
      <c r="Q2833" s="66"/>
      <c r="R2833" s="64"/>
      <c r="S2833" s="64"/>
      <c r="AB2833"/>
      <c r="AC2833"/>
    </row>
    <row r="2834" spans="16:29" x14ac:dyDescent="0.25">
      <c r="P2834" s="65"/>
      <c r="Q2834" s="66"/>
      <c r="R2834" s="64"/>
      <c r="S2834" s="64"/>
      <c r="AB2834"/>
      <c r="AC2834"/>
    </row>
    <row r="2835" spans="16:29" x14ac:dyDescent="0.25">
      <c r="P2835" s="65"/>
      <c r="Q2835" s="66"/>
      <c r="R2835" s="64"/>
      <c r="S2835" s="64"/>
      <c r="AB2835"/>
      <c r="AC2835"/>
    </row>
    <row r="2836" spans="16:29" x14ac:dyDescent="0.25">
      <c r="P2836" s="65"/>
      <c r="Q2836" s="66"/>
      <c r="R2836" s="64"/>
      <c r="S2836" s="64"/>
      <c r="AB2836"/>
      <c r="AC2836"/>
    </row>
    <row r="2837" spans="16:29" x14ac:dyDescent="0.25">
      <c r="P2837" s="65"/>
      <c r="Q2837" s="66"/>
      <c r="R2837" s="64"/>
      <c r="S2837" s="64"/>
      <c r="AB2837"/>
      <c r="AC2837"/>
    </row>
    <row r="2838" spans="16:29" x14ac:dyDescent="0.25">
      <c r="P2838" s="65"/>
      <c r="Q2838" s="66"/>
      <c r="R2838" s="64"/>
      <c r="S2838" s="64"/>
      <c r="AB2838"/>
      <c r="AC2838"/>
    </row>
    <row r="2839" spans="16:29" x14ac:dyDescent="0.25">
      <c r="P2839" s="65"/>
      <c r="Q2839" s="66"/>
      <c r="R2839" s="64"/>
      <c r="S2839" s="64"/>
      <c r="AB2839"/>
      <c r="AC2839"/>
    </row>
    <row r="2840" spans="16:29" x14ac:dyDescent="0.25">
      <c r="P2840" s="65"/>
      <c r="Q2840" s="66"/>
      <c r="R2840" s="64"/>
      <c r="S2840" s="64"/>
      <c r="AB2840"/>
      <c r="AC2840"/>
    </row>
    <row r="2841" spans="16:29" x14ac:dyDescent="0.25">
      <c r="P2841" s="65"/>
      <c r="Q2841" s="66"/>
      <c r="R2841" s="64"/>
      <c r="S2841" s="64"/>
      <c r="AB2841"/>
      <c r="AC2841"/>
    </row>
    <row r="2842" spans="16:29" x14ac:dyDescent="0.25">
      <c r="P2842" s="65"/>
      <c r="Q2842" s="66"/>
      <c r="R2842" s="64"/>
      <c r="S2842" s="64"/>
      <c r="AB2842"/>
      <c r="AC2842"/>
    </row>
    <row r="2843" spans="16:29" x14ac:dyDescent="0.25">
      <c r="P2843" s="65"/>
      <c r="Q2843" s="66"/>
      <c r="R2843" s="64"/>
      <c r="S2843" s="64"/>
      <c r="AB2843"/>
      <c r="AC2843"/>
    </row>
    <row r="2844" spans="16:29" x14ac:dyDescent="0.25">
      <c r="P2844" s="65"/>
      <c r="Q2844" s="66"/>
      <c r="R2844" s="64"/>
      <c r="S2844" s="64"/>
      <c r="AB2844"/>
      <c r="AC2844"/>
    </row>
    <row r="2845" spans="16:29" x14ac:dyDescent="0.25">
      <c r="P2845" s="65"/>
      <c r="Q2845" s="66"/>
      <c r="R2845" s="64"/>
      <c r="S2845" s="64"/>
      <c r="AB2845"/>
      <c r="AC2845"/>
    </row>
    <row r="2846" spans="16:29" x14ac:dyDescent="0.25">
      <c r="P2846" s="65"/>
      <c r="Q2846" s="66"/>
      <c r="R2846" s="64"/>
      <c r="S2846" s="64"/>
      <c r="AB2846"/>
      <c r="AC2846"/>
    </row>
    <row r="2847" spans="16:29" x14ac:dyDescent="0.25">
      <c r="P2847" s="65"/>
      <c r="Q2847" s="66"/>
      <c r="R2847" s="64"/>
      <c r="S2847" s="64"/>
      <c r="AB2847"/>
      <c r="AC2847"/>
    </row>
    <row r="2848" spans="16:29" x14ac:dyDescent="0.25">
      <c r="P2848" s="65"/>
      <c r="Q2848" s="66"/>
      <c r="R2848" s="64"/>
      <c r="S2848" s="64"/>
      <c r="AB2848"/>
      <c r="AC2848"/>
    </row>
    <row r="2849" spans="16:29" x14ac:dyDescent="0.25">
      <c r="P2849" s="65"/>
      <c r="Q2849" s="66"/>
      <c r="R2849" s="64"/>
      <c r="S2849" s="64"/>
      <c r="AB2849"/>
      <c r="AC2849"/>
    </row>
    <row r="2850" spans="16:29" x14ac:dyDescent="0.25">
      <c r="P2850" s="65"/>
      <c r="Q2850" s="66"/>
      <c r="R2850" s="64"/>
      <c r="S2850" s="64"/>
      <c r="AB2850"/>
      <c r="AC2850"/>
    </row>
    <row r="2851" spans="16:29" x14ac:dyDescent="0.25">
      <c r="P2851" s="65"/>
      <c r="Q2851" s="66"/>
      <c r="R2851" s="64"/>
      <c r="S2851" s="64"/>
      <c r="AB2851"/>
      <c r="AC2851"/>
    </row>
    <row r="2852" spans="16:29" x14ac:dyDescent="0.25">
      <c r="P2852" s="65"/>
      <c r="Q2852" s="66"/>
      <c r="R2852" s="64"/>
      <c r="S2852" s="64"/>
      <c r="AB2852"/>
      <c r="AC2852"/>
    </row>
    <row r="2853" spans="16:29" x14ac:dyDescent="0.25">
      <c r="P2853" s="65"/>
      <c r="Q2853" s="66"/>
      <c r="R2853" s="64"/>
      <c r="S2853" s="64"/>
      <c r="AB2853"/>
      <c r="AC2853"/>
    </row>
    <row r="2854" spans="16:29" x14ac:dyDescent="0.25">
      <c r="P2854" s="65"/>
      <c r="Q2854" s="66"/>
      <c r="R2854" s="64"/>
      <c r="S2854" s="64"/>
      <c r="AB2854"/>
      <c r="AC2854"/>
    </row>
    <row r="2855" spans="16:29" x14ac:dyDescent="0.25">
      <c r="P2855" s="65"/>
      <c r="Q2855" s="66"/>
      <c r="R2855" s="64"/>
      <c r="S2855" s="64"/>
      <c r="AB2855"/>
      <c r="AC2855"/>
    </row>
    <row r="2856" spans="16:29" x14ac:dyDescent="0.25">
      <c r="P2856" s="65"/>
      <c r="Q2856" s="66"/>
      <c r="R2856" s="64"/>
      <c r="S2856" s="64"/>
      <c r="AB2856"/>
      <c r="AC2856"/>
    </row>
    <row r="2857" spans="16:29" x14ac:dyDescent="0.25">
      <c r="P2857" s="65"/>
      <c r="Q2857" s="66"/>
      <c r="R2857" s="64"/>
      <c r="S2857" s="64"/>
      <c r="AB2857"/>
      <c r="AC2857"/>
    </row>
    <row r="2858" spans="16:29" x14ac:dyDescent="0.25">
      <c r="P2858" s="65"/>
      <c r="Q2858" s="66"/>
      <c r="R2858" s="64"/>
      <c r="S2858" s="64"/>
      <c r="AB2858"/>
      <c r="AC2858"/>
    </row>
    <row r="2859" spans="16:29" x14ac:dyDescent="0.25">
      <c r="P2859" s="65"/>
      <c r="Q2859" s="66"/>
      <c r="R2859" s="64"/>
      <c r="S2859" s="64"/>
      <c r="AB2859"/>
      <c r="AC2859"/>
    </row>
    <row r="2860" spans="16:29" x14ac:dyDescent="0.25">
      <c r="P2860" s="65"/>
      <c r="Q2860" s="66"/>
      <c r="R2860" s="64"/>
      <c r="S2860" s="64"/>
      <c r="AB2860"/>
      <c r="AC2860"/>
    </row>
    <row r="2861" spans="16:29" x14ac:dyDescent="0.25">
      <c r="P2861" s="65"/>
      <c r="Q2861" s="66"/>
      <c r="R2861" s="64"/>
      <c r="S2861" s="64"/>
      <c r="AB2861"/>
      <c r="AC2861"/>
    </row>
    <row r="2862" spans="16:29" x14ac:dyDescent="0.25">
      <c r="P2862" s="65"/>
      <c r="Q2862" s="66"/>
      <c r="R2862" s="64"/>
      <c r="S2862" s="64"/>
      <c r="AB2862"/>
      <c r="AC2862"/>
    </row>
    <row r="2863" spans="16:29" x14ac:dyDescent="0.25">
      <c r="P2863" s="65"/>
      <c r="Q2863" s="66"/>
      <c r="R2863" s="64"/>
      <c r="S2863" s="64"/>
      <c r="AB2863"/>
      <c r="AC2863"/>
    </row>
    <row r="2864" spans="16:29" x14ac:dyDescent="0.25">
      <c r="P2864" s="65"/>
      <c r="Q2864" s="66"/>
      <c r="R2864" s="64"/>
      <c r="S2864" s="64"/>
      <c r="AB2864"/>
      <c r="AC2864"/>
    </row>
    <row r="2865" spans="16:29" x14ac:dyDescent="0.25">
      <c r="P2865" s="65"/>
      <c r="Q2865" s="66"/>
      <c r="R2865" s="64"/>
      <c r="S2865" s="64"/>
      <c r="AB2865"/>
      <c r="AC2865"/>
    </row>
    <row r="2866" spans="16:29" x14ac:dyDescent="0.25">
      <c r="P2866" s="65"/>
      <c r="Q2866" s="66"/>
      <c r="R2866" s="64"/>
      <c r="S2866" s="64"/>
      <c r="AB2866"/>
      <c r="AC2866"/>
    </row>
    <row r="2867" spans="16:29" x14ac:dyDescent="0.25">
      <c r="P2867" s="65"/>
      <c r="Q2867" s="66"/>
      <c r="R2867" s="64"/>
      <c r="S2867" s="64"/>
      <c r="AB2867"/>
      <c r="AC2867"/>
    </row>
    <row r="2868" spans="16:29" x14ac:dyDescent="0.25">
      <c r="P2868" s="65"/>
      <c r="Q2868" s="66"/>
      <c r="R2868" s="64"/>
      <c r="S2868" s="64"/>
      <c r="AB2868"/>
      <c r="AC2868"/>
    </row>
    <row r="2869" spans="16:29" x14ac:dyDescent="0.25">
      <c r="P2869" s="65"/>
      <c r="Q2869" s="66"/>
      <c r="R2869" s="64"/>
      <c r="S2869" s="64"/>
      <c r="AB2869"/>
      <c r="AC2869"/>
    </row>
    <row r="2870" spans="16:29" x14ac:dyDescent="0.25">
      <c r="P2870" s="65"/>
      <c r="Q2870" s="66"/>
      <c r="R2870" s="64"/>
      <c r="S2870" s="64"/>
      <c r="AB2870"/>
      <c r="AC2870"/>
    </row>
    <row r="2871" spans="16:29" x14ac:dyDescent="0.25">
      <c r="P2871" s="65"/>
      <c r="Q2871" s="66"/>
      <c r="R2871" s="64"/>
      <c r="S2871" s="64"/>
      <c r="AB2871"/>
      <c r="AC2871"/>
    </row>
    <row r="2872" spans="16:29" x14ac:dyDescent="0.25">
      <c r="P2872" s="65"/>
      <c r="Q2872" s="66"/>
      <c r="R2872" s="64"/>
      <c r="S2872" s="64"/>
      <c r="AB2872"/>
      <c r="AC2872"/>
    </row>
    <row r="2873" spans="16:29" x14ac:dyDescent="0.25">
      <c r="P2873" s="65"/>
      <c r="Q2873" s="66"/>
      <c r="R2873" s="64"/>
      <c r="S2873" s="64"/>
      <c r="AB2873"/>
      <c r="AC2873"/>
    </row>
    <row r="2874" spans="16:29" x14ac:dyDescent="0.25">
      <c r="P2874" s="65"/>
      <c r="Q2874" s="66"/>
      <c r="R2874" s="64"/>
      <c r="S2874" s="64"/>
      <c r="AB2874"/>
      <c r="AC2874"/>
    </row>
    <row r="2875" spans="16:29" x14ac:dyDescent="0.25">
      <c r="P2875" s="65"/>
      <c r="Q2875" s="66"/>
      <c r="R2875" s="64"/>
      <c r="S2875" s="64"/>
      <c r="AB2875"/>
      <c r="AC2875"/>
    </row>
    <row r="2876" spans="16:29" x14ac:dyDescent="0.25">
      <c r="P2876" s="65"/>
      <c r="Q2876" s="66"/>
      <c r="R2876" s="64"/>
      <c r="S2876" s="64"/>
      <c r="AB2876"/>
      <c r="AC2876"/>
    </row>
    <row r="2877" spans="16:29" x14ac:dyDescent="0.25">
      <c r="P2877" s="65"/>
      <c r="Q2877" s="66"/>
      <c r="R2877" s="64"/>
      <c r="S2877" s="64"/>
      <c r="AB2877"/>
      <c r="AC2877"/>
    </row>
    <row r="2878" spans="16:29" x14ac:dyDescent="0.25">
      <c r="P2878" s="65"/>
      <c r="Q2878" s="66"/>
      <c r="R2878" s="64"/>
      <c r="S2878" s="64"/>
      <c r="AB2878"/>
      <c r="AC2878"/>
    </row>
    <row r="2879" spans="16:29" x14ac:dyDescent="0.25">
      <c r="P2879" s="65"/>
      <c r="Q2879" s="66"/>
      <c r="R2879" s="64"/>
      <c r="S2879" s="64"/>
      <c r="AB2879"/>
      <c r="AC2879"/>
    </row>
    <row r="2880" spans="16:29" x14ac:dyDescent="0.25">
      <c r="P2880" s="65"/>
      <c r="Q2880" s="66"/>
      <c r="R2880" s="64"/>
      <c r="S2880" s="64"/>
      <c r="AB2880"/>
      <c r="AC2880"/>
    </row>
    <row r="2881" spans="16:29" x14ac:dyDescent="0.25">
      <c r="P2881" s="65"/>
      <c r="Q2881" s="66"/>
      <c r="R2881" s="64"/>
      <c r="S2881" s="64"/>
      <c r="AB2881"/>
      <c r="AC2881"/>
    </row>
    <row r="2882" spans="16:29" x14ac:dyDescent="0.25">
      <c r="P2882" s="65"/>
      <c r="Q2882" s="66"/>
      <c r="R2882" s="64"/>
      <c r="S2882" s="64"/>
      <c r="AB2882"/>
      <c r="AC2882"/>
    </row>
    <row r="2883" spans="16:29" x14ac:dyDescent="0.25">
      <c r="P2883" s="65"/>
      <c r="Q2883" s="66"/>
      <c r="R2883" s="64"/>
      <c r="S2883" s="64"/>
      <c r="AB2883"/>
      <c r="AC2883"/>
    </row>
    <row r="2884" spans="16:29" x14ac:dyDescent="0.25">
      <c r="P2884" s="65"/>
      <c r="Q2884" s="66"/>
      <c r="R2884" s="64"/>
      <c r="S2884" s="64"/>
      <c r="AB2884"/>
      <c r="AC2884"/>
    </row>
    <row r="2885" spans="16:29" x14ac:dyDescent="0.25">
      <c r="P2885" s="65"/>
      <c r="Q2885" s="66"/>
      <c r="R2885" s="64"/>
      <c r="S2885" s="64"/>
      <c r="AB2885"/>
      <c r="AC2885"/>
    </row>
    <row r="2886" spans="16:29" x14ac:dyDescent="0.25">
      <c r="P2886" s="65"/>
      <c r="Q2886" s="66"/>
      <c r="R2886" s="64"/>
      <c r="S2886" s="64"/>
      <c r="AB2886"/>
      <c r="AC2886"/>
    </row>
    <row r="2887" spans="16:29" x14ac:dyDescent="0.25">
      <c r="P2887" s="65"/>
      <c r="Q2887" s="66"/>
      <c r="R2887" s="64"/>
      <c r="S2887" s="64"/>
      <c r="AB2887"/>
      <c r="AC2887"/>
    </row>
    <row r="2888" spans="16:29" x14ac:dyDescent="0.25">
      <c r="P2888" s="65"/>
      <c r="Q2888" s="66"/>
      <c r="R2888" s="64"/>
      <c r="S2888" s="64"/>
      <c r="AB2888"/>
      <c r="AC2888"/>
    </row>
    <row r="2889" spans="16:29" x14ac:dyDescent="0.25">
      <c r="P2889" s="65"/>
      <c r="Q2889" s="66"/>
      <c r="R2889" s="64"/>
      <c r="S2889" s="64"/>
      <c r="AB2889"/>
      <c r="AC2889"/>
    </row>
    <row r="2890" spans="16:29" x14ac:dyDescent="0.25">
      <c r="P2890" s="65"/>
      <c r="Q2890" s="66"/>
      <c r="R2890" s="64"/>
      <c r="S2890" s="64"/>
      <c r="AB2890"/>
      <c r="AC2890"/>
    </row>
    <row r="2891" spans="16:29" x14ac:dyDescent="0.25">
      <c r="P2891" s="65"/>
      <c r="Q2891" s="66"/>
      <c r="R2891" s="64"/>
      <c r="S2891" s="64"/>
      <c r="AB2891"/>
      <c r="AC2891"/>
    </row>
    <row r="2892" spans="16:29" x14ac:dyDescent="0.25">
      <c r="P2892" s="65"/>
      <c r="Q2892" s="66"/>
      <c r="R2892" s="64"/>
      <c r="S2892" s="64"/>
      <c r="AB2892"/>
      <c r="AC2892"/>
    </row>
    <row r="2893" spans="16:29" x14ac:dyDescent="0.25">
      <c r="P2893" s="65"/>
      <c r="Q2893" s="66"/>
      <c r="R2893" s="64"/>
      <c r="S2893" s="64"/>
      <c r="AB2893"/>
      <c r="AC2893"/>
    </row>
    <row r="2894" spans="16:29" x14ac:dyDescent="0.25">
      <c r="P2894" s="65"/>
      <c r="Q2894" s="66"/>
      <c r="R2894" s="64"/>
      <c r="S2894" s="64"/>
      <c r="AB2894"/>
      <c r="AC2894"/>
    </row>
    <row r="2895" spans="16:29" x14ac:dyDescent="0.25">
      <c r="P2895" s="65"/>
      <c r="Q2895" s="66"/>
      <c r="R2895" s="64"/>
      <c r="S2895" s="64"/>
      <c r="AB2895"/>
      <c r="AC2895"/>
    </row>
    <row r="2896" spans="16:29" x14ac:dyDescent="0.25">
      <c r="P2896" s="65"/>
      <c r="Q2896" s="66"/>
      <c r="R2896" s="64"/>
      <c r="S2896" s="64"/>
      <c r="AB2896"/>
      <c r="AC2896"/>
    </row>
    <row r="2897" spans="16:29" x14ac:dyDescent="0.25">
      <c r="P2897" s="65"/>
      <c r="Q2897" s="66"/>
      <c r="R2897" s="64"/>
      <c r="S2897" s="64"/>
      <c r="AB2897"/>
      <c r="AC2897"/>
    </row>
    <row r="2898" spans="16:29" x14ac:dyDescent="0.25">
      <c r="P2898" s="65"/>
      <c r="Q2898" s="66"/>
      <c r="R2898" s="64"/>
      <c r="S2898" s="64"/>
      <c r="AB2898"/>
      <c r="AC2898"/>
    </row>
    <row r="2899" spans="16:29" x14ac:dyDescent="0.25">
      <c r="P2899" s="65"/>
      <c r="Q2899" s="66"/>
      <c r="R2899" s="64"/>
      <c r="S2899" s="64"/>
      <c r="AB2899"/>
      <c r="AC2899"/>
    </row>
    <row r="2900" spans="16:29" x14ac:dyDescent="0.25">
      <c r="P2900" s="65"/>
      <c r="Q2900" s="66"/>
      <c r="R2900" s="64"/>
      <c r="S2900" s="64"/>
      <c r="AB2900"/>
      <c r="AC2900"/>
    </row>
    <row r="2901" spans="16:29" x14ac:dyDescent="0.25">
      <c r="P2901" s="65"/>
      <c r="Q2901" s="66"/>
      <c r="R2901" s="64"/>
      <c r="S2901" s="64"/>
      <c r="AB2901"/>
      <c r="AC2901"/>
    </row>
    <row r="2902" spans="16:29" x14ac:dyDescent="0.25">
      <c r="P2902" s="65"/>
      <c r="Q2902" s="66"/>
      <c r="R2902" s="64"/>
      <c r="S2902" s="64"/>
      <c r="AB2902"/>
      <c r="AC2902"/>
    </row>
    <row r="2903" spans="16:29" x14ac:dyDescent="0.25">
      <c r="P2903" s="65"/>
      <c r="Q2903" s="66"/>
      <c r="R2903" s="64"/>
      <c r="S2903" s="64"/>
      <c r="AB2903"/>
      <c r="AC2903"/>
    </row>
    <row r="2904" spans="16:29" x14ac:dyDescent="0.25">
      <c r="P2904" s="65"/>
      <c r="Q2904" s="66"/>
      <c r="R2904" s="64"/>
      <c r="S2904" s="64"/>
      <c r="AB2904"/>
      <c r="AC2904"/>
    </row>
    <row r="2905" spans="16:29" x14ac:dyDescent="0.25">
      <c r="P2905" s="65"/>
      <c r="Q2905" s="66"/>
      <c r="R2905" s="64"/>
      <c r="S2905" s="64"/>
      <c r="AB2905"/>
      <c r="AC2905"/>
    </row>
    <row r="2906" spans="16:29" x14ac:dyDescent="0.25">
      <c r="P2906" s="65"/>
      <c r="Q2906" s="66"/>
      <c r="R2906" s="64"/>
      <c r="S2906" s="64"/>
      <c r="AB2906"/>
      <c r="AC2906"/>
    </row>
    <row r="2907" spans="16:29" x14ac:dyDescent="0.25">
      <c r="P2907" s="65"/>
      <c r="Q2907" s="66"/>
      <c r="R2907" s="64"/>
      <c r="S2907" s="64"/>
      <c r="AB2907"/>
      <c r="AC2907"/>
    </row>
    <row r="2908" spans="16:29" x14ac:dyDescent="0.25">
      <c r="P2908" s="65"/>
      <c r="Q2908" s="66"/>
      <c r="R2908" s="64"/>
      <c r="S2908" s="64"/>
      <c r="AB2908"/>
      <c r="AC2908"/>
    </row>
    <row r="2909" spans="16:29" x14ac:dyDescent="0.25">
      <c r="P2909" s="65"/>
      <c r="Q2909" s="66"/>
      <c r="R2909" s="64"/>
      <c r="S2909" s="64"/>
      <c r="AB2909"/>
      <c r="AC2909"/>
    </row>
    <row r="2910" spans="16:29" x14ac:dyDescent="0.25">
      <c r="P2910" s="65"/>
      <c r="Q2910" s="66"/>
      <c r="R2910" s="64"/>
      <c r="S2910" s="64"/>
      <c r="AB2910"/>
      <c r="AC2910"/>
    </row>
    <row r="2911" spans="16:29" x14ac:dyDescent="0.25">
      <c r="P2911" s="65"/>
      <c r="Q2911" s="66"/>
      <c r="R2911" s="64"/>
      <c r="S2911" s="64"/>
      <c r="AB2911"/>
      <c r="AC2911"/>
    </row>
    <row r="2912" spans="16:29" x14ac:dyDescent="0.25">
      <c r="P2912" s="65"/>
      <c r="Q2912" s="66"/>
      <c r="R2912" s="64"/>
      <c r="S2912" s="64"/>
      <c r="AB2912"/>
      <c r="AC2912"/>
    </row>
    <row r="2913" spans="16:29" x14ac:dyDescent="0.25">
      <c r="P2913" s="65"/>
      <c r="Q2913" s="66"/>
      <c r="R2913" s="64"/>
      <c r="S2913" s="64"/>
      <c r="AB2913"/>
      <c r="AC2913"/>
    </row>
    <row r="2914" spans="16:29" x14ac:dyDescent="0.25">
      <c r="P2914" s="65"/>
      <c r="Q2914" s="66"/>
      <c r="R2914" s="64"/>
      <c r="S2914" s="64"/>
      <c r="AB2914"/>
      <c r="AC2914"/>
    </row>
    <row r="2915" spans="16:29" x14ac:dyDescent="0.25">
      <c r="P2915" s="65"/>
      <c r="Q2915" s="66"/>
      <c r="R2915" s="64"/>
      <c r="S2915" s="64"/>
      <c r="AB2915"/>
      <c r="AC2915"/>
    </row>
    <row r="2916" spans="16:29" x14ac:dyDescent="0.25">
      <c r="P2916" s="65"/>
      <c r="Q2916" s="66"/>
      <c r="R2916" s="64"/>
      <c r="S2916" s="64"/>
      <c r="AB2916"/>
      <c r="AC2916"/>
    </row>
    <row r="2917" spans="16:29" x14ac:dyDescent="0.25">
      <c r="P2917" s="65"/>
      <c r="Q2917" s="66"/>
      <c r="R2917" s="64"/>
      <c r="S2917" s="64"/>
      <c r="AB2917"/>
      <c r="AC2917"/>
    </row>
    <row r="2918" spans="16:29" x14ac:dyDescent="0.25">
      <c r="P2918" s="65"/>
      <c r="Q2918" s="66"/>
      <c r="R2918" s="64"/>
      <c r="S2918" s="64"/>
      <c r="AB2918"/>
      <c r="AC2918"/>
    </row>
    <row r="2919" spans="16:29" x14ac:dyDescent="0.25">
      <c r="P2919" s="65"/>
      <c r="Q2919" s="66"/>
      <c r="R2919" s="64"/>
      <c r="S2919" s="64"/>
      <c r="AB2919"/>
      <c r="AC2919"/>
    </row>
    <row r="2920" spans="16:29" x14ac:dyDescent="0.25">
      <c r="P2920" s="65"/>
      <c r="Q2920" s="66"/>
      <c r="R2920" s="64"/>
      <c r="S2920" s="64"/>
      <c r="AB2920"/>
      <c r="AC2920"/>
    </row>
    <row r="2921" spans="16:29" x14ac:dyDescent="0.25">
      <c r="P2921" s="65"/>
      <c r="Q2921" s="66"/>
      <c r="R2921" s="64"/>
      <c r="S2921" s="64"/>
      <c r="AB2921"/>
      <c r="AC2921"/>
    </row>
    <row r="2922" spans="16:29" x14ac:dyDescent="0.25">
      <c r="P2922" s="65"/>
      <c r="Q2922" s="66"/>
      <c r="R2922" s="64"/>
      <c r="S2922" s="64"/>
      <c r="AB2922"/>
      <c r="AC2922"/>
    </row>
    <row r="2923" spans="16:29" x14ac:dyDescent="0.25">
      <c r="P2923" s="65"/>
      <c r="Q2923" s="66"/>
      <c r="R2923" s="64"/>
      <c r="S2923" s="64"/>
      <c r="AB2923"/>
      <c r="AC2923"/>
    </row>
    <row r="2924" spans="16:29" x14ac:dyDescent="0.25">
      <c r="P2924" s="65"/>
      <c r="Q2924" s="66"/>
      <c r="R2924" s="64"/>
      <c r="S2924" s="64"/>
      <c r="AB2924"/>
      <c r="AC2924"/>
    </row>
    <row r="2925" spans="16:29" x14ac:dyDescent="0.25">
      <c r="P2925" s="65"/>
      <c r="Q2925" s="66"/>
      <c r="R2925" s="64"/>
      <c r="S2925" s="64"/>
      <c r="AB2925"/>
      <c r="AC2925"/>
    </row>
    <row r="2926" spans="16:29" x14ac:dyDescent="0.25">
      <c r="P2926" s="65"/>
      <c r="Q2926" s="66"/>
      <c r="R2926" s="64"/>
      <c r="S2926" s="64"/>
      <c r="AB2926"/>
      <c r="AC2926"/>
    </row>
    <row r="2927" spans="16:29" x14ac:dyDescent="0.25">
      <c r="P2927" s="64"/>
      <c r="Q2927" s="64"/>
      <c r="R2927" s="64"/>
      <c r="S2927" s="64"/>
      <c r="AB2927"/>
      <c r="AC2927"/>
    </row>
    <row r="2928" spans="16:29" x14ac:dyDescent="0.25">
      <c r="P2928" s="65"/>
      <c r="Q2928" s="66"/>
      <c r="R2928" s="64"/>
      <c r="S2928" s="64"/>
      <c r="AB2928"/>
      <c r="AC2928"/>
    </row>
    <row r="2929" spans="16:29" x14ac:dyDescent="0.25">
      <c r="P2929" s="65"/>
      <c r="Q2929" s="66"/>
      <c r="R2929" s="64"/>
      <c r="S2929" s="64"/>
      <c r="AB2929"/>
      <c r="AC2929"/>
    </row>
    <row r="2930" spans="16:29" x14ac:dyDescent="0.25">
      <c r="P2930" s="65"/>
      <c r="Q2930" s="66"/>
      <c r="R2930" s="64"/>
      <c r="S2930" s="64"/>
      <c r="AB2930"/>
      <c r="AC2930"/>
    </row>
    <row r="2931" spans="16:29" x14ac:dyDescent="0.25">
      <c r="P2931" s="65"/>
      <c r="Q2931" s="66"/>
      <c r="R2931" s="64"/>
      <c r="S2931" s="64"/>
      <c r="AB2931"/>
      <c r="AC2931"/>
    </row>
    <row r="2932" spans="16:29" x14ac:dyDescent="0.25">
      <c r="P2932" s="65"/>
      <c r="Q2932" s="66"/>
      <c r="R2932" s="64"/>
      <c r="S2932" s="64"/>
      <c r="AB2932"/>
      <c r="AC2932"/>
    </row>
    <row r="2933" spans="16:29" x14ac:dyDescent="0.25">
      <c r="P2933" s="65"/>
      <c r="Q2933" s="66"/>
      <c r="R2933" s="64"/>
      <c r="S2933" s="64"/>
      <c r="AB2933"/>
      <c r="AC2933"/>
    </row>
    <row r="2934" spans="16:29" x14ac:dyDescent="0.25">
      <c r="P2934" s="65"/>
      <c r="Q2934" s="66"/>
      <c r="R2934" s="64"/>
      <c r="S2934" s="64"/>
      <c r="AB2934"/>
      <c r="AC2934"/>
    </row>
    <row r="2935" spans="16:29" x14ac:dyDescent="0.25">
      <c r="P2935" s="65"/>
      <c r="Q2935" s="66"/>
      <c r="R2935" s="64"/>
      <c r="S2935" s="64"/>
      <c r="AB2935"/>
      <c r="AC2935"/>
    </row>
    <row r="2936" spans="16:29" x14ac:dyDescent="0.25">
      <c r="P2936" s="46"/>
      <c r="Q2936" s="47"/>
      <c r="R2936" s="44"/>
      <c r="S2936" s="44"/>
      <c r="AB2936"/>
      <c r="AC2936"/>
    </row>
    <row r="2937" spans="16:29" x14ac:dyDescent="0.25">
      <c r="P2937" s="46"/>
      <c r="Q2937" s="47"/>
      <c r="R2937" s="44"/>
      <c r="S2937" s="44"/>
      <c r="AB2937"/>
      <c r="AC2937"/>
    </row>
    <row r="2938" spans="16:29" x14ac:dyDescent="0.25">
      <c r="P2938" s="46"/>
      <c r="Q2938" s="47"/>
      <c r="R2938" s="44"/>
      <c r="S2938" s="44"/>
      <c r="AB2938"/>
      <c r="AC2938"/>
    </row>
    <row r="2939" spans="16:29" x14ac:dyDescent="0.25">
      <c r="P2939" s="46"/>
      <c r="Q2939" s="47"/>
      <c r="R2939" s="44"/>
      <c r="S2939" s="44"/>
      <c r="AB2939"/>
      <c r="AC2939"/>
    </row>
    <row r="2940" spans="16:29" x14ac:dyDescent="0.25">
      <c r="P2940" s="46"/>
      <c r="Q2940" s="47"/>
      <c r="R2940" s="44"/>
      <c r="S2940" s="44"/>
      <c r="AB2940"/>
      <c r="AC2940"/>
    </row>
    <row r="2941" spans="16:29" x14ac:dyDescent="0.25">
      <c r="P2941" s="46"/>
      <c r="Q2941" s="47"/>
      <c r="R2941" s="44"/>
      <c r="S2941" s="44"/>
      <c r="AB2941"/>
      <c r="AC2941"/>
    </row>
    <row r="2942" spans="16:29" x14ac:dyDescent="0.25">
      <c r="P2942" s="46"/>
      <c r="Q2942" s="47"/>
      <c r="R2942" s="44"/>
      <c r="S2942" s="44"/>
      <c r="AB2942"/>
      <c r="AC2942"/>
    </row>
    <row r="2943" spans="16:29" x14ac:dyDescent="0.25">
      <c r="P2943" s="46"/>
      <c r="Q2943" s="47"/>
      <c r="R2943" s="44"/>
      <c r="S2943" s="44"/>
      <c r="AB2943"/>
      <c r="AC2943"/>
    </row>
    <row r="2944" spans="16:29" x14ac:dyDescent="0.25">
      <c r="P2944" s="46"/>
      <c r="Q2944" s="47"/>
      <c r="R2944" s="44"/>
      <c r="S2944" s="44"/>
      <c r="AB2944"/>
      <c r="AC2944"/>
    </row>
    <row r="2945" spans="16:29" x14ac:dyDescent="0.25">
      <c r="P2945" s="46"/>
      <c r="Q2945" s="47"/>
      <c r="R2945" s="44"/>
      <c r="S2945" s="44"/>
      <c r="AB2945"/>
      <c r="AC2945"/>
    </row>
    <row r="2946" spans="16:29" x14ac:dyDescent="0.25">
      <c r="P2946" s="46"/>
      <c r="Q2946" s="47"/>
      <c r="R2946" s="44"/>
      <c r="S2946" s="44"/>
      <c r="AB2946"/>
      <c r="AC2946"/>
    </row>
    <row r="2947" spans="16:29" x14ac:dyDescent="0.25">
      <c r="P2947" s="46"/>
      <c r="Q2947" s="47"/>
      <c r="R2947" s="44"/>
      <c r="S2947" s="44"/>
      <c r="AB2947"/>
      <c r="AC2947"/>
    </row>
    <row r="2948" spans="16:29" x14ac:dyDescent="0.25">
      <c r="P2948" s="46"/>
      <c r="Q2948" s="47"/>
      <c r="R2948" s="44"/>
      <c r="S2948" s="44"/>
      <c r="AB2948"/>
      <c r="AC2948"/>
    </row>
    <row r="2949" spans="16:29" x14ac:dyDescent="0.25">
      <c r="P2949" s="46"/>
      <c r="Q2949" s="47"/>
      <c r="R2949" s="44"/>
      <c r="S2949" s="44"/>
      <c r="AB2949"/>
      <c r="AC2949"/>
    </row>
    <row r="2950" spans="16:29" x14ac:dyDescent="0.25">
      <c r="P2950" s="46"/>
      <c r="Q2950" s="47"/>
      <c r="R2950" s="44"/>
      <c r="S2950" s="44"/>
      <c r="AB2950"/>
      <c r="AC2950"/>
    </row>
    <row r="2951" spans="16:29" x14ac:dyDescent="0.25">
      <c r="P2951" s="46"/>
      <c r="Q2951" s="47"/>
      <c r="R2951" s="44"/>
      <c r="S2951" s="44"/>
      <c r="AB2951"/>
      <c r="AC2951"/>
    </row>
    <row r="2952" spans="16:29" x14ac:dyDescent="0.25">
      <c r="P2952" s="46"/>
      <c r="Q2952" s="47"/>
      <c r="R2952" s="44"/>
      <c r="S2952" s="44"/>
      <c r="AB2952"/>
      <c r="AC2952"/>
    </row>
    <row r="2953" spans="16:29" x14ac:dyDescent="0.25">
      <c r="P2953" s="46"/>
      <c r="Q2953" s="47"/>
      <c r="R2953" s="44"/>
      <c r="S2953" s="44"/>
      <c r="AB2953"/>
      <c r="AC2953"/>
    </row>
    <row r="2954" spans="16:29" x14ac:dyDescent="0.25">
      <c r="P2954" s="46"/>
      <c r="Q2954" s="47"/>
      <c r="R2954" s="44"/>
      <c r="S2954" s="44"/>
      <c r="AB2954"/>
      <c r="AC2954"/>
    </row>
    <row r="2955" spans="16:29" x14ac:dyDescent="0.25">
      <c r="P2955" s="46"/>
      <c r="Q2955" s="47"/>
      <c r="R2955" s="44"/>
      <c r="S2955" s="44"/>
      <c r="AB2955"/>
      <c r="AC2955"/>
    </row>
    <row r="2956" spans="16:29" x14ac:dyDescent="0.25">
      <c r="P2956" s="46"/>
      <c r="Q2956" s="47"/>
      <c r="R2956" s="44"/>
      <c r="S2956" s="44"/>
      <c r="AB2956"/>
      <c r="AC2956"/>
    </row>
    <row r="2957" spans="16:29" x14ac:dyDescent="0.25">
      <c r="P2957" s="46"/>
      <c r="Q2957" s="47"/>
      <c r="R2957" s="44"/>
      <c r="S2957" s="44"/>
      <c r="AB2957"/>
      <c r="AC2957"/>
    </row>
    <row r="2958" spans="16:29" x14ac:dyDescent="0.25">
      <c r="P2958" s="46"/>
      <c r="Q2958" s="47"/>
      <c r="R2958" s="44"/>
      <c r="S2958" s="44"/>
      <c r="AB2958"/>
      <c r="AC2958"/>
    </row>
    <row r="2959" spans="16:29" x14ac:dyDescent="0.25">
      <c r="P2959" s="46"/>
      <c r="Q2959" s="47"/>
      <c r="R2959" s="44"/>
      <c r="S2959" s="44"/>
      <c r="AB2959"/>
      <c r="AC2959"/>
    </row>
    <row r="2960" spans="16:29" x14ac:dyDescent="0.25">
      <c r="P2960" s="46"/>
      <c r="Q2960" s="47"/>
      <c r="R2960" s="44"/>
      <c r="S2960" s="44"/>
      <c r="AB2960"/>
      <c r="AC2960"/>
    </row>
    <row r="2961" spans="16:29" x14ac:dyDescent="0.25">
      <c r="P2961" s="46"/>
      <c r="Q2961" s="47"/>
      <c r="R2961" s="44"/>
      <c r="S2961" s="44"/>
      <c r="AB2961"/>
      <c r="AC2961"/>
    </row>
    <row r="2962" spans="16:29" x14ac:dyDescent="0.25">
      <c r="P2962" s="46"/>
      <c r="Q2962" s="47"/>
      <c r="R2962" s="44"/>
      <c r="S2962" s="44"/>
      <c r="AB2962"/>
      <c r="AC2962"/>
    </row>
    <row r="2963" spans="16:29" x14ac:dyDescent="0.25">
      <c r="P2963" s="46"/>
      <c r="Q2963" s="47"/>
      <c r="R2963" s="44"/>
      <c r="S2963" s="44"/>
      <c r="AB2963"/>
      <c r="AC2963"/>
    </row>
    <row r="2964" spans="16:29" x14ac:dyDescent="0.25">
      <c r="P2964" s="46"/>
      <c r="Q2964" s="47"/>
      <c r="R2964" s="44"/>
      <c r="S2964" s="44"/>
      <c r="AB2964"/>
      <c r="AC2964"/>
    </row>
    <row r="2965" spans="16:29" x14ac:dyDescent="0.25">
      <c r="P2965" s="46"/>
      <c r="Q2965" s="47"/>
      <c r="R2965" s="44"/>
      <c r="S2965" s="44"/>
      <c r="AB2965"/>
      <c r="AC2965"/>
    </row>
    <row r="2966" spans="16:29" x14ac:dyDescent="0.25">
      <c r="P2966" s="46"/>
      <c r="Q2966" s="47"/>
      <c r="R2966" s="44"/>
      <c r="S2966" s="44"/>
      <c r="AB2966"/>
      <c r="AC2966"/>
    </row>
    <row r="2967" spans="16:29" x14ac:dyDescent="0.25">
      <c r="P2967" s="46"/>
      <c r="Q2967" s="47"/>
      <c r="R2967" s="44"/>
      <c r="S2967" s="44"/>
      <c r="AB2967"/>
      <c r="AC2967"/>
    </row>
    <row r="2968" spans="16:29" x14ac:dyDescent="0.25">
      <c r="P2968" s="46"/>
      <c r="Q2968" s="47"/>
      <c r="R2968" s="44"/>
      <c r="S2968" s="44"/>
      <c r="AB2968"/>
      <c r="AC2968"/>
    </row>
    <row r="2969" spans="16:29" x14ac:dyDescent="0.25">
      <c r="P2969" s="46"/>
      <c r="Q2969" s="47"/>
      <c r="R2969" s="44"/>
      <c r="S2969" s="44"/>
      <c r="AB2969"/>
      <c r="AC2969"/>
    </row>
    <row r="2970" spans="16:29" x14ac:dyDescent="0.25">
      <c r="P2970" s="46"/>
      <c r="Q2970" s="47"/>
      <c r="R2970" s="44"/>
      <c r="S2970" s="44"/>
      <c r="AB2970"/>
      <c r="AC2970"/>
    </row>
    <row r="2971" spans="16:29" x14ac:dyDescent="0.25">
      <c r="P2971" s="46"/>
      <c r="Q2971" s="47"/>
      <c r="R2971" s="44"/>
      <c r="S2971" s="44"/>
      <c r="AB2971"/>
      <c r="AC2971"/>
    </row>
    <row r="2972" spans="16:29" x14ac:dyDescent="0.25">
      <c r="P2972" s="46"/>
      <c r="Q2972" s="47"/>
      <c r="R2972" s="44"/>
      <c r="S2972" s="44"/>
      <c r="AB2972"/>
      <c r="AC2972"/>
    </row>
    <row r="2973" spans="16:29" x14ac:dyDescent="0.25">
      <c r="P2973" s="46"/>
      <c r="Q2973" s="47"/>
      <c r="R2973" s="44"/>
      <c r="S2973" s="44"/>
      <c r="AB2973"/>
      <c r="AC2973"/>
    </row>
    <row r="2974" spans="16:29" x14ac:dyDescent="0.25">
      <c r="P2974" s="46"/>
      <c r="Q2974" s="47"/>
      <c r="R2974" s="44"/>
      <c r="S2974" s="44"/>
      <c r="AB2974"/>
      <c r="AC2974"/>
    </row>
    <row r="2975" spans="16:29" x14ac:dyDescent="0.25">
      <c r="P2975" s="46"/>
      <c r="Q2975" s="47"/>
      <c r="R2975" s="44"/>
      <c r="S2975" s="44"/>
      <c r="AB2975"/>
      <c r="AC2975"/>
    </row>
    <row r="2976" spans="16:29" x14ac:dyDescent="0.25">
      <c r="P2976" s="46"/>
      <c r="Q2976" s="47"/>
      <c r="R2976" s="44"/>
      <c r="S2976" s="44"/>
      <c r="AB2976"/>
      <c r="AC2976"/>
    </row>
    <row r="2977" spans="16:29" x14ac:dyDescent="0.25">
      <c r="P2977" s="46"/>
      <c r="Q2977" s="47"/>
      <c r="R2977" s="44"/>
      <c r="S2977" s="44"/>
      <c r="AB2977"/>
      <c r="AC2977"/>
    </row>
    <row r="2978" spans="16:29" x14ac:dyDescent="0.25">
      <c r="P2978" s="46"/>
      <c r="Q2978" s="47"/>
      <c r="R2978" s="44"/>
      <c r="S2978" s="44"/>
      <c r="AB2978"/>
      <c r="AC2978"/>
    </row>
    <row r="2979" spans="16:29" x14ac:dyDescent="0.25">
      <c r="P2979" s="46"/>
      <c r="Q2979" s="47"/>
      <c r="R2979" s="44"/>
      <c r="S2979" s="44"/>
      <c r="AB2979"/>
      <c r="AC2979"/>
    </row>
    <row r="2980" spans="16:29" x14ac:dyDescent="0.25">
      <c r="P2980" s="46"/>
      <c r="Q2980" s="47"/>
      <c r="R2980" s="44"/>
      <c r="S2980" s="44"/>
      <c r="AB2980"/>
      <c r="AC2980"/>
    </row>
    <row r="2981" spans="16:29" x14ac:dyDescent="0.25">
      <c r="P2981" s="46"/>
      <c r="Q2981" s="47"/>
      <c r="R2981" s="44"/>
      <c r="S2981" s="44"/>
      <c r="AB2981"/>
      <c r="AC2981"/>
    </row>
    <row r="2982" spans="16:29" x14ac:dyDescent="0.25">
      <c r="P2982" s="46"/>
      <c r="Q2982" s="47"/>
      <c r="R2982" s="44"/>
      <c r="S2982" s="44"/>
      <c r="AB2982"/>
      <c r="AC2982"/>
    </row>
    <row r="2983" spans="16:29" x14ac:dyDescent="0.25">
      <c r="P2983" s="46"/>
      <c r="Q2983" s="47"/>
      <c r="R2983" s="44"/>
      <c r="S2983" s="44"/>
      <c r="AB2983"/>
      <c r="AC2983"/>
    </row>
    <row r="2984" spans="16:29" x14ac:dyDescent="0.25">
      <c r="P2984" s="46"/>
      <c r="Q2984" s="47"/>
      <c r="R2984" s="44"/>
      <c r="S2984" s="44"/>
      <c r="AB2984"/>
      <c r="AC2984"/>
    </row>
    <row r="2985" spans="16:29" x14ac:dyDescent="0.25">
      <c r="P2985" s="46"/>
      <c r="Q2985" s="47"/>
      <c r="R2985" s="44"/>
      <c r="S2985" s="44"/>
      <c r="AB2985"/>
      <c r="AC2985"/>
    </row>
    <row r="2986" spans="16:29" x14ac:dyDescent="0.25">
      <c r="P2986" s="46"/>
      <c r="Q2986" s="47"/>
      <c r="R2986" s="44"/>
      <c r="S2986" s="44"/>
      <c r="AB2986"/>
      <c r="AC2986"/>
    </row>
    <row r="2987" spans="16:29" x14ac:dyDescent="0.25">
      <c r="P2987" s="46"/>
      <c r="Q2987" s="47"/>
      <c r="R2987" s="44"/>
      <c r="S2987" s="44"/>
      <c r="AB2987"/>
      <c r="AC2987"/>
    </row>
    <row r="2988" spans="16:29" x14ac:dyDescent="0.25">
      <c r="P2988" s="46"/>
      <c r="Q2988" s="47"/>
      <c r="R2988" s="44"/>
      <c r="S2988" s="44"/>
      <c r="AB2988"/>
      <c r="AC2988"/>
    </row>
    <row r="2989" spans="16:29" x14ac:dyDescent="0.25">
      <c r="P2989" s="46"/>
      <c r="Q2989" s="47"/>
      <c r="R2989" s="44"/>
      <c r="S2989" s="44"/>
      <c r="AB2989"/>
      <c r="AC2989"/>
    </row>
    <row r="2990" spans="16:29" x14ac:dyDescent="0.25">
      <c r="P2990" s="46"/>
      <c r="Q2990" s="47"/>
      <c r="R2990" s="44"/>
      <c r="S2990" s="44"/>
      <c r="AB2990"/>
      <c r="AC2990"/>
    </row>
    <row r="2991" spans="16:29" x14ac:dyDescent="0.25">
      <c r="P2991" s="46"/>
      <c r="Q2991" s="47"/>
      <c r="R2991" s="44"/>
      <c r="S2991" s="44"/>
      <c r="AB2991"/>
      <c r="AC2991"/>
    </row>
    <row r="2992" spans="16:29" x14ac:dyDescent="0.25">
      <c r="P2992" s="46"/>
      <c r="Q2992" s="47"/>
      <c r="R2992" s="44"/>
      <c r="S2992" s="44"/>
      <c r="AB2992"/>
      <c r="AC2992"/>
    </row>
    <row r="2993" spans="16:29" x14ac:dyDescent="0.25">
      <c r="P2993" s="46"/>
      <c r="Q2993" s="47"/>
      <c r="R2993" s="44"/>
      <c r="S2993" s="44"/>
      <c r="AB2993"/>
      <c r="AC2993"/>
    </row>
    <row r="2994" spans="16:29" x14ac:dyDescent="0.25">
      <c r="P2994" s="46"/>
      <c r="Q2994" s="47"/>
      <c r="R2994" s="44"/>
      <c r="S2994" s="44"/>
      <c r="AB2994"/>
      <c r="AC2994"/>
    </row>
    <row r="2995" spans="16:29" x14ac:dyDescent="0.25">
      <c r="P2995" s="46"/>
      <c r="Q2995" s="47"/>
      <c r="R2995" s="44"/>
      <c r="S2995" s="44"/>
      <c r="AB2995"/>
      <c r="AC2995"/>
    </row>
    <row r="2996" spans="16:29" x14ac:dyDescent="0.25">
      <c r="P2996" s="46"/>
      <c r="Q2996" s="47"/>
      <c r="R2996" s="44"/>
      <c r="S2996" s="44"/>
      <c r="AB2996"/>
      <c r="AC2996"/>
    </row>
    <row r="2997" spans="16:29" x14ac:dyDescent="0.25">
      <c r="P2997" s="46"/>
      <c r="Q2997" s="47"/>
      <c r="R2997" s="44"/>
      <c r="S2997" s="44"/>
      <c r="AB2997"/>
      <c r="AC2997"/>
    </row>
    <row r="2998" spans="16:29" x14ac:dyDescent="0.25">
      <c r="P2998" s="46"/>
      <c r="Q2998" s="47"/>
      <c r="R2998" s="44"/>
      <c r="S2998" s="44"/>
      <c r="AB2998"/>
      <c r="AC2998"/>
    </row>
    <row r="2999" spans="16:29" x14ac:dyDescent="0.25">
      <c r="P2999" s="46"/>
      <c r="Q2999" s="47"/>
      <c r="R2999" s="44"/>
      <c r="S2999" s="44"/>
      <c r="AB2999"/>
      <c r="AC2999"/>
    </row>
    <row r="3000" spans="16:29" x14ac:dyDescent="0.25">
      <c r="P3000" s="46"/>
      <c r="Q3000" s="47"/>
      <c r="R3000" s="44"/>
      <c r="S3000" s="44"/>
      <c r="AB3000"/>
      <c r="AC3000"/>
    </row>
    <row r="3001" spans="16:29" x14ac:dyDescent="0.25">
      <c r="P3001" s="46"/>
      <c r="Q3001" s="47"/>
      <c r="R3001" s="44"/>
      <c r="S3001" s="44"/>
      <c r="AB3001"/>
      <c r="AC3001"/>
    </row>
    <row r="3002" spans="16:29" x14ac:dyDescent="0.25">
      <c r="P3002" s="46"/>
      <c r="Q3002" s="47"/>
      <c r="R3002" s="44"/>
      <c r="S3002" s="44"/>
      <c r="AB3002"/>
      <c r="AC3002"/>
    </row>
    <row r="3003" spans="16:29" x14ac:dyDescent="0.25">
      <c r="P3003" s="46"/>
      <c r="Q3003" s="47"/>
      <c r="R3003" s="44"/>
      <c r="S3003" s="44"/>
      <c r="AB3003"/>
      <c r="AC3003"/>
    </row>
    <row r="3004" spans="16:29" x14ac:dyDescent="0.25">
      <c r="P3004" s="46"/>
      <c r="Q3004" s="47"/>
      <c r="R3004" s="44"/>
      <c r="S3004" s="44"/>
      <c r="AB3004"/>
      <c r="AC3004"/>
    </row>
    <row r="3005" spans="16:29" x14ac:dyDescent="0.25">
      <c r="P3005" s="46"/>
      <c r="Q3005" s="47"/>
      <c r="R3005" s="44"/>
      <c r="S3005" s="44"/>
      <c r="AB3005"/>
      <c r="AC3005"/>
    </row>
    <row r="3006" spans="16:29" x14ac:dyDescent="0.25">
      <c r="P3006" s="46"/>
      <c r="Q3006" s="47"/>
      <c r="R3006" s="44"/>
      <c r="S3006" s="44"/>
      <c r="AB3006"/>
      <c r="AC3006"/>
    </row>
    <row r="3007" spans="16:29" x14ac:dyDescent="0.25">
      <c r="P3007" s="46"/>
      <c r="Q3007" s="47"/>
      <c r="R3007" s="44"/>
      <c r="S3007" s="44"/>
      <c r="AB3007"/>
      <c r="AC3007"/>
    </row>
    <row r="3008" spans="16:29" x14ac:dyDescent="0.25">
      <c r="P3008" s="46"/>
      <c r="Q3008" s="47"/>
      <c r="R3008" s="44"/>
      <c r="S3008" s="44"/>
      <c r="AB3008"/>
      <c r="AC3008"/>
    </row>
    <row r="3009" spans="16:29" x14ac:dyDescent="0.25">
      <c r="P3009" s="46"/>
      <c r="Q3009" s="47"/>
      <c r="R3009" s="44"/>
      <c r="S3009" s="44"/>
      <c r="AB3009"/>
      <c r="AC3009"/>
    </row>
    <row r="3010" spans="16:29" x14ac:dyDescent="0.25">
      <c r="P3010" s="46"/>
      <c r="Q3010" s="47"/>
      <c r="R3010" s="44"/>
      <c r="S3010" s="44"/>
      <c r="AB3010"/>
      <c r="AC3010"/>
    </row>
    <row r="3011" spans="16:29" x14ac:dyDescent="0.25">
      <c r="P3011" s="46"/>
      <c r="Q3011" s="47"/>
      <c r="R3011" s="44"/>
      <c r="S3011" s="44"/>
      <c r="AB3011"/>
      <c r="AC3011"/>
    </row>
    <row r="3012" spans="16:29" x14ac:dyDescent="0.25">
      <c r="P3012" s="46"/>
      <c r="Q3012" s="47"/>
      <c r="R3012" s="44"/>
      <c r="S3012" s="44"/>
      <c r="AB3012"/>
      <c r="AC3012"/>
    </row>
    <row r="3013" spans="16:29" x14ac:dyDescent="0.25">
      <c r="P3013" s="46"/>
      <c r="Q3013" s="47"/>
      <c r="R3013" s="44"/>
      <c r="S3013" s="44"/>
      <c r="AB3013"/>
      <c r="AC3013"/>
    </row>
    <row r="3014" spans="16:29" x14ac:dyDescent="0.25">
      <c r="P3014" s="46"/>
      <c r="Q3014" s="47"/>
      <c r="R3014" s="44"/>
      <c r="S3014" s="44"/>
      <c r="AB3014"/>
      <c r="AC3014"/>
    </row>
    <row r="3015" spans="16:29" x14ac:dyDescent="0.25">
      <c r="P3015" s="46"/>
      <c r="Q3015" s="47"/>
      <c r="R3015" s="44"/>
      <c r="S3015" s="44"/>
      <c r="AB3015"/>
      <c r="AC3015"/>
    </row>
    <row r="3016" spans="16:29" x14ac:dyDescent="0.25">
      <c r="P3016" s="46"/>
      <c r="Q3016" s="47"/>
      <c r="R3016" s="44"/>
      <c r="S3016" s="44"/>
      <c r="AB3016"/>
      <c r="AC3016"/>
    </row>
    <row r="3017" spans="16:29" x14ac:dyDescent="0.25">
      <c r="P3017" s="46"/>
      <c r="Q3017" s="47"/>
      <c r="R3017" s="44"/>
      <c r="S3017" s="44"/>
      <c r="AB3017"/>
      <c r="AC3017"/>
    </row>
    <row r="3018" spans="16:29" x14ac:dyDescent="0.25">
      <c r="P3018" s="46"/>
      <c r="Q3018" s="47"/>
      <c r="R3018" s="44"/>
      <c r="S3018" s="44"/>
      <c r="AB3018"/>
      <c r="AC3018"/>
    </row>
    <row r="3019" spans="16:29" x14ac:dyDescent="0.25">
      <c r="P3019" s="46"/>
      <c r="Q3019" s="47"/>
      <c r="R3019" s="44"/>
      <c r="S3019" s="44"/>
      <c r="AB3019"/>
      <c r="AC3019"/>
    </row>
    <row r="3020" spans="16:29" x14ac:dyDescent="0.25">
      <c r="P3020" s="46"/>
      <c r="Q3020" s="47"/>
      <c r="R3020" s="44"/>
      <c r="S3020" s="44"/>
      <c r="AB3020"/>
      <c r="AC3020"/>
    </row>
    <row r="3021" spans="16:29" x14ac:dyDescent="0.25">
      <c r="P3021" s="46"/>
      <c r="Q3021" s="47"/>
      <c r="R3021" s="44"/>
      <c r="S3021" s="44"/>
      <c r="AB3021"/>
      <c r="AC3021"/>
    </row>
    <row r="3022" spans="16:29" x14ac:dyDescent="0.25">
      <c r="P3022" s="46"/>
      <c r="Q3022" s="47"/>
      <c r="R3022" s="44"/>
      <c r="S3022" s="44"/>
      <c r="AB3022"/>
      <c r="AC3022"/>
    </row>
    <row r="3023" spans="16:29" x14ac:dyDescent="0.25">
      <c r="P3023" s="46"/>
      <c r="Q3023" s="47"/>
      <c r="R3023" s="44"/>
      <c r="S3023" s="44"/>
      <c r="AB3023"/>
      <c r="AC3023"/>
    </row>
    <row r="3024" spans="16:29" x14ac:dyDescent="0.25">
      <c r="P3024" s="46"/>
      <c r="Q3024" s="47"/>
      <c r="R3024" s="44"/>
      <c r="S3024" s="44"/>
      <c r="AB3024"/>
      <c r="AC3024"/>
    </row>
    <row r="3025" spans="16:29" x14ac:dyDescent="0.25">
      <c r="P3025" s="46"/>
      <c r="Q3025" s="47"/>
      <c r="R3025" s="44"/>
      <c r="S3025" s="44"/>
      <c r="AB3025"/>
      <c r="AC3025"/>
    </row>
    <row r="3026" spans="16:29" x14ac:dyDescent="0.25">
      <c r="P3026" s="46"/>
      <c r="Q3026" s="47"/>
      <c r="R3026" s="44"/>
      <c r="S3026" s="44"/>
      <c r="AB3026"/>
      <c r="AC3026"/>
    </row>
    <row r="3027" spans="16:29" x14ac:dyDescent="0.25">
      <c r="P3027" s="46"/>
      <c r="Q3027" s="47"/>
      <c r="R3027" s="44"/>
      <c r="S3027" s="44"/>
      <c r="AB3027"/>
      <c r="AC3027"/>
    </row>
    <row r="3028" spans="16:29" x14ac:dyDescent="0.25">
      <c r="P3028" s="46"/>
      <c r="Q3028" s="47"/>
      <c r="R3028" s="44"/>
      <c r="S3028" s="44"/>
      <c r="AB3028"/>
      <c r="AC3028"/>
    </row>
    <row r="3029" spans="16:29" x14ac:dyDescent="0.25">
      <c r="P3029" s="46"/>
      <c r="Q3029" s="47"/>
      <c r="R3029" s="44"/>
      <c r="S3029" s="44"/>
      <c r="AB3029"/>
      <c r="AC3029"/>
    </row>
    <row r="3030" spans="16:29" x14ac:dyDescent="0.25">
      <c r="P3030" s="46"/>
      <c r="Q3030" s="47"/>
      <c r="R3030" s="44"/>
      <c r="S3030" s="44"/>
      <c r="AB3030"/>
      <c r="AC3030"/>
    </row>
    <row r="3031" spans="16:29" x14ac:dyDescent="0.25">
      <c r="P3031" s="7"/>
      <c r="Q3031" s="8"/>
      <c r="R3031" s="6"/>
      <c r="S3031" s="6"/>
      <c r="AB3031"/>
      <c r="AC3031"/>
    </row>
    <row r="3032" spans="16:29" x14ac:dyDescent="0.25">
      <c r="P3032" s="7"/>
      <c r="Q3032" s="8"/>
      <c r="R3032" s="6"/>
      <c r="S3032" s="6"/>
      <c r="AB3032"/>
      <c r="AC3032"/>
    </row>
    <row r="3033" spans="16:29" x14ac:dyDescent="0.25">
      <c r="P3033" s="7"/>
      <c r="Q3033" s="8"/>
      <c r="R3033" s="6"/>
      <c r="S3033" s="6"/>
      <c r="AB3033"/>
      <c r="AC3033"/>
    </row>
    <row r="3034" spans="16:29" x14ac:dyDescent="0.25">
      <c r="P3034" s="7"/>
      <c r="Q3034" s="8"/>
      <c r="R3034" s="6"/>
      <c r="S3034" s="6"/>
      <c r="AB3034"/>
      <c r="AC3034"/>
    </row>
    <row r="3035" spans="16:29" x14ac:dyDescent="0.25">
      <c r="P3035" s="7"/>
      <c r="Q3035" s="8"/>
      <c r="R3035" s="6"/>
      <c r="S3035" s="6"/>
      <c r="AB3035"/>
      <c r="AC3035"/>
    </row>
    <row r="3036" spans="16:29" x14ac:dyDescent="0.25">
      <c r="P3036" s="7"/>
      <c r="Q3036" s="8"/>
      <c r="R3036" s="6"/>
      <c r="S3036" s="6"/>
      <c r="AB3036"/>
      <c r="AC3036"/>
    </row>
    <row r="3037" spans="16:29" x14ac:dyDescent="0.25">
      <c r="P3037" s="7"/>
      <c r="Q3037" s="8"/>
      <c r="R3037" s="6"/>
      <c r="S3037" s="6"/>
      <c r="AB3037"/>
      <c r="AC3037"/>
    </row>
    <row r="3038" spans="16:29" x14ac:dyDescent="0.25">
      <c r="P3038" s="7"/>
      <c r="Q3038" s="8"/>
      <c r="R3038" s="6"/>
      <c r="S3038" s="6"/>
      <c r="AB3038"/>
      <c r="AC3038"/>
    </row>
    <row r="3039" spans="16:29" x14ac:dyDescent="0.25">
      <c r="P3039" s="7"/>
      <c r="Q3039" s="8"/>
      <c r="R3039" s="6"/>
      <c r="S3039" s="6"/>
      <c r="AB3039"/>
      <c r="AC3039"/>
    </row>
    <row r="3040" spans="16:29" x14ac:dyDescent="0.25">
      <c r="P3040" s="7"/>
      <c r="Q3040" s="8"/>
      <c r="R3040" s="6"/>
      <c r="S3040" s="6"/>
      <c r="AB3040"/>
      <c r="AC3040"/>
    </row>
    <row r="3041" spans="16:29" x14ac:dyDescent="0.25">
      <c r="P3041" s="7"/>
      <c r="Q3041" s="8"/>
      <c r="R3041" s="6"/>
      <c r="S3041" s="6"/>
      <c r="AB3041"/>
      <c r="AC3041"/>
    </row>
    <row r="3042" spans="16:29" x14ac:dyDescent="0.25">
      <c r="P3042" s="7"/>
      <c r="Q3042" s="8"/>
      <c r="R3042" s="6"/>
      <c r="S3042" s="6"/>
      <c r="AB3042"/>
      <c r="AC3042"/>
    </row>
    <row r="3043" spans="16:29" x14ac:dyDescent="0.25">
      <c r="P3043" s="7"/>
      <c r="Q3043" s="8"/>
      <c r="R3043" s="6"/>
      <c r="S3043" s="6"/>
      <c r="AB3043"/>
      <c r="AC3043"/>
    </row>
    <row r="3044" spans="16:29" x14ac:dyDescent="0.25">
      <c r="P3044" s="7"/>
      <c r="Q3044" s="8"/>
      <c r="R3044" s="6"/>
      <c r="S3044" s="6"/>
      <c r="AB3044"/>
      <c r="AC3044"/>
    </row>
    <row r="3045" spans="16:29" x14ac:dyDescent="0.25">
      <c r="P3045" s="7"/>
      <c r="Q3045" s="8"/>
      <c r="R3045" s="6"/>
      <c r="S3045" s="6"/>
      <c r="AB3045"/>
      <c r="AC3045"/>
    </row>
    <row r="3046" spans="16:29" x14ac:dyDescent="0.25">
      <c r="P3046" s="7"/>
      <c r="Q3046" s="8"/>
      <c r="R3046" s="6"/>
      <c r="S3046" s="6"/>
      <c r="AB3046"/>
      <c r="AC3046"/>
    </row>
    <row r="3047" spans="16:29" x14ac:dyDescent="0.25">
      <c r="P3047" s="7"/>
      <c r="Q3047" s="8"/>
      <c r="R3047" s="6"/>
      <c r="S3047" s="6"/>
      <c r="AB3047"/>
      <c r="AC3047"/>
    </row>
    <row r="3048" spans="16:29" x14ac:dyDescent="0.25">
      <c r="P3048" s="7"/>
      <c r="Q3048" s="8"/>
      <c r="R3048" s="6"/>
      <c r="S3048" s="6"/>
      <c r="AB3048"/>
      <c r="AC3048"/>
    </row>
    <row r="3049" spans="16:29" x14ac:dyDescent="0.25">
      <c r="P3049" s="7"/>
      <c r="Q3049" s="8"/>
      <c r="R3049" s="6"/>
      <c r="S3049" s="6"/>
      <c r="AB3049"/>
      <c r="AC3049"/>
    </row>
    <row r="3050" spans="16:29" x14ac:dyDescent="0.25">
      <c r="P3050" s="7"/>
      <c r="Q3050" s="8"/>
      <c r="R3050" s="6"/>
      <c r="S3050" s="6"/>
      <c r="AB3050"/>
      <c r="AC3050"/>
    </row>
    <row r="3051" spans="16:29" x14ac:dyDescent="0.25">
      <c r="P3051" s="7"/>
      <c r="Q3051" s="8"/>
      <c r="R3051" s="6"/>
      <c r="S3051" s="6"/>
      <c r="AB3051"/>
      <c r="AC3051"/>
    </row>
    <row r="3052" spans="16:29" x14ac:dyDescent="0.25">
      <c r="P3052" s="7"/>
      <c r="Q3052" s="8"/>
      <c r="R3052" s="6"/>
      <c r="S3052" s="6"/>
      <c r="AB3052"/>
      <c r="AC3052"/>
    </row>
    <row r="3053" spans="16:29" x14ac:dyDescent="0.25">
      <c r="P3053" s="7"/>
      <c r="Q3053" s="8"/>
      <c r="R3053" s="6"/>
      <c r="S3053" s="6"/>
      <c r="AB3053"/>
      <c r="AC3053"/>
    </row>
    <row r="3054" spans="16:29" x14ac:dyDescent="0.25">
      <c r="P3054" s="7"/>
      <c r="Q3054" s="8"/>
      <c r="R3054" s="6"/>
      <c r="S3054" s="6"/>
      <c r="AB3054"/>
      <c r="AC3054"/>
    </row>
    <row r="3055" spans="16:29" x14ac:dyDescent="0.25">
      <c r="P3055" s="7"/>
      <c r="Q3055" s="8"/>
      <c r="R3055" s="6"/>
      <c r="S3055" s="6"/>
      <c r="AB3055"/>
      <c r="AC3055"/>
    </row>
    <row r="3056" spans="16:29" x14ac:dyDescent="0.25">
      <c r="P3056" s="7"/>
      <c r="Q3056" s="8"/>
      <c r="R3056" s="6"/>
      <c r="S3056" s="6"/>
      <c r="AB3056"/>
      <c r="AC3056"/>
    </row>
    <row r="3057" spans="16:29" x14ac:dyDescent="0.25">
      <c r="P3057" s="7"/>
      <c r="Q3057" s="8"/>
      <c r="R3057" s="6"/>
      <c r="S3057" s="6"/>
      <c r="AB3057"/>
      <c r="AC3057"/>
    </row>
    <row r="3058" spans="16:29" x14ac:dyDescent="0.25">
      <c r="P3058" s="7"/>
      <c r="Q3058" s="8"/>
      <c r="R3058" s="6"/>
      <c r="S3058" s="6"/>
      <c r="AB3058"/>
      <c r="AC3058"/>
    </row>
    <row r="3059" spans="16:29" x14ac:dyDescent="0.25">
      <c r="P3059" s="7"/>
      <c r="Q3059" s="8"/>
      <c r="R3059" s="6"/>
      <c r="S3059" s="6"/>
      <c r="AB3059"/>
      <c r="AC3059"/>
    </row>
    <row r="3060" spans="16:29" x14ac:dyDescent="0.25">
      <c r="P3060" s="7"/>
      <c r="Q3060" s="8"/>
      <c r="R3060" s="6"/>
      <c r="S3060" s="6"/>
      <c r="AB3060"/>
      <c r="AC3060"/>
    </row>
    <row r="3061" spans="16:29" x14ac:dyDescent="0.25">
      <c r="P3061" s="7"/>
      <c r="Q3061" s="8"/>
      <c r="R3061" s="6"/>
      <c r="S3061" s="6"/>
      <c r="AB3061"/>
      <c r="AC3061"/>
    </row>
    <row r="3062" spans="16:29" x14ac:dyDescent="0.25">
      <c r="P3062" s="7"/>
      <c r="Q3062" s="8"/>
      <c r="R3062" s="6"/>
      <c r="S3062" s="6"/>
      <c r="AB3062"/>
      <c r="AC3062"/>
    </row>
    <row r="3063" spans="16:29" x14ac:dyDescent="0.25">
      <c r="P3063" s="7"/>
      <c r="Q3063" s="8"/>
      <c r="R3063" s="6"/>
      <c r="S3063" s="6"/>
      <c r="AB3063"/>
      <c r="AC3063"/>
    </row>
    <row r="3064" spans="16:29" x14ac:dyDescent="0.25">
      <c r="P3064" s="7"/>
      <c r="Q3064" s="8"/>
      <c r="R3064" s="6"/>
      <c r="S3064" s="6"/>
      <c r="AB3064"/>
      <c r="AC3064"/>
    </row>
    <row r="3065" spans="16:29" x14ac:dyDescent="0.25">
      <c r="P3065" s="7"/>
      <c r="Q3065" s="8"/>
      <c r="R3065" s="6"/>
      <c r="S3065" s="6"/>
      <c r="AB3065"/>
      <c r="AC3065"/>
    </row>
    <row r="3066" spans="16:29" x14ac:dyDescent="0.25">
      <c r="P3066" s="7"/>
      <c r="Q3066" s="8"/>
      <c r="R3066" s="6"/>
      <c r="S3066" s="6"/>
      <c r="AB3066"/>
      <c r="AC3066"/>
    </row>
    <row r="3067" spans="16:29" x14ac:dyDescent="0.25">
      <c r="P3067" s="7"/>
      <c r="Q3067" s="8"/>
      <c r="R3067" s="6"/>
      <c r="S3067" s="6"/>
      <c r="AB3067"/>
      <c r="AC3067"/>
    </row>
    <row r="3068" spans="16:29" x14ac:dyDescent="0.25">
      <c r="P3068" s="7"/>
      <c r="Q3068" s="8"/>
      <c r="R3068" s="6"/>
      <c r="S3068" s="6"/>
      <c r="AB3068"/>
      <c r="AC3068"/>
    </row>
    <row r="3069" spans="16:29" x14ac:dyDescent="0.25">
      <c r="P3069" s="7"/>
      <c r="Q3069" s="8"/>
      <c r="R3069" s="6"/>
      <c r="S3069" s="6"/>
      <c r="AB3069"/>
      <c r="AC3069"/>
    </row>
    <row r="3070" spans="16:29" x14ac:dyDescent="0.25">
      <c r="P3070" s="7"/>
      <c r="Q3070" s="8"/>
      <c r="R3070" s="6"/>
      <c r="S3070" s="6"/>
      <c r="AB3070"/>
      <c r="AC3070"/>
    </row>
    <row r="3071" spans="16:29" x14ac:dyDescent="0.25">
      <c r="P3071" s="7"/>
      <c r="Q3071" s="8"/>
      <c r="R3071" s="6"/>
      <c r="S3071" s="6"/>
      <c r="AB3071"/>
      <c r="AC3071"/>
    </row>
    <row r="3072" spans="16:29" x14ac:dyDescent="0.25">
      <c r="P3072" s="7"/>
      <c r="Q3072" s="8"/>
      <c r="R3072" s="6"/>
      <c r="S3072" s="6"/>
      <c r="AB3072"/>
      <c r="AC3072"/>
    </row>
    <row r="3073" spans="16:29" x14ac:dyDescent="0.25">
      <c r="P3073" s="7"/>
      <c r="Q3073" s="8"/>
      <c r="R3073" s="6"/>
      <c r="S3073" s="6"/>
      <c r="AB3073"/>
      <c r="AC3073"/>
    </row>
    <row r="3074" spans="16:29" x14ac:dyDescent="0.25">
      <c r="P3074" s="7"/>
      <c r="Q3074" s="8"/>
      <c r="R3074" s="6"/>
      <c r="S3074" s="6"/>
      <c r="AB3074"/>
      <c r="AC3074"/>
    </row>
    <row r="3075" spans="16:29" x14ac:dyDescent="0.25">
      <c r="P3075" s="7"/>
      <c r="Q3075" s="8"/>
      <c r="R3075" s="6"/>
      <c r="S3075" s="6"/>
      <c r="AB3075"/>
      <c r="AC3075"/>
    </row>
    <row r="3076" spans="16:29" x14ac:dyDescent="0.25">
      <c r="P3076" s="7"/>
      <c r="Q3076" s="8"/>
      <c r="R3076" s="6"/>
      <c r="S3076" s="6"/>
      <c r="AB3076"/>
      <c r="AC3076"/>
    </row>
    <row r="3077" spans="16:29" x14ac:dyDescent="0.25">
      <c r="P3077" s="43"/>
      <c r="Q3077" s="42"/>
      <c r="R3077" s="41"/>
      <c r="S3077" s="41"/>
      <c r="AB3077"/>
      <c r="AC3077"/>
    </row>
    <row r="3078" spans="16:29" x14ac:dyDescent="0.25">
      <c r="P3078" s="43"/>
      <c r="Q3078" s="42"/>
      <c r="R3078" s="41"/>
      <c r="S3078" s="41"/>
      <c r="AB3078"/>
      <c r="AC3078"/>
    </row>
    <row r="3079" spans="16:29" x14ac:dyDescent="0.25">
      <c r="P3079" s="43"/>
      <c r="Q3079" s="42"/>
      <c r="R3079" s="41"/>
      <c r="S3079" s="41"/>
      <c r="AB3079"/>
      <c r="AC3079"/>
    </row>
    <row r="3080" spans="16:29" x14ac:dyDescent="0.25">
      <c r="P3080" s="43"/>
      <c r="Q3080" s="42"/>
      <c r="R3080" s="41"/>
      <c r="S3080" s="41"/>
      <c r="AB3080"/>
      <c r="AC3080"/>
    </row>
    <row r="3081" spans="16:29" x14ac:dyDescent="0.25">
      <c r="P3081" s="43"/>
      <c r="Q3081" s="42"/>
      <c r="R3081" s="41"/>
      <c r="S3081" s="41"/>
      <c r="AB3081"/>
      <c r="AC3081"/>
    </row>
    <row r="3082" spans="16:29" x14ac:dyDescent="0.25">
      <c r="P3082" s="43"/>
      <c r="Q3082" s="42"/>
      <c r="R3082" s="41"/>
      <c r="S3082" s="41"/>
      <c r="AB3082"/>
      <c r="AC3082"/>
    </row>
    <row r="3083" spans="16:29" x14ac:dyDescent="0.25">
      <c r="P3083" s="43"/>
      <c r="Q3083" s="42"/>
      <c r="R3083" s="41"/>
      <c r="S3083" s="41"/>
      <c r="AB3083"/>
      <c r="AC3083"/>
    </row>
    <row r="3084" spans="16:29" x14ac:dyDescent="0.25">
      <c r="P3084" s="7"/>
      <c r="Q3084" s="8"/>
      <c r="R3084" s="6"/>
      <c r="S3084" s="6"/>
      <c r="AB3084"/>
      <c r="AC3084"/>
    </row>
    <row r="3085" spans="16:29" x14ac:dyDescent="0.25">
      <c r="P3085" s="7"/>
      <c r="Q3085" s="8"/>
      <c r="R3085" s="6"/>
      <c r="S3085" s="6"/>
      <c r="AB3085"/>
      <c r="AC3085"/>
    </row>
    <row r="3086" spans="16:29" x14ac:dyDescent="0.25">
      <c r="P3086" s="7"/>
      <c r="Q3086" s="8"/>
      <c r="R3086" s="6"/>
      <c r="S3086" s="6"/>
      <c r="AB3086"/>
      <c r="AC3086"/>
    </row>
    <row r="3087" spans="16:29" x14ac:dyDescent="0.25">
      <c r="P3087" s="7"/>
      <c r="Q3087" s="8"/>
      <c r="R3087" s="6"/>
      <c r="S3087" s="6"/>
      <c r="AB3087"/>
      <c r="AC3087"/>
    </row>
    <row r="3088" spans="16:29" x14ac:dyDescent="0.25">
      <c r="P3088" s="7"/>
      <c r="Q3088" s="8"/>
      <c r="R3088" s="6"/>
      <c r="S3088" s="6"/>
      <c r="AB3088"/>
      <c r="AC3088"/>
    </row>
    <row r="3089" spans="16:29" x14ac:dyDescent="0.25">
      <c r="P3089" s="7"/>
      <c r="Q3089" s="8"/>
      <c r="R3089" s="6"/>
      <c r="S3089" s="6"/>
      <c r="AB3089"/>
      <c r="AC3089"/>
    </row>
    <row r="3090" spans="16:29" x14ac:dyDescent="0.25">
      <c r="P3090" s="7"/>
      <c r="Q3090" s="8"/>
      <c r="R3090" s="6"/>
      <c r="S3090" s="6"/>
      <c r="AB3090"/>
      <c r="AC3090"/>
    </row>
    <row r="3091" spans="16:29" x14ac:dyDescent="0.25">
      <c r="P3091" s="7"/>
      <c r="Q3091" s="8"/>
      <c r="R3091" s="6"/>
      <c r="S3091" s="6"/>
      <c r="AB3091"/>
      <c r="AC3091"/>
    </row>
    <row r="3092" spans="16:29" x14ac:dyDescent="0.25">
      <c r="P3092" s="7"/>
      <c r="Q3092" s="8"/>
      <c r="R3092" s="6"/>
      <c r="S3092" s="6"/>
      <c r="AB3092"/>
      <c r="AC3092"/>
    </row>
    <row r="3093" spans="16:29" x14ac:dyDescent="0.25">
      <c r="P3093" s="7"/>
      <c r="Q3093" s="8"/>
      <c r="R3093" s="6"/>
      <c r="S3093" s="6"/>
      <c r="AB3093"/>
      <c r="AC3093"/>
    </row>
    <row r="3094" spans="16:29" x14ac:dyDescent="0.25">
      <c r="P3094" s="7"/>
      <c r="Q3094" s="8"/>
      <c r="R3094" s="6"/>
      <c r="S3094" s="6"/>
      <c r="AB3094"/>
      <c r="AC3094"/>
    </row>
    <row r="3095" spans="16:29" x14ac:dyDescent="0.25">
      <c r="P3095" s="7"/>
      <c r="Q3095" s="8"/>
      <c r="R3095" s="6"/>
      <c r="S3095" s="6"/>
      <c r="AB3095"/>
      <c r="AC3095"/>
    </row>
    <row r="3096" spans="16:29" x14ac:dyDescent="0.25">
      <c r="P3096" s="7"/>
      <c r="Q3096" s="8"/>
      <c r="R3096" s="6"/>
      <c r="S3096" s="6"/>
      <c r="AB3096"/>
      <c r="AC3096"/>
    </row>
    <row r="3097" spans="16:29" x14ac:dyDescent="0.25">
      <c r="P3097" s="7"/>
      <c r="Q3097" s="8"/>
      <c r="R3097" s="6"/>
      <c r="S3097" s="6"/>
      <c r="AB3097"/>
      <c r="AC3097"/>
    </row>
    <row r="3098" spans="16:29" x14ac:dyDescent="0.25">
      <c r="P3098" s="7"/>
      <c r="Q3098" s="8"/>
      <c r="R3098" s="6"/>
      <c r="S3098" s="6"/>
      <c r="AB3098"/>
      <c r="AC3098"/>
    </row>
    <row r="3099" spans="16:29" x14ac:dyDescent="0.25">
      <c r="P3099" s="7"/>
      <c r="Q3099" s="8"/>
      <c r="R3099" s="6"/>
      <c r="S3099" s="6"/>
      <c r="AB3099"/>
      <c r="AC3099"/>
    </row>
    <row r="3100" spans="16:29" x14ac:dyDescent="0.25">
      <c r="P3100" s="7"/>
      <c r="Q3100" s="8"/>
      <c r="R3100" s="6"/>
      <c r="S3100" s="6"/>
      <c r="AB3100"/>
      <c r="AC3100"/>
    </row>
    <row r="3101" spans="16:29" x14ac:dyDescent="0.25">
      <c r="P3101" s="7"/>
      <c r="Q3101" s="8"/>
      <c r="R3101" s="6"/>
      <c r="S3101" s="6"/>
      <c r="AB3101"/>
      <c r="AC3101"/>
    </row>
    <row r="3102" spans="16:29" x14ac:dyDescent="0.25">
      <c r="P3102" s="7"/>
      <c r="Q3102" s="8"/>
      <c r="R3102" s="6"/>
      <c r="S3102" s="6"/>
      <c r="AB3102"/>
      <c r="AC3102"/>
    </row>
    <row r="3103" spans="16:29" x14ac:dyDescent="0.25">
      <c r="P3103" s="7"/>
      <c r="Q3103" s="8"/>
      <c r="R3103" s="6"/>
      <c r="S3103" s="6"/>
      <c r="AB3103"/>
      <c r="AC3103"/>
    </row>
    <row r="3104" spans="16:29" x14ac:dyDescent="0.25">
      <c r="P3104" s="7"/>
      <c r="Q3104" s="8"/>
      <c r="R3104" s="6"/>
      <c r="S3104" s="6"/>
      <c r="AB3104"/>
      <c r="AC3104"/>
    </row>
    <row r="3105" spans="16:29" x14ac:dyDescent="0.25">
      <c r="P3105" s="7"/>
      <c r="Q3105" s="8"/>
      <c r="R3105" s="6"/>
      <c r="S3105" s="6"/>
      <c r="AB3105"/>
      <c r="AC3105"/>
    </row>
    <row r="3106" spans="16:29" x14ac:dyDescent="0.25">
      <c r="P3106" s="7"/>
      <c r="Q3106" s="8"/>
      <c r="R3106" s="6"/>
      <c r="S3106" s="6"/>
      <c r="AB3106"/>
      <c r="AC3106"/>
    </row>
    <row r="3107" spans="16:29" x14ac:dyDescent="0.25">
      <c r="P3107" s="7"/>
      <c r="Q3107" s="8"/>
      <c r="R3107" s="6"/>
      <c r="S3107" s="6"/>
      <c r="AB3107"/>
      <c r="AC3107"/>
    </row>
    <row r="3108" spans="16:29" x14ac:dyDescent="0.25">
      <c r="P3108" s="7"/>
      <c r="Q3108" s="8"/>
      <c r="R3108" s="6"/>
      <c r="S3108" s="6"/>
      <c r="AB3108"/>
      <c r="AC3108"/>
    </row>
    <row r="3109" spans="16:29" x14ac:dyDescent="0.25">
      <c r="P3109" s="7"/>
      <c r="Q3109" s="8"/>
      <c r="R3109" s="6"/>
      <c r="S3109" s="6"/>
      <c r="AB3109"/>
      <c r="AC3109"/>
    </row>
    <row r="3110" spans="16:29" x14ac:dyDescent="0.25">
      <c r="P3110" s="7"/>
      <c r="Q3110" s="8"/>
      <c r="R3110" s="6"/>
      <c r="S3110" s="6"/>
      <c r="AB3110"/>
      <c r="AC3110"/>
    </row>
    <row r="3111" spans="16:29" x14ac:dyDescent="0.25">
      <c r="P3111" s="7"/>
      <c r="Q3111" s="8"/>
      <c r="R3111" s="6"/>
      <c r="S3111" s="6"/>
      <c r="AB3111"/>
      <c r="AC3111"/>
    </row>
    <row r="3112" spans="16:29" x14ac:dyDescent="0.25">
      <c r="P3112" s="7"/>
      <c r="Q3112" s="8"/>
      <c r="R3112" s="6"/>
      <c r="S3112" s="6"/>
      <c r="AB3112"/>
      <c r="AC3112"/>
    </row>
    <row r="3113" spans="16:29" x14ac:dyDescent="0.25">
      <c r="P3113" s="7"/>
      <c r="Q3113" s="8"/>
      <c r="R3113" s="6"/>
      <c r="S3113" s="6"/>
      <c r="AB3113"/>
      <c r="AC3113"/>
    </row>
    <row r="3114" spans="16:29" x14ac:dyDescent="0.25">
      <c r="P3114" s="7"/>
      <c r="Q3114" s="8"/>
      <c r="R3114" s="6"/>
      <c r="S3114" s="6"/>
      <c r="AB3114"/>
      <c r="AC3114"/>
    </row>
    <row r="3115" spans="16:29" x14ac:dyDescent="0.25">
      <c r="P3115" s="7"/>
      <c r="Q3115" s="8"/>
      <c r="R3115" s="6"/>
      <c r="S3115" s="6"/>
      <c r="AB3115"/>
      <c r="AC3115"/>
    </row>
    <row r="3116" spans="16:29" x14ac:dyDescent="0.25">
      <c r="P3116" s="7"/>
      <c r="Q3116" s="8"/>
      <c r="R3116" s="6"/>
      <c r="S3116" s="6"/>
      <c r="AB3116"/>
      <c r="AC3116"/>
    </row>
    <row r="3117" spans="16:29" x14ac:dyDescent="0.25">
      <c r="P3117" s="7"/>
      <c r="Q3117" s="8"/>
      <c r="R3117" s="6"/>
      <c r="S3117" s="6"/>
      <c r="AB3117"/>
      <c r="AC3117"/>
    </row>
    <row r="3118" spans="16:29" x14ac:dyDescent="0.25">
      <c r="P3118" s="7"/>
      <c r="Q3118" s="8"/>
      <c r="R3118" s="6"/>
      <c r="S3118" s="6"/>
      <c r="AB3118"/>
      <c r="AC3118"/>
    </row>
    <row r="3119" spans="16:29" x14ac:dyDescent="0.25">
      <c r="P3119" s="7"/>
      <c r="Q3119" s="8"/>
      <c r="R3119" s="6"/>
      <c r="S3119" s="6"/>
      <c r="AB3119"/>
      <c r="AC3119"/>
    </row>
    <row r="3120" spans="16:29" x14ac:dyDescent="0.25">
      <c r="P3120" s="7"/>
      <c r="Q3120" s="8"/>
      <c r="R3120" s="6"/>
      <c r="S3120" s="6"/>
      <c r="AB3120"/>
      <c r="AC3120"/>
    </row>
    <row r="3121" spans="16:29" x14ac:dyDescent="0.25">
      <c r="P3121" s="7"/>
      <c r="Q3121" s="8"/>
      <c r="R3121" s="6"/>
      <c r="S3121" s="6"/>
      <c r="AB3121"/>
      <c r="AC3121"/>
    </row>
    <row r="3122" spans="16:29" x14ac:dyDescent="0.25">
      <c r="P3122" s="7"/>
      <c r="Q3122" s="8"/>
      <c r="R3122" s="6"/>
      <c r="S3122" s="6"/>
      <c r="AB3122"/>
      <c r="AC3122"/>
    </row>
    <row r="3123" spans="16:29" x14ac:dyDescent="0.25">
      <c r="P3123" s="7"/>
      <c r="Q3123" s="8"/>
      <c r="R3123" s="6"/>
      <c r="S3123" s="6"/>
      <c r="AB3123"/>
      <c r="AC3123"/>
    </row>
    <row r="3124" spans="16:29" x14ac:dyDescent="0.25">
      <c r="P3124" s="7"/>
      <c r="Q3124" s="8"/>
      <c r="R3124" s="6"/>
      <c r="S3124" s="6"/>
      <c r="AB3124"/>
      <c r="AC3124"/>
    </row>
    <row r="3125" spans="16:29" x14ac:dyDescent="0.25">
      <c r="P3125" s="7"/>
      <c r="Q3125" s="8"/>
      <c r="R3125" s="6"/>
      <c r="S3125" s="6"/>
      <c r="AB3125"/>
      <c r="AC3125"/>
    </row>
    <row r="3126" spans="16:29" x14ac:dyDescent="0.25">
      <c r="P3126" s="7"/>
      <c r="Q3126" s="8"/>
      <c r="R3126" s="6"/>
      <c r="S3126" s="6"/>
      <c r="AB3126"/>
      <c r="AC3126"/>
    </row>
    <row r="3127" spans="16:29" x14ac:dyDescent="0.25">
      <c r="P3127" s="7"/>
      <c r="Q3127" s="8"/>
      <c r="R3127" s="6"/>
      <c r="S3127" s="6"/>
      <c r="AB3127"/>
      <c r="AC3127"/>
    </row>
    <row r="3128" spans="16:29" x14ac:dyDescent="0.25">
      <c r="P3128" s="7"/>
      <c r="Q3128" s="8"/>
      <c r="R3128" s="6"/>
      <c r="S3128" s="6"/>
      <c r="AB3128"/>
      <c r="AC3128"/>
    </row>
    <row r="3129" spans="16:29" x14ac:dyDescent="0.25">
      <c r="P3129" s="7"/>
      <c r="Q3129" s="8"/>
      <c r="R3129" s="6"/>
      <c r="S3129" s="6"/>
      <c r="AB3129"/>
      <c r="AC3129"/>
    </row>
    <row r="3130" spans="16:29" x14ac:dyDescent="0.25">
      <c r="P3130" s="7"/>
      <c r="Q3130" s="8"/>
      <c r="R3130" s="6"/>
      <c r="S3130" s="6"/>
      <c r="AB3130"/>
      <c r="AC3130"/>
    </row>
    <row r="3131" spans="16:29" x14ac:dyDescent="0.25">
      <c r="P3131" s="7"/>
      <c r="Q3131" s="8"/>
      <c r="R3131" s="6"/>
      <c r="S3131" s="6"/>
      <c r="AB3131"/>
      <c r="AC3131"/>
    </row>
    <row r="3132" spans="16:29" x14ac:dyDescent="0.25">
      <c r="P3132" s="7"/>
      <c r="Q3132" s="8"/>
      <c r="R3132" s="6"/>
      <c r="S3132" s="6"/>
      <c r="AB3132"/>
      <c r="AC3132"/>
    </row>
    <row r="3133" spans="16:29" x14ac:dyDescent="0.25">
      <c r="P3133" s="7"/>
      <c r="Q3133" s="8"/>
      <c r="R3133" s="6"/>
      <c r="S3133" s="6"/>
      <c r="AB3133"/>
      <c r="AC3133"/>
    </row>
    <row r="3134" spans="16:29" x14ac:dyDescent="0.25">
      <c r="P3134" s="7"/>
      <c r="Q3134" s="8"/>
      <c r="R3134" s="6"/>
      <c r="S3134" s="6"/>
      <c r="AB3134"/>
      <c r="AC3134"/>
    </row>
    <row r="3135" spans="16:29" x14ac:dyDescent="0.25">
      <c r="P3135" s="7"/>
      <c r="Q3135" s="8"/>
      <c r="R3135" s="6"/>
      <c r="S3135" s="6"/>
      <c r="AB3135"/>
      <c r="AC3135"/>
    </row>
    <row r="3136" spans="16:29" x14ac:dyDescent="0.25">
      <c r="P3136" s="7"/>
      <c r="Q3136" s="8"/>
      <c r="R3136" s="6"/>
      <c r="S3136" s="6"/>
      <c r="AB3136"/>
      <c r="AC3136"/>
    </row>
    <row r="3137" spans="16:29" x14ac:dyDescent="0.25">
      <c r="P3137" s="7"/>
      <c r="Q3137" s="8"/>
      <c r="R3137" s="6"/>
      <c r="S3137" s="6"/>
      <c r="AB3137"/>
      <c r="AC3137"/>
    </row>
    <row r="3138" spans="16:29" x14ac:dyDescent="0.25">
      <c r="P3138" s="7"/>
      <c r="Q3138" s="8"/>
      <c r="R3138" s="6"/>
      <c r="S3138" s="6"/>
      <c r="AB3138"/>
      <c r="AC3138"/>
    </row>
    <row r="3139" spans="16:29" x14ac:dyDescent="0.25">
      <c r="P3139" s="7"/>
      <c r="Q3139" s="8"/>
      <c r="R3139" s="6"/>
      <c r="S3139" s="6"/>
      <c r="AB3139"/>
      <c r="AC3139"/>
    </row>
    <row r="3140" spans="16:29" x14ac:dyDescent="0.25">
      <c r="P3140" s="7"/>
      <c r="Q3140" s="8"/>
      <c r="R3140" s="6"/>
      <c r="S3140" s="6"/>
      <c r="AB3140"/>
      <c r="AC3140"/>
    </row>
    <row r="3141" spans="16:29" x14ac:dyDescent="0.25">
      <c r="P3141" s="7"/>
      <c r="Q3141" s="8"/>
      <c r="R3141" s="6"/>
      <c r="S3141" s="6"/>
      <c r="AB3141"/>
      <c r="AC3141"/>
    </row>
    <row r="3142" spans="16:29" x14ac:dyDescent="0.25">
      <c r="P3142" s="7"/>
      <c r="Q3142" s="8"/>
      <c r="R3142" s="6"/>
      <c r="S3142" s="6"/>
      <c r="AB3142"/>
      <c r="AC3142"/>
    </row>
    <row r="3143" spans="16:29" x14ac:dyDescent="0.25">
      <c r="P3143" s="7"/>
      <c r="Q3143" s="8"/>
      <c r="R3143" s="6"/>
      <c r="S3143" s="6"/>
      <c r="AB3143"/>
      <c r="AC3143"/>
    </row>
    <row r="3144" spans="16:29" x14ac:dyDescent="0.25">
      <c r="P3144" s="7"/>
      <c r="Q3144" s="8"/>
      <c r="R3144" s="6"/>
      <c r="S3144" s="6"/>
      <c r="AB3144"/>
      <c r="AC3144"/>
    </row>
    <row r="3145" spans="16:29" x14ac:dyDescent="0.25">
      <c r="P3145" s="7"/>
      <c r="Q3145" s="8"/>
      <c r="R3145" s="6"/>
      <c r="S3145" s="6"/>
      <c r="AB3145"/>
      <c r="AC3145"/>
    </row>
    <row r="3146" spans="16:29" x14ac:dyDescent="0.25">
      <c r="P3146" s="7"/>
      <c r="Q3146" s="8"/>
      <c r="R3146" s="6"/>
      <c r="S3146" s="6"/>
      <c r="AB3146"/>
      <c r="AC3146"/>
    </row>
    <row r="3147" spans="16:29" x14ac:dyDescent="0.25">
      <c r="P3147" s="7"/>
      <c r="Q3147" s="8"/>
      <c r="R3147" s="6"/>
      <c r="S3147" s="6"/>
      <c r="AB3147"/>
      <c r="AC3147"/>
    </row>
    <row r="3148" spans="16:29" x14ac:dyDescent="0.25">
      <c r="P3148" s="7"/>
      <c r="Q3148" s="8"/>
      <c r="R3148" s="6"/>
      <c r="S3148" s="6"/>
      <c r="AB3148"/>
      <c r="AC3148"/>
    </row>
    <row r="3149" spans="16:29" x14ac:dyDescent="0.25">
      <c r="P3149" s="7"/>
      <c r="Q3149" s="8"/>
      <c r="R3149" s="6"/>
      <c r="S3149" s="6"/>
      <c r="AB3149"/>
      <c r="AC3149"/>
    </row>
    <row r="3150" spans="16:29" x14ac:dyDescent="0.25">
      <c r="P3150" s="7"/>
      <c r="Q3150" s="8"/>
      <c r="R3150" s="6"/>
      <c r="S3150" s="6"/>
      <c r="AB3150"/>
      <c r="AC3150"/>
    </row>
    <row r="3151" spans="16:29" x14ac:dyDescent="0.25">
      <c r="P3151" s="7"/>
      <c r="Q3151" s="8"/>
      <c r="R3151" s="6"/>
      <c r="S3151" s="6"/>
      <c r="AB3151"/>
      <c r="AC3151"/>
    </row>
    <row r="3152" spans="16:29" x14ac:dyDescent="0.25">
      <c r="P3152" s="7"/>
      <c r="Q3152" s="8"/>
      <c r="R3152" s="6"/>
      <c r="S3152" s="6"/>
      <c r="AB3152"/>
      <c r="AC3152"/>
    </row>
    <row r="3153" spans="16:29" x14ac:dyDescent="0.25">
      <c r="P3153" s="7"/>
      <c r="Q3153" s="8"/>
      <c r="R3153" s="6"/>
      <c r="S3153" s="6"/>
      <c r="AB3153"/>
      <c r="AC3153"/>
    </row>
    <row r="3154" spans="16:29" x14ac:dyDescent="0.25">
      <c r="P3154" s="7"/>
      <c r="Q3154" s="8"/>
      <c r="R3154" s="6"/>
      <c r="S3154" s="6"/>
      <c r="AB3154"/>
      <c r="AC3154"/>
    </row>
    <row r="3155" spans="16:29" x14ac:dyDescent="0.25">
      <c r="P3155" s="7"/>
      <c r="Q3155" s="8"/>
      <c r="R3155" s="6"/>
      <c r="S3155" s="6"/>
      <c r="AB3155"/>
      <c r="AC3155"/>
    </row>
    <row r="3156" spans="16:29" x14ac:dyDescent="0.25">
      <c r="P3156" s="7"/>
      <c r="Q3156" s="8"/>
      <c r="R3156" s="6"/>
      <c r="S3156" s="6"/>
      <c r="AB3156"/>
      <c r="AC3156"/>
    </row>
    <row r="3157" spans="16:29" x14ac:dyDescent="0.25">
      <c r="P3157" s="7"/>
      <c r="Q3157" s="8"/>
      <c r="R3157" s="6"/>
      <c r="S3157" s="6"/>
      <c r="AB3157"/>
      <c r="AC3157"/>
    </row>
    <row r="3158" spans="16:29" x14ac:dyDescent="0.25">
      <c r="P3158" s="7"/>
      <c r="Q3158" s="8"/>
      <c r="R3158" s="6"/>
      <c r="S3158" s="6"/>
      <c r="AB3158"/>
      <c r="AC3158"/>
    </row>
    <row r="3159" spans="16:29" x14ac:dyDescent="0.25">
      <c r="P3159" s="7"/>
      <c r="Q3159" s="8"/>
      <c r="R3159" s="6"/>
      <c r="S3159" s="6"/>
      <c r="AB3159"/>
      <c r="AC3159"/>
    </row>
    <row r="3160" spans="16:29" x14ac:dyDescent="0.25">
      <c r="P3160" s="7"/>
      <c r="Q3160" s="8"/>
      <c r="R3160" s="6"/>
      <c r="S3160" s="6"/>
      <c r="AB3160"/>
      <c r="AC3160"/>
    </row>
    <row r="3161" spans="16:29" x14ac:dyDescent="0.25">
      <c r="P3161" s="7"/>
      <c r="Q3161" s="8"/>
      <c r="R3161" s="6"/>
      <c r="S3161" s="6"/>
      <c r="AB3161"/>
      <c r="AC3161"/>
    </row>
    <row r="3162" spans="16:29" x14ac:dyDescent="0.25">
      <c r="P3162" s="7"/>
      <c r="Q3162" s="8"/>
      <c r="R3162" s="6"/>
      <c r="S3162" s="6"/>
      <c r="AB3162"/>
      <c r="AC3162"/>
    </row>
    <row r="3163" spans="16:29" x14ac:dyDescent="0.25">
      <c r="P3163" s="7"/>
      <c r="Q3163" s="8"/>
      <c r="R3163" s="6"/>
      <c r="S3163" s="6"/>
      <c r="AB3163"/>
      <c r="AC3163"/>
    </row>
    <row r="3164" spans="16:29" x14ac:dyDescent="0.25">
      <c r="P3164" s="7"/>
      <c r="Q3164" s="8"/>
      <c r="R3164" s="6"/>
      <c r="S3164" s="6"/>
      <c r="AB3164"/>
      <c r="AC3164"/>
    </row>
    <row r="3165" spans="16:29" x14ac:dyDescent="0.25">
      <c r="P3165" s="7"/>
      <c r="Q3165" s="8"/>
      <c r="R3165" s="6"/>
      <c r="S3165" s="6"/>
      <c r="AB3165"/>
      <c r="AC3165"/>
    </row>
    <row r="3166" spans="16:29" x14ac:dyDescent="0.25">
      <c r="P3166" s="7"/>
      <c r="Q3166" s="8"/>
      <c r="R3166" s="6"/>
      <c r="S3166" s="6"/>
      <c r="AB3166"/>
      <c r="AC3166"/>
    </row>
    <row r="3167" spans="16:29" x14ac:dyDescent="0.25">
      <c r="P3167" s="7"/>
      <c r="Q3167" s="8"/>
      <c r="R3167" s="6"/>
      <c r="S3167" s="6"/>
      <c r="AB3167"/>
      <c r="AC3167"/>
    </row>
    <row r="3168" spans="16:29" x14ac:dyDescent="0.25">
      <c r="P3168" s="7"/>
      <c r="Q3168" s="8"/>
      <c r="R3168" s="6"/>
      <c r="S3168" s="6"/>
      <c r="AB3168"/>
      <c r="AC3168"/>
    </row>
    <row r="3169" spans="16:29" x14ac:dyDescent="0.25">
      <c r="P3169" s="7"/>
      <c r="Q3169" s="8"/>
      <c r="R3169" s="6"/>
      <c r="S3169" s="6"/>
      <c r="AB3169"/>
      <c r="AC3169"/>
    </row>
    <row r="3170" spans="16:29" x14ac:dyDescent="0.25">
      <c r="P3170" s="7"/>
      <c r="Q3170" s="8"/>
      <c r="R3170" s="6"/>
      <c r="S3170" s="6"/>
      <c r="AB3170"/>
      <c r="AC3170"/>
    </row>
    <row r="3171" spans="16:29" x14ac:dyDescent="0.25">
      <c r="P3171" s="7"/>
      <c r="Q3171" s="8"/>
      <c r="R3171" s="6"/>
      <c r="S3171" s="6"/>
      <c r="AB3171"/>
      <c r="AC3171"/>
    </row>
    <row r="3172" spans="16:29" x14ac:dyDescent="0.25">
      <c r="P3172" s="7"/>
      <c r="Q3172" s="8"/>
      <c r="R3172" s="6"/>
      <c r="S3172" s="6"/>
      <c r="AB3172"/>
      <c r="AC3172"/>
    </row>
    <row r="3173" spans="16:29" x14ac:dyDescent="0.25">
      <c r="P3173" s="7"/>
      <c r="Q3173" s="8"/>
      <c r="R3173" s="6"/>
      <c r="S3173" s="6"/>
      <c r="AB3173"/>
      <c r="AC3173"/>
    </row>
    <row r="3174" spans="16:29" x14ac:dyDescent="0.25">
      <c r="P3174" s="7"/>
      <c r="Q3174" s="8"/>
      <c r="R3174" s="6"/>
      <c r="S3174" s="6"/>
      <c r="AB3174"/>
      <c r="AC3174"/>
    </row>
    <row r="3175" spans="16:29" x14ac:dyDescent="0.25">
      <c r="P3175" s="7"/>
      <c r="Q3175" s="8"/>
      <c r="R3175" s="6"/>
      <c r="S3175" s="6"/>
      <c r="AB3175"/>
      <c r="AC3175"/>
    </row>
    <row r="3176" spans="16:29" x14ac:dyDescent="0.25">
      <c r="P3176" s="7"/>
      <c r="Q3176" s="8"/>
      <c r="R3176" s="6"/>
      <c r="S3176" s="6"/>
      <c r="AB3176"/>
      <c r="AC3176"/>
    </row>
    <row r="3177" spans="16:29" x14ac:dyDescent="0.25">
      <c r="P3177" s="7"/>
      <c r="Q3177" s="8"/>
      <c r="R3177" s="6"/>
      <c r="S3177" s="6"/>
      <c r="AB3177"/>
      <c r="AC3177"/>
    </row>
    <row r="3178" spans="16:29" x14ac:dyDescent="0.25">
      <c r="P3178" s="7"/>
      <c r="Q3178" s="8"/>
      <c r="R3178" s="6"/>
      <c r="S3178" s="6"/>
      <c r="AB3178"/>
      <c r="AC3178"/>
    </row>
    <row r="3179" spans="16:29" x14ac:dyDescent="0.25">
      <c r="P3179" s="7"/>
      <c r="Q3179" s="8"/>
      <c r="R3179" s="6"/>
      <c r="S3179" s="6"/>
      <c r="AB3179"/>
      <c r="AC3179"/>
    </row>
    <row r="3180" spans="16:29" x14ac:dyDescent="0.25">
      <c r="P3180" s="7"/>
      <c r="Q3180" s="8"/>
      <c r="R3180" s="6"/>
      <c r="S3180" s="6"/>
      <c r="AB3180"/>
      <c r="AC3180"/>
    </row>
    <row r="3181" spans="16:29" x14ac:dyDescent="0.25">
      <c r="P3181" s="7"/>
      <c r="Q3181" s="8"/>
      <c r="R3181" s="6"/>
      <c r="S3181" s="6"/>
      <c r="AB3181"/>
      <c r="AC3181"/>
    </row>
    <row r="3182" spans="16:29" x14ac:dyDescent="0.25">
      <c r="P3182" s="7"/>
      <c r="Q3182" s="8"/>
      <c r="R3182" s="6"/>
      <c r="S3182" s="6"/>
      <c r="AB3182"/>
      <c r="AC3182"/>
    </row>
    <row r="3183" spans="16:29" x14ac:dyDescent="0.25">
      <c r="P3183" s="7"/>
      <c r="Q3183" s="8"/>
      <c r="R3183" s="6"/>
      <c r="S3183" s="6"/>
      <c r="AB3183"/>
      <c r="AC3183"/>
    </row>
    <row r="3184" spans="16:29" x14ac:dyDescent="0.25">
      <c r="P3184" s="7"/>
      <c r="Q3184" s="8"/>
      <c r="R3184" s="6"/>
      <c r="S3184" s="6"/>
      <c r="AB3184"/>
      <c r="AC3184"/>
    </row>
    <row r="3185" spans="16:29" x14ac:dyDescent="0.25">
      <c r="P3185" s="7"/>
      <c r="Q3185" s="8"/>
      <c r="R3185" s="6"/>
      <c r="S3185" s="6"/>
      <c r="AB3185"/>
      <c r="AC3185"/>
    </row>
    <row r="3186" spans="16:29" x14ac:dyDescent="0.25">
      <c r="P3186" s="7"/>
      <c r="Q3186" s="8"/>
      <c r="R3186" s="6"/>
      <c r="S3186" s="6"/>
      <c r="AB3186"/>
      <c r="AC3186"/>
    </row>
    <row r="3187" spans="16:29" x14ac:dyDescent="0.25">
      <c r="P3187" s="7"/>
      <c r="Q3187" s="8"/>
      <c r="R3187" s="6"/>
      <c r="S3187" s="6"/>
      <c r="AB3187"/>
      <c r="AC3187"/>
    </row>
    <row r="3188" spans="16:29" x14ac:dyDescent="0.25">
      <c r="P3188" s="7"/>
      <c r="Q3188" s="8"/>
      <c r="R3188" s="6"/>
      <c r="S3188" s="6"/>
      <c r="AB3188"/>
      <c r="AC3188"/>
    </row>
    <row r="3189" spans="16:29" x14ac:dyDescent="0.25">
      <c r="P3189" s="7"/>
      <c r="Q3189" s="8"/>
      <c r="R3189" s="6"/>
      <c r="S3189" s="6"/>
      <c r="AB3189"/>
      <c r="AC3189"/>
    </row>
    <row r="3190" spans="16:29" x14ac:dyDescent="0.25">
      <c r="P3190" s="7"/>
      <c r="Q3190" s="8"/>
      <c r="R3190" s="6"/>
      <c r="S3190" s="6"/>
      <c r="AB3190"/>
      <c r="AC3190"/>
    </row>
    <row r="3191" spans="16:29" x14ac:dyDescent="0.25">
      <c r="P3191" s="7"/>
      <c r="Q3191" s="8"/>
      <c r="R3191" s="6"/>
      <c r="S3191" s="6"/>
      <c r="AB3191"/>
      <c r="AC3191"/>
    </row>
    <row r="3192" spans="16:29" x14ac:dyDescent="0.25">
      <c r="P3192" s="7"/>
      <c r="Q3192" s="8"/>
      <c r="R3192" s="6"/>
      <c r="S3192" s="6"/>
      <c r="AB3192"/>
      <c r="AC3192"/>
    </row>
    <row r="3193" spans="16:29" x14ac:dyDescent="0.25">
      <c r="P3193" s="7"/>
      <c r="Q3193" s="8"/>
      <c r="R3193" s="6"/>
      <c r="S3193" s="6"/>
      <c r="AB3193"/>
      <c r="AC3193"/>
    </row>
    <row r="3194" spans="16:29" x14ac:dyDescent="0.25">
      <c r="P3194" s="7"/>
      <c r="Q3194" s="8"/>
      <c r="R3194" s="6"/>
      <c r="S3194" s="6"/>
      <c r="AB3194"/>
      <c r="AC3194"/>
    </row>
    <row r="3195" spans="16:29" x14ac:dyDescent="0.25">
      <c r="P3195" s="7"/>
      <c r="Q3195" s="8"/>
      <c r="R3195" s="6"/>
      <c r="S3195" s="6"/>
      <c r="AB3195"/>
      <c r="AC3195"/>
    </row>
    <row r="3196" spans="16:29" x14ac:dyDescent="0.25">
      <c r="P3196" s="7"/>
      <c r="Q3196" s="8"/>
      <c r="R3196" s="6"/>
      <c r="S3196" s="6"/>
      <c r="AB3196"/>
      <c r="AC3196"/>
    </row>
    <row r="3197" spans="16:29" x14ac:dyDescent="0.25">
      <c r="P3197" s="7"/>
      <c r="Q3197" s="8"/>
      <c r="R3197" s="6"/>
      <c r="S3197" s="6"/>
      <c r="AB3197"/>
      <c r="AC3197"/>
    </row>
    <row r="3198" spans="16:29" x14ac:dyDescent="0.25">
      <c r="P3198" s="7"/>
      <c r="Q3198" s="8"/>
      <c r="R3198" s="6"/>
      <c r="S3198" s="6"/>
      <c r="AB3198"/>
      <c r="AC3198"/>
    </row>
    <row r="3199" spans="16:29" x14ac:dyDescent="0.25">
      <c r="P3199" s="7"/>
      <c r="Q3199" s="8"/>
      <c r="R3199" s="6"/>
      <c r="S3199" s="6"/>
      <c r="AB3199"/>
      <c r="AC3199"/>
    </row>
    <row r="3200" spans="16:29" x14ac:dyDescent="0.25">
      <c r="P3200" s="7"/>
      <c r="Q3200" s="8"/>
      <c r="R3200" s="6"/>
      <c r="S3200" s="6"/>
      <c r="AB3200"/>
      <c r="AC3200"/>
    </row>
    <row r="3201" spans="16:29" x14ac:dyDescent="0.25">
      <c r="P3201" s="7"/>
      <c r="Q3201" s="8"/>
      <c r="R3201" s="6"/>
      <c r="S3201" s="6"/>
      <c r="AB3201"/>
      <c r="AC3201"/>
    </row>
    <row r="3202" spans="16:29" x14ac:dyDescent="0.25">
      <c r="P3202" s="7"/>
      <c r="Q3202" s="8"/>
      <c r="R3202" s="6"/>
      <c r="S3202" s="6"/>
      <c r="AB3202"/>
      <c r="AC3202"/>
    </row>
    <row r="3203" spans="16:29" x14ac:dyDescent="0.25">
      <c r="P3203" s="7"/>
      <c r="Q3203" s="8"/>
      <c r="R3203" s="6"/>
      <c r="S3203" s="6"/>
      <c r="AB3203"/>
      <c r="AC3203"/>
    </row>
    <row r="3204" spans="16:29" x14ac:dyDescent="0.25">
      <c r="P3204" s="7"/>
      <c r="Q3204" s="8"/>
      <c r="R3204" s="6"/>
      <c r="S3204" s="6"/>
      <c r="AB3204"/>
      <c r="AC3204"/>
    </row>
    <row r="3205" spans="16:29" x14ac:dyDescent="0.25">
      <c r="P3205" s="7"/>
      <c r="Q3205" s="8"/>
      <c r="R3205" s="6"/>
      <c r="S3205" s="6"/>
      <c r="AB3205"/>
      <c r="AC3205"/>
    </row>
    <row r="3206" spans="16:29" x14ac:dyDescent="0.25">
      <c r="P3206" s="7"/>
      <c r="Q3206" s="8"/>
      <c r="R3206" s="6"/>
      <c r="S3206" s="6"/>
      <c r="AB3206"/>
      <c r="AC3206"/>
    </row>
    <row r="3207" spans="16:29" x14ac:dyDescent="0.25">
      <c r="P3207" s="7"/>
      <c r="Q3207" s="8"/>
      <c r="R3207" s="6"/>
      <c r="S3207" s="6"/>
      <c r="AB3207"/>
      <c r="AC3207"/>
    </row>
    <row r="3208" spans="16:29" x14ac:dyDescent="0.25">
      <c r="P3208" s="7"/>
      <c r="Q3208" s="8"/>
      <c r="R3208" s="6"/>
      <c r="S3208" s="6"/>
      <c r="AB3208"/>
      <c r="AC3208"/>
    </row>
    <row r="3209" spans="16:29" x14ac:dyDescent="0.25">
      <c r="P3209" s="7"/>
      <c r="Q3209" s="8"/>
      <c r="R3209" s="6"/>
      <c r="S3209" s="6"/>
      <c r="AB3209"/>
      <c r="AC3209"/>
    </row>
    <row r="3210" spans="16:29" x14ac:dyDescent="0.25">
      <c r="P3210" s="7"/>
      <c r="Q3210" s="8"/>
      <c r="R3210" s="6"/>
      <c r="S3210" s="6"/>
      <c r="AB3210"/>
      <c r="AC3210"/>
    </row>
    <row r="3211" spans="16:29" x14ac:dyDescent="0.25">
      <c r="P3211" s="7"/>
      <c r="Q3211" s="8"/>
      <c r="R3211" s="6"/>
      <c r="S3211" s="6"/>
      <c r="AB3211"/>
      <c r="AC3211"/>
    </row>
    <row r="3212" spans="16:29" x14ac:dyDescent="0.25">
      <c r="P3212" s="7"/>
      <c r="Q3212" s="8"/>
      <c r="R3212" s="6"/>
      <c r="S3212" s="6"/>
      <c r="AB3212"/>
      <c r="AC3212"/>
    </row>
    <row r="3213" spans="16:29" x14ac:dyDescent="0.25">
      <c r="P3213" s="7"/>
      <c r="Q3213" s="8"/>
      <c r="R3213" s="6"/>
      <c r="S3213" s="6"/>
      <c r="AB3213"/>
      <c r="AC3213"/>
    </row>
    <row r="3214" spans="16:29" x14ac:dyDescent="0.25">
      <c r="P3214" s="7"/>
      <c r="Q3214" s="8"/>
      <c r="R3214" s="6"/>
      <c r="S3214" s="6"/>
      <c r="AB3214"/>
      <c r="AC3214"/>
    </row>
    <row r="3215" spans="16:29" x14ac:dyDescent="0.25">
      <c r="P3215" s="7"/>
      <c r="Q3215" s="8"/>
      <c r="R3215" s="6"/>
      <c r="S3215" s="6"/>
      <c r="AB3215"/>
      <c r="AC3215"/>
    </row>
    <row r="3216" spans="16:29" x14ac:dyDescent="0.25">
      <c r="P3216" s="7"/>
      <c r="Q3216" s="8"/>
      <c r="R3216" s="6"/>
      <c r="S3216" s="6"/>
      <c r="AB3216"/>
      <c r="AC3216"/>
    </row>
    <row r="3217" spans="16:29" x14ac:dyDescent="0.25">
      <c r="P3217" s="7"/>
      <c r="Q3217" s="8"/>
      <c r="R3217" s="6"/>
      <c r="S3217" s="6"/>
      <c r="AB3217"/>
      <c r="AC3217"/>
    </row>
    <row r="3218" spans="16:29" x14ac:dyDescent="0.25">
      <c r="P3218" s="7"/>
      <c r="Q3218" s="8"/>
      <c r="R3218" s="6"/>
      <c r="S3218" s="6"/>
      <c r="AB3218"/>
      <c r="AC3218"/>
    </row>
    <row r="3219" spans="16:29" x14ac:dyDescent="0.25">
      <c r="P3219" s="7"/>
      <c r="Q3219" s="8"/>
      <c r="R3219" s="6"/>
      <c r="S3219" s="6"/>
      <c r="AB3219"/>
      <c r="AC3219"/>
    </row>
    <row r="3220" spans="16:29" x14ac:dyDescent="0.25">
      <c r="P3220" s="7"/>
      <c r="Q3220" s="8"/>
      <c r="R3220" s="6"/>
      <c r="S3220" s="6"/>
      <c r="AB3220"/>
      <c r="AC3220"/>
    </row>
    <row r="3221" spans="16:29" x14ac:dyDescent="0.25">
      <c r="P3221" s="7"/>
      <c r="Q3221" s="8"/>
      <c r="R3221" s="6"/>
      <c r="S3221" s="6"/>
      <c r="AB3221"/>
      <c r="AC3221"/>
    </row>
    <row r="3222" spans="16:29" x14ac:dyDescent="0.25">
      <c r="P3222" s="7"/>
      <c r="Q3222" s="8"/>
      <c r="R3222" s="6"/>
      <c r="S3222" s="6"/>
      <c r="AB3222"/>
      <c r="AC3222"/>
    </row>
    <row r="3223" spans="16:29" x14ac:dyDescent="0.25">
      <c r="P3223" s="7"/>
      <c r="Q3223" s="8"/>
      <c r="R3223" s="6"/>
      <c r="S3223" s="6"/>
      <c r="AB3223"/>
      <c r="AC3223"/>
    </row>
    <row r="3224" spans="16:29" x14ac:dyDescent="0.25">
      <c r="P3224" s="7"/>
      <c r="Q3224" s="8"/>
      <c r="R3224" s="6"/>
      <c r="S3224" s="6"/>
      <c r="AB3224"/>
      <c r="AC3224"/>
    </row>
    <row r="3225" spans="16:29" x14ac:dyDescent="0.25">
      <c r="P3225" s="7"/>
      <c r="Q3225" s="8"/>
      <c r="R3225" s="6"/>
      <c r="S3225" s="6"/>
      <c r="AB3225"/>
      <c r="AC3225"/>
    </row>
    <row r="3226" spans="16:29" x14ac:dyDescent="0.25">
      <c r="P3226" s="7"/>
      <c r="Q3226" s="8"/>
      <c r="R3226" s="6"/>
      <c r="S3226" s="6"/>
      <c r="AB3226"/>
      <c r="AC3226"/>
    </row>
    <row r="3227" spans="16:29" x14ac:dyDescent="0.25">
      <c r="P3227" s="7"/>
      <c r="Q3227" s="8"/>
      <c r="R3227" s="6"/>
      <c r="S3227" s="6"/>
      <c r="AB3227"/>
      <c r="AC3227"/>
    </row>
    <row r="3228" spans="16:29" x14ac:dyDescent="0.25">
      <c r="P3228" s="7"/>
      <c r="Q3228" s="8"/>
      <c r="R3228" s="6"/>
      <c r="S3228" s="6"/>
      <c r="AB3228"/>
      <c r="AC3228"/>
    </row>
    <row r="3229" spans="16:29" x14ac:dyDescent="0.25">
      <c r="P3229" s="7"/>
      <c r="Q3229" s="8"/>
      <c r="R3229" s="6"/>
      <c r="S3229" s="6"/>
      <c r="AB3229"/>
      <c r="AC3229"/>
    </row>
    <row r="3230" spans="16:29" x14ac:dyDescent="0.25">
      <c r="P3230" s="7"/>
      <c r="Q3230" s="8"/>
      <c r="R3230" s="6"/>
      <c r="S3230" s="6"/>
      <c r="AB3230"/>
      <c r="AC3230"/>
    </row>
    <row r="3231" spans="16:29" x14ac:dyDescent="0.25">
      <c r="P3231" s="7"/>
      <c r="Q3231" s="8"/>
      <c r="R3231" s="6"/>
      <c r="S3231" s="6"/>
      <c r="AB3231"/>
      <c r="AC3231"/>
    </row>
    <row r="3232" spans="16:29" x14ac:dyDescent="0.25">
      <c r="P3232" s="7"/>
      <c r="Q3232" s="8"/>
      <c r="R3232" s="6"/>
      <c r="S3232" s="6"/>
      <c r="AB3232"/>
      <c r="AC3232"/>
    </row>
    <row r="3233" spans="16:29" x14ac:dyDescent="0.25">
      <c r="P3233" s="7"/>
      <c r="Q3233" s="8"/>
      <c r="R3233" s="6"/>
      <c r="S3233" s="6"/>
      <c r="AB3233"/>
      <c r="AC3233"/>
    </row>
    <row r="3234" spans="16:29" x14ac:dyDescent="0.25">
      <c r="P3234" s="7"/>
      <c r="Q3234" s="8"/>
      <c r="R3234" s="6"/>
      <c r="S3234" s="6"/>
      <c r="AB3234"/>
      <c r="AC3234"/>
    </row>
    <row r="3235" spans="16:29" x14ac:dyDescent="0.25">
      <c r="P3235" s="7"/>
      <c r="Q3235" s="8"/>
      <c r="R3235" s="6"/>
      <c r="S3235" s="6"/>
      <c r="AB3235"/>
      <c r="AC3235"/>
    </row>
    <row r="3236" spans="16:29" x14ac:dyDescent="0.25">
      <c r="P3236" s="7"/>
      <c r="Q3236" s="8"/>
      <c r="R3236" s="6"/>
      <c r="S3236" s="6"/>
      <c r="AB3236"/>
      <c r="AC3236"/>
    </row>
    <row r="3237" spans="16:29" x14ac:dyDescent="0.25">
      <c r="P3237" s="7"/>
      <c r="Q3237" s="8"/>
      <c r="R3237" s="6"/>
      <c r="S3237" s="6"/>
      <c r="AB3237"/>
      <c r="AC3237"/>
    </row>
    <row r="3238" spans="16:29" x14ac:dyDescent="0.25">
      <c r="P3238" s="7"/>
      <c r="Q3238" s="8"/>
      <c r="R3238" s="6"/>
      <c r="S3238" s="6"/>
      <c r="AB3238"/>
      <c r="AC3238"/>
    </row>
    <row r="3239" spans="16:29" x14ac:dyDescent="0.25">
      <c r="P3239" s="7"/>
      <c r="Q3239" s="8"/>
      <c r="R3239" s="6"/>
      <c r="S3239" s="6"/>
      <c r="AB3239"/>
      <c r="AC3239"/>
    </row>
    <row r="3240" spans="16:29" x14ac:dyDescent="0.25">
      <c r="P3240" s="7"/>
      <c r="Q3240" s="8"/>
      <c r="R3240" s="6"/>
      <c r="S3240" s="6"/>
      <c r="AB3240"/>
      <c r="AC3240"/>
    </row>
    <row r="3241" spans="16:29" x14ac:dyDescent="0.25">
      <c r="P3241" s="7"/>
      <c r="Q3241" s="8"/>
      <c r="R3241" s="6"/>
      <c r="S3241" s="6"/>
      <c r="AB3241"/>
      <c r="AC3241"/>
    </row>
    <row r="3242" spans="16:29" x14ac:dyDescent="0.25">
      <c r="P3242" s="7"/>
      <c r="Q3242" s="8"/>
      <c r="R3242" s="6"/>
      <c r="S3242" s="6"/>
      <c r="AB3242"/>
      <c r="AC3242"/>
    </row>
    <row r="3243" spans="16:29" x14ac:dyDescent="0.25">
      <c r="P3243" s="7"/>
      <c r="Q3243" s="8"/>
      <c r="R3243" s="6"/>
      <c r="S3243" s="6"/>
      <c r="AB3243"/>
      <c r="AC3243"/>
    </row>
    <row r="3244" spans="16:29" x14ac:dyDescent="0.25">
      <c r="P3244" s="7"/>
      <c r="Q3244" s="8"/>
      <c r="R3244" s="6"/>
      <c r="S3244" s="6"/>
      <c r="AB3244"/>
      <c r="AC3244"/>
    </row>
    <row r="3245" spans="16:29" x14ac:dyDescent="0.25">
      <c r="P3245" s="7"/>
      <c r="Q3245" s="8"/>
      <c r="R3245" s="6"/>
      <c r="S3245" s="6"/>
      <c r="AB3245"/>
      <c r="AC3245"/>
    </row>
    <row r="3246" spans="16:29" ht="15" customHeight="1" x14ac:dyDescent="0.25">
      <c r="P3246" s="7"/>
      <c r="Q3246" s="8"/>
      <c r="R3246" s="6"/>
      <c r="S3246" s="6"/>
      <c r="AB3246"/>
      <c r="AC3246"/>
    </row>
    <row r="3247" spans="16:29" x14ac:dyDescent="0.25">
      <c r="P3247" s="7"/>
      <c r="Q3247" s="8"/>
      <c r="R3247" s="6"/>
      <c r="S3247" s="6"/>
      <c r="AB3247"/>
      <c r="AC3247"/>
    </row>
    <row r="3248" spans="16:29" x14ac:dyDescent="0.25">
      <c r="P3248" s="7"/>
      <c r="Q3248" s="8"/>
      <c r="R3248" s="6"/>
      <c r="S3248" s="6"/>
      <c r="AB3248"/>
      <c r="AC3248"/>
    </row>
    <row r="3249" spans="16:29" x14ac:dyDescent="0.25">
      <c r="P3249" s="7"/>
      <c r="Q3249" s="8"/>
      <c r="R3249" s="6"/>
      <c r="S3249" s="6"/>
      <c r="AB3249"/>
      <c r="AC3249"/>
    </row>
    <row r="3250" spans="16:29" x14ac:dyDescent="0.25">
      <c r="P3250" s="7"/>
      <c r="Q3250" s="8"/>
      <c r="R3250" s="6"/>
      <c r="S3250" s="6"/>
      <c r="AB3250"/>
      <c r="AC3250"/>
    </row>
    <row r="3251" spans="16:29" x14ac:dyDescent="0.25">
      <c r="P3251" s="7"/>
      <c r="Q3251" s="8"/>
      <c r="R3251" s="6"/>
      <c r="S3251" s="6"/>
      <c r="AB3251"/>
      <c r="AC3251"/>
    </row>
    <row r="3252" spans="16:29" x14ac:dyDescent="0.25">
      <c r="P3252" s="7"/>
      <c r="Q3252" s="8"/>
      <c r="R3252" s="6"/>
      <c r="S3252" s="6"/>
      <c r="AB3252"/>
      <c r="AC3252"/>
    </row>
    <row r="3253" spans="16:29" x14ac:dyDescent="0.25">
      <c r="P3253" s="7"/>
      <c r="Q3253" s="8"/>
      <c r="R3253" s="6"/>
      <c r="S3253" s="6"/>
      <c r="AB3253"/>
      <c r="AC3253"/>
    </row>
    <row r="3254" spans="16:29" x14ac:dyDescent="0.25">
      <c r="P3254" s="7"/>
      <c r="Q3254" s="8"/>
      <c r="R3254" s="6"/>
      <c r="S3254" s="6"/>
      <c r="AB3254"/>
      <c r="AC3254"/>
    </row>
    <row r="3255" spans="16:29" x14ac:dyDescent="0.25">
      <c r="P3255" s="7"/>
      <c r="Q3255" s="8"/>
      <c r="R3255" s="6"/>
      <c r="S3255" s="6"/>
      <c r="AB3255"/>
      <c r="AC3255"/>
    </row>
    <row r="3256" spans="16:29" x14ac:dyDescent="0.25">
      <c r="P3256" s="7"/>
      <c r="Q3256" s="8"/>
      <c r="R3256" s="6"/>
      <c r="S3256" s="6"/>
      <c r="AB3256"/>
      <c r="AC3256"/>
    </row>
    <row r="3257" spans="16:29" x14ac:dyDescent="0.25">
      <c r="P3257" s="7"/>
      <c r="Q3257" s="8"/>
      <c r="R3257" s="6"/>
      <c r="S3257" s="6"/>
      <c r="AB3257"/>
      <c r="AC3257"/>
    </row>
    <row r="3258" spans="16:29" x14ac:dyDescent="0.25">
      <c r="P3258" s="7"/>
      <c r="Q3258" s="8"/>
      <c r="R3258" s="6"/>
      <c r="S3258" s="6"/>
      <c r="AB3258"/>
      <c r="AC3258"/>
    </row>
    <row r="3259" spans="16:29" x14ac:dyDescent="0.25">
      <c r="P3259" s="7"/>
      <c r="Q3259" s="8"/>
      <c r="R3259" s="6"/>
      <c r="S3259" s="6"/>
      <c r="AB3259"/>
      <c r="AC3259"/>
    </row>
    <row r="3260" spans="16:29" x14ac:dyDescent="0.25">
      <c r="P3260" s="7"/>
      <c r="Q3260" s="8"/>
      <c r="R3260" s="6"/>
      <c r="S3260" s="6"/>
      <c r="AB3260"/>
      <c r="AC3260"/>
    </row>
    <row r="3261" spans="16:29" x14ac:dyDescent="0.25">
      <c r="P3261" s="7"/>
      <c r="Q3261" s="8"/>
      <c r="R3261" s="6"/>
      <c r="S3261" s="6"/>
      <c r="AB3261"/>
      <c r="AC3261"/>
    </row>
    <row r="3262" spans="16:29" x14ac:dyDescent="0.25">
      <c r="P3262" s="7"/>
      <c r="Q3262" s="8"/>
      <c r="R3262" s="6"/>
      <c r="S3262" s="6"/>
      <c r="AB3262"/>
      <c r="AC3262"/>
    </row>
    <row r="3263" spans="16:29" x14ac:dyDescent="0.25">
      <c r="P3263" s="7"/>
      <c r="Q3263" s="8"/>
      <c r="R3263" s="6"/>
      <c r="S3263" s="6"/>
      <c r="AB3263"/>
      <c r="AC3263"/>
    </row>
    <row r="3264" spans="16:29" x14ac:dyDescent="0.25">
      <c r="P3264" s="7"/>
      <c r="Q3264" s="8"/>
      <c r="R3264" s="6"/>
      <c r="S3264" s="6"/>
      <c r="AB3264"/>
      <c r="AC3264"/>
    </row>
    <row r="3265" spans="16:29" x14ac:dyDescent="0.25">
      <c r="P3265" s="7"/>
      <c r="Q3265" s="8"/>
      <c r="R3265" s="6"/>
      <c r="S3265" s="6"/>
      <c r="AB3265"/>
      <c r="AC3265"/>
    </row>
    <row r="3266" spans="16:29" x14ac:dyDescent="0.25">
      <c r="P3266" s="7"/>
      <c r="Q3266" s="8"/>
      <c r="R3266" s="6"/>
      <c r="S3266" s="6"/>
      <c r="AB3266"/>
      <c r="AC3266"/>
    </row>
    <row r="3267" spans="16:29" x14ac:dyDescent="0.25">
      <c r="P3267" s="7"/>
      <c r="Q3267" s="8"/>
      <c r="R3267" s="6"/>
      <c r="S3267" s="6"/>
      <c r="AB3267"/>
      <c r="AC3267"/>
    </row>
    <row r="3268" spans="16:29" x14ac:dyDescent="0.25">
      <c r="P3268" s="7"/>
      <c r="Q3268" s="8"/>
      <c r="R3268" s="6"/>
      <c r="S3268" s="6"/>
      <c r="AB3268"/>
      <c r="AC3268"/>
    </row>
    <row r="3269" spans="16:29" x14ac:dyDescent="0.25">
      <c r="P3269" s="7"/>
      <c r="Q3269" s="8"/>
      <c r="R3269" s="6"/>
      <c r="S3269" s="6"/>
      <c r="AB3269"/>
      <c r="AC3269"/>
    </row>
    <row r="3270" spans="16:29" x14ac:dyDescent="0.25">
      <c r="P3270" s="7"/>
      <c r="Q3270" s="8"/>
      <c r="R3270" s="6"/>
      <c r="S3270" s="6"/>
      <c r="AB3270"/>
      <c r="AC3270"/>
    </row>
    <row r="3271" spans="16:29" x14ac:dyDescent="0.25">
      <c r="P3271" s="7"/>
      <c r="Q3271" s="8"/>
      <c r="R3271" s="6"/>
      <c r="S3271" s="6"/>
      <c r="AB3271"/>
      <c r="AC3271"/>
    </row>
    <row r="3272" spans="16:29" x14ac:dyDescent="0.25">
      <c r="P3272" s="7"/>
      <c r="Q3272" s="8"/>
      <c r="R3272" s="6"/>
      <c r="S3272" s="6"/>
      <c r="AB3272"/>
      <c r="AC3272"/>
    </row>
    <row r="3273" spans="16:29" x14ac:dyDescent="0.25">
      <c r="P3273" s="7"/>
      <c r="Q3273" s="8"/>
      <c r="R3273" s="6"/>
      <c r="S3273" s="6"/>
      <c r="AB3273"/>
      <c r="AC3273"/>
    </row>
    <row r="3274" spans="16:29" x14ac:dyDescent="0.25">
      <c r="P3274" s="7"/>
      <c r="Q3274" s="8"/>
      <c r="R3274" s="6"/>
      <c r="S3274" s="6"/>
      <c r="AB3274"/>
      <c r="AC3274"/>
    </row>
    <row r="3275" spans="16:29" x14ac:dyDescent="0.25">
      <c r="P3275" s="7"/>
      <c r="Q3275" s="8"/>
      <c r="R3275" s="6"/>
      <c r="S3275" s="6"/>
      <c r="AB3275"/>
      <c r="AC3275"/>
    </row>
    <row r="3276" spans="16:29" x14ac:dyDescent="0.25">
      <c r="P3276" s="7"/>
      <c r="Q3276" s="8"/>
      <c r="R3276" s="6"/>
      <c r="S3276" s="6"/>
      <c r="AB3276"/>
      <c r="AC3276"/>
    </row>
    <row r="3277" spans="16:29" x14ac:dyDescent="0.25">
      <c r="P3277" s="7"/>
      <c r="Q3277" s="8"/>
      <c r="R3277" s="6"/>
      <c r="S3277" s="6"/>
      <c r="AB3277"/>
      <c r="AC3277"/>
    </row>
    <row r="3278" spans="16:29" x14ac:dyDescent="0.25">
      <c r="P3278" s="7"/>
      <c r="Q3278" s="8"/>
      <c r="R3278" s="6"/>
      <c r="S3278" s="6"/>
      <c r="AB3278"/>
      <c r="AC3278"/>
    </row>
    <row r="3279" spans="16:29" x14ac:dyDescent="0.25">
      <c r="P3279" s="7"/>
      <c r="Q3279" s="8"/>
      <c r="R3279" s="6"/>
      <c r="S3279" s="6"/>
      <c r="AB3279"/>
      <c r="AC3279"/>
    </row>
    <row r="3280" spans="16:29" x14ac:dyDescent="0.25">
      <c r="P3280" s="7"/>
      <c r="Q3280" s="8"/>
      <c r="R3280" s="6"/>
      <c r="S3280" s="6"/>
      <c r="AB3280"/>
      <c r="AC3280"/>
    </row>
    <row r="3281" spans="16:29" x14ac:dyDescent="0.25">
      <c r="P3281" s="7"/>
      <c r="Q3281" s="8"/>
      <c r="R3281" s="6"/>
      <c r="S3281" s="6"/>
      <c r="AB3281"/>
      <c r="AC3281"/>
    </row>
    <row r="3282" spans="16:29" x14ac:dyDescent="0.25">
      <c r="P3282" s="7"/>
      <c r="Q3282" s="8"/>
      <c r="R3282" s="6"/>
      <c r="S3282" s="6"/>
      <c r="AB3282"/>
      <c r="AC3282"/>
    </row>
    <row r="3283" spans="16:29" x14ac:dyDescent="0.25">
      <c r="P3283" s="7"/>
      <c r="Q3283" s="8"/>
      <c r="R3283" s="6"/>
      <c r="S3283" s="6"/>
      <c r="AB3283"/>
      <c r="AC3283"/>
    </row>
    <row r="3284" spans="16:29" x14ac:dyDescent="0.25">
      <c r="P3284" s="7"/>
      <c r="Q3284" s="8"/>
      <c r="R3284" s="6"/>
      <c r="S3284" s="6"/>
      <c r="AB3284"/>
      <c r="AC3284"/>
    </row>
    <row r="3285" spans="16:29" x14ac:dyDescent="0.25">
      <c r="P3285" s="7"/>
      <c r="Q3285" s="8"/>
      <c r="R3285" s="6"/>
      <c r="S3285" s="6"/>
      <c r="AB3285"/>
      <c r="AC3285"/>
    </row>
    <row r="3286" spans="16:29" x14ac:dyDescent="0.25">
      <c r="P3286" s="7"/>
      <c r="Q3286" s="8"/>
      <c r="R3286" s="6"/>
      <c r="S3286" s="6"/>
      <c r="AB3286"/>
      <c r="AC3286"/>
    </row>
    <row r="3287" spans="16:29" x14ac:dyDescent="0.25">
      <c r="P3287" s="7"/>
      <c r="Q3287" s="8"/>
      <c r="R3287" s="6"/>
      <c r="S3287" s="6"/>
      <c r="AB3287"/>
      <c r="AC3287"/>
    </row>
    <row r="3288" spans="16:29" x14ac:dyDescent="0.25">
      <c r="P3288" s="7"/>
      <c r="Q3288" s="8"/>
      <c r="R3288" s="6"/>
      <c r="S3288" s="6"/>
      <c r="AB3288"/>
      <c r="AC3288"/>
    </row>
    <row r="3289" spans="16:29" x14ac:dyDescent="0.25">
      <c r="P3289" s="7"/>
      <c r="Q3289" s="8"/>
      <c r="R3289" s="6"/>
      <c r="S3289" s="6"/>
      <c r="AB3289"/>
      <c r="AC3289"/>
    </row>
    <row r="3290" spans="16:29" x14ac:dyDescent="0.25">
      <c r="P3290" s="7"/>
      <c r="Q3290" s="8"/>
      <c r="R3290" s="6"/>
      <c r="S3290" s="6"/>
      <c r="AB3290"/>
      <c r="AC3290"/>
    </row>
    <row r="3291" spans="16:29" x14ac:dyDescent="0.25">
      <c r="P3291" s="7"/>
      <c r="Q3291" s="8"/>
      <c r="R3291" s="6"/>
      <c r="S3291" s="6"/>
      <c r="AB3291"/>
      <c r="AC3291"/>
    </row>
    <row r="3292" spans="16:29" x14ac:dyDescent="0.25">
      <c r="P3292" s="7"/>
      <c r="Q3292" s="8"/>
      <c r="R3292" s="6"/>
      <c r="S3292" s="6"/>
      <c r="AB3292"/>
      <c r="AC3292"/>
    </row>
    <row r="3293" spans="16:29" x14ac:dyDescent="0.25">
      <c r="P3293" s="7"/>
      <c r="Q3293" s="8"/>
      <c r="R3293" s="6"/>
      <c r="S3293" s="6"/>
      <c r="AB3293"/>
      <c r="AC3293"/>
    </row>
    <row r="3294" spans="16:29" x14ac:dyDescent="0.25">
      <c r="P3294" s="7"/>
      <c r="Q3294" s="8"/>
      <c r="R3294" s="6"/>
      <c r="S3294" s="6"/>
      <c r="AB3294"/>
      <c r="AC3294"/>
    </row>
    <row r="3295" spans="16:29" x14ac:dyDescent="0.25">
      <c r="P3295" s="7"/>
      <c r="Q3295" s="8"/>
      <c r="R3295" s="6"/>
      <c r="S3295" s="6"/>
      <c r="AB3295"/>
      <c r="AC3295"/>
    </row>
    <row r="3296" spans="16:29" x14ac:dyDescent="0.25">
      <c r="P3296" s="7"/>
      <c r="Q3296" s="8"/>
      <c r="R3296" s="6"/>
      <c r="S3296" s="6"/>
      <c r="AB3296"/>
      <c r="AC3296"/>
    </row>
    <row r="3297" spans="16:29" x14ac:dyDescent="0.25">
      <c r="P3297" s="7"/>
      <c r="Q3297" s="8"/>
      <c r="R3297" s="6"/>
      <c r="S3297" s="6"/>
      <c r="AB3297"/>
      <c r="AC3297"/>
    </row>
    <row r="3298" spans="16:29" x14ac:dyDescent="0.25">
      <c r="P3298" s="7"/>
      <c r="Q3298" s="8"/>
      <c r="R3298" s="6"/>
      <c r="S3298" s="6"/>
      <c r="AB3298"/>
      <c r="AC3298"/>
    </row>
    <row r="3299" spans="16:29" x14ac:dyDescent="0.25">
      <c r="P3299" s="7"/>
      <c r="Q3299" s="8"/>
      <c r="R3299" s="6"/>
      <c r="S3299" s="6"/>
      <c r="AB3299"/>
      <c r="AC3299"/>
    </row>
    <row r="3300" spans="16:29" x14ac:dyDescent="0.25">
      <c r="P3300" s="7"/>
      <c r="Q3300" s="8"/>
      <c r="R3300" s="6"/>
      <c r="S3300" s="6"/>
      <c r="AB3300"/>
      <c r="AC3300"/>
    </row>
    <row r="3301" spans="16:29" x14ac:dyDescent="0.25">
      <c r="P3301" s="7"/>
      <c r="Q3301" s="8"/>
      <c r="R3301" s="6"/>
      <c r="S3301" s="6"/>
      <c r="AB3301"/>
      <c r="AC3301"/>
    </row>
    <row r="3302" spans="16:29" x14ac:dyDescent="0.25">
      <c r="P3302" s="7"/>
      <c r="Q3302" s="8"/>
      <c r="R3302" s="6"/>
      <c r="S3302" s="6"/>
      <c r="AB3302"/>
      <c r="AC3302"/>
    </row>
    <row r="3303" spans="16:29" x14ac:dyDescent="0.25">
      <c r="P3303" s="7"/>
      <c r="Q3303" s="8"/>
      <c r="R3303" s="6"/>
      <c r="S3303" s="6"/>
      <c r="AB3303"/>
      <c r="AC3303"/>
    </row>
    <row r="3304" spans="16:29" x14ac:dyDescent="0.25">
      <c r="P3304" s="7"/>
      <c r="Q3304" s="8"/>
      <c r="R3304" s="6"/>
      <c r="S3304" s="6"/>
      <c r="AB3304"/>
      <c r="AC3304"/>
    </row>
    <row r="3305" spans="16:29" x14ac:dyDescent="0.25">
      <c r="P3305" s="7"/>
      <c r="Q3305" s="8"/>
      <c r="R3305" s="6"/>
      <c r="S3305" s="6"/>
      <c r="AB3305"/>
      <c r="AC3305"/>
    </row>
    <row r="3306" spans="16:29" x14ac:dyDescent="0.25">
      <c r="P3306" s="7"/>
      <c r="Q3306" s="8"/>
      <c r="R3306" s="6"/>
      <c r="S3306" s="6"/>
      <c r="AB3306"/>
      <c r="AC3306"/>
    </row>
    <row r="3307" spans="16:29" x14ac:dyDescent="0.25">
      <c r="P3307" s="7"/>
      <c r="Q3307" s="8"/>
      <c r="R3307" s="6"/>
      <c r="S3307" s="6"/>
      <c r="AB3307"/>
      <c r="AC3307"/>
    </row>
    <row r="3308" spans="16:29" x14ac:dyDescent="0.25">
      <c r="P3308" s="7"/>
      <c r="Q3308" s="8"/>
      <c r="R3308" s="6"/>
      <c r="S3308" s="6"/>
      <c r="AB3308"/>
      <c r="AC3308"/>
    </row>
    <row r="3309" spans="16:29" x14ac:dyDescent="0.25">
      <c r="P3309" s="7"/>
      <c r="Q3309" s="8"/>
      <c r="R3309" s="6"/>
      <c r="S3309" s="6"/>
      <c r="AB3309"/>
      <c r="AC3309"/>
    </row>
    <row r="3310" spans="16:29" x14ac:dyDescent="0.25">
      <c r="P3310" s="7"/>
      <c r="Q3310" s="8"/>
      <c r="R3310" s="6"/>
      <c r="S3310" s="6"/>
      <c r="AB3310"/>
      <c r="AC3310"/>
    </row>
    <row r="3311" spans="16:29" x14ac:dyDescent="0.25">
      <c r="P3311" s="7"/>
      <c r="Q3311" s="8"/>
      <c r="R3311" s="6"/>
      <c r="S3311" s="6"/>
      <c r="AB3311"/>
      <c r="AC3311"/>
    </row>
    <row r="3312" spans="16:29" x14ac:dyDescent="0.25">
      <c r="P3312" s="7"/>
      <c r="Q3312" s="8"/>
      <c r="R3312" s="6"/>
      <c r="S3312" s="6"/>
      <c r="AB3312"/>
      <c r="AC3312"/>
    </row>
    <row r="3313" spans="16:29" x14ac:dyDescent="0.25">
      <c r="P3313" s="7"/>
      <c r="Q3313" s="8"/>
      <c r="R3313" s="6"/>
      <c r="S3313" s="6"/>
      <c r="AB3313"/>
      <c r="AC3313"/>
    </row>
    <row r="3314" spans="16:29" x14ac:dyDescent="0.25">
      <c r="P3314" s="7"/>
      <c r="Q3314" s="8"/>
      <c r="R3314" s="6"/>
      <c r="S3314" s="6"/>
      <c r="AB3314"/>
      <c r="AC3314"/>
    </row>
    <row r="3315" spans="16:29" x14ac:dyDescent="0.25">
      <c r="P3315" s="7"/>
      <c r="Q3315" s="8"/>
      <c r="R3315" s="6"/>
      <c r="S3315" s="6"/>
      <c r="AB3315"/>
      <c r="AC3315"/>
    </row>
    <row r="3316" spans="16:29" x14ac:dyDescent="0.25">
      <c r="P3316" s="7"/>
      <c r="Q3316" s="8"/>
      <c r="R3316" s="6"/>
      <c r="S3316" s="6"/>
      <c r="AB3316"/>
      <c r="AC3316"/>
    </row>
    <row r="3317" spans="16:29" x14ac:dyDescent="0.25">
      <c r="P3317" s="7"/>
      <c r="Q3317" s="8"/>
      <c r="R3317" s="6"/>
      <c r="S3317" s="6"/>
      <c r="AB3317"/>
      <c r="AC3317"/>
    </row>
    <row r="3318" spans="16:29" x14ac:dyDescent="0.25">
      <c r="P3318" s="7"/>
      <c r="Q3318" s="8"/>
      <c r="R3318" s="6"/>
      <c r="S3318" s="6"/>
      <c r="AB3318"/>
      <c r="AC3318"/>
    </row>
    <row r="3319" spans="16:29" x14ac:dyDescent="0.25">
      <c r="P3319" s="7"/>
      <c r="Q3319" s="8"/>
      <c r="R3319" s="6"/>
      <c r="S3319" s="6"/>
      <c r="AB3319"/>
      <c r="AC3319"/>
    </row>
    <row r="3320" spans="16:29" x14ac:dyDescent="0.25">
      <c r="P3320" s="7"/>
      <c r="Q3320" s="8"/>
      <c r="R3320" s="6"/>
      <c r="S3320" s="6"/>
      <c r="AB3320"/>
      <c r="AC3320"/>
    </row>
    <row r="3321" spans="16:29" x14ac:dyDescent="0.25">
      <c r="P3321" s="7"/>
      <c r="Q3321" s="8"/>
      <c r="R3321" s="6"/>
      <c r="S3321" s="6"/>
      <c r="AB3321"/>
      <c r="AC3321"/>
    </row>
    <row r="3322" spans="16:29" x14ac:dyDescent="0.25">
      <c r="P3322" s="7"/>
      <c r="Q3322" s="8"/>
      <c r="R3322" s="6"/>
      <c r="S3322" s="6"/>
      <c r="AB3322"/>
      <c r="AC3322"/>
    </row>
    <row r="3323" spans="16:29" x14ac:dyDescent="0.25">
      <c r="P3323" s="7"/>
      <c r="Q3323" s="8"/>
      <c r="R3323" s="6"/>
      <c r="S3323" s="6"/>
      <c r="AB3323"/>
      <c r="AC3323"/>
    </row>
    <row r="3324" spans="16:29" x14ac:dyDescent="0.25">
      <c r="P3324" s="7"/>
      <c r="Q3324" s="8"/>
      <c r="R3324" s="6"/>
      <c r="S3324" s="6"/>
      <c r="AB3324"/>
      <c r="AC3324"/>
    </row>
    <row r="3325" spans="16:29" x14ac:dyDescent="0.25">
      <c r="P3325" s="7"/>
      <c r="Q3325" s="8"/>
      <c r="R3325" s="6"/>
      <c r="S3325" s="6"/>
      <c r="AB3325"/>
      <c r="AC3325"/>
    </row>
    <row r="3326" spans="16:29" x14ac:dyDescent="0.25">
      <c r="P3326" s="7"/>
      <c r="Q3326" s="8"/>
      <c r="R3326" s="6"/>
      <c r="S3326" s="6"/>
      <c r="AB3326"/>
      <c r="AC3326"/>
    </row>
    <row r="3327" spans="16:29" x14ac:dyDescent="0.25">
      <c r="P3327" s="7"/>
      <c r="Q3327" s="8"/>
      <c r="R3327" s="6"/>
      <c r="S3327" s="6"/>
      <c r="AB3327"/>
      <c r="AC3327"/>
    </row>
    <row r="3328" spans="16:29" x14ac:dyDescent="0.25">
      <c r="P3328" s="7"/>
      <c r="Q3328" s="8"/>
      <c r="R3328" s="6"/>
      <c r="S3328" s="6"/>
      <c r="AB3328"/>
      <c r="AC3328"/>
    </row>
    <row r="3329" spans="16:29" x14ac:dyDescent="0.25">
      <c r="P3329" s="7"/>
      <c r="Q3329" s="8"/>
      <c r="R3329" s="6"/>
      <c r="S3329" s="6"/>
      <c r="AB3329"/>
      <c r="AC3329"/>
    </row>
    <row r="3330" spans="16:29" x14ac:dyDescent="0.25">
      <c r="P3330" s="7"/>
      <c r="Q3330" s="8"/>
      <c r="R3330" s="6"/>
      <c r="S3330" s="6"/>
      <c r="AB3330"/>
      <c r="AC3330"/>
    </row>
    <row r="3331" spans="16:29" x14ac:dyDescent="0.25">
      <c r="P3331" s="7"/>
      <c r="Q3331" s="8"/>
      <c r="R3331" s="6"/>
      <c r="S3331" s="6"/>
      <c r="AB3331"/>
      <c r="AC3331"/>
    </row>
    <row r="3332" spans="16:29" x14ac:dyDescent="0.25">
      <c r="P3332" s="7"/>
      <c r="Q3332" s="8"/>
      <c r="R3332" s="6"/>
      <c r="S3332" s="6"/>
      <c r="AB3332"/>
      <c r="AC3332"/>
    </row>
    <row r="3333" spans="16:29" x14ac:dyDescent="0.25">
      <c r="P3333" s="7"/>
      <c r="Q3333" s="8"/>
      <c r="R3333" s="6"/>
      <c r="S3333" s="6"/>
      <c r="AB3333"/>
      <c r="AC3333"/>
    </row>
    <row r="3334" spans="16:29" x14ac:dyDescent="0.25">
      <c r="P3334" s="7"/>
      <c r="Q3334" s="8"/>
      <c r="R3334" s="6"/>
      <c r="S3334" s="6"/>
      <c r="AB3334"/>
      <c r="AC3334"/>
    </row>
    <row r="3335" spans="16:29" x14ac:dyDescent="0.25">
      <c r="P3335" s="7"/>
      <c r="Q3335" s="8"/>
      <c r="R3335" s="6"/>
      <c r="S3335" s="6"/>
      <c r="AB3335"/>
      <c r="AC3335"/>
    </row>
    <row r="3336" spans="16:29" x14ac:dyDescent="0.25">
      <c r="P3336" s="7"/>
      <c r="Q3336" s="8"/>
      <c r="R3336" s="6"/>
      <c r="S3336" s="6"/>
      <c r="AB3336"/>
      <c r="AC3336"/>
    </row>
    <row r="3337" spans="16:29" x14ac:dyDescent="0.25">
      <c r="P3337" s="7"/>
      <c r="Q3337" s="8"/>
      <c r="R3337" s="6"/>
      <c r="S3337" s="6"/>
      <c r="AB3337"/>
      <c r="AC3337"/>
    </row>
    <row r="3338" spans="16:29" x14ac:dyDescent="0.25">
      <c r="P3338" s="7"/>
      <c r="Q3338" s="8"/>
      <c r="R3338" s="6"/>
      <c r="S3338" s="6"/>
      <c r="AB3338"/>
      <c r="AC3338"/>
    </row>
    <row r="3339" spans="16:29" x14ac:dyDescent="0.25">
      <c r="P3339" s="7"/>
      <c r="Q3339" s="8"/>
      <c r="R3339" s="6"/>
      <c r="S3339" s="6"/>
      <c r="AB3339"/>
      <c r="AC3339"/>
    </row>
    <row r="3340" spans="16:29" x14ac:dyDescent="0.25">
      <c r="P3340" s="7"/>
      <c r="Q3340" s="8"/>
      <c r="R3340" s="6"/>
      <c r="S3340" s="6"/>
      <c r="AB3340"/>
      <c r="AC3340"/>
    </row>
    <row r="3341" spans="16:29" x14ac:dyDescent="0.25">
      <c r="P3341" s="7"/>
      <c r="Q3341" s="8"/>
      <c r="R3341" s="6"/>
      <c r="S3341" s="6"/>
      <c r="AB3341"/>
      <c r="AC3341"/>
    </row>
    <row r="3342" spans="16:29" x14ac:dyDescent="0.25">
      <c r="P3342" s="7"/>
      <c r="Q3342" s="8"/>
      <c r="R3342" s="6"/>
      <c r="S3342" s="6"/>
      <c r="AB3342"/>
      <c r="AC3342"/>
    </row>
    <row r="3343" spans="16:29" x14ac:dyDescent="0.25">
      <c r="P3343" s="7"/>
      <c r="Q3343" s="8"/>
      <c r="R3343" s="6"/>
      <c r="S3343" s="6"/>
      <c r="AB3343"/>
      <c r="AC3343"/>
    </row>
    <row r="3344" spans="16:29" x14ac:dyDescent="0.25">
      <c r="P3344" s="7"/>
      <c r="Q3344" s="8"/>
      <c r="R3344" s="6"/>
      <c r="S3344" s="6"/>
      <c r="AB3344"/>
      <c r="AC3344"/>
    </row>
    <row r="3345" spans="16:29" x14ac:dyDescent="0.25">
      <c r="P3345" s="7"/>
      <c r="Q3345" s="8"/>
      <c r="R3345" s="6"/>
      <c r="S3345" s="6"/>
      <c r="AB3345"/>
      <c r="AC3345"/>
    </row>
    <row r="3346" spans="16:29" x14ac:dyDescent="0.25">
      <c r="P3346" s="7"/>
      <c r="Q3346" s="8"/>
      <c r="R3346" s="6"/>
      <c r="S3346" s="6"/>
      <c r="AB3346"/>
      <c r="AC3346"/>
    </row>
    <row r="3347" spans="16:29" x14ac:dyDescent="0.25">
      <c r="P3347" s="7"/>
      <c r="Q3347" s="8"/>
      <c r="R3347" s="6"/>
      <c r="S3347" s="6"/>
      <c r="AB3347"/>
      <c r="AC3347"/>
    </row>
    <row r="3348" spans="16:29" x14ac:dyDescent="0.25">
      <c r="P3348" s="7"/>
      <c r="Q3348" s="8"/>
      <c r="R3348" s="6"/>
      <c r="S3348" s="6"/>
      <c r="AB3348"/>
      <c r="AC3348"/>
    </row>
    <row r="3349" spans="16:29" x14ac:dyDescent="0.25">
      <c r="P3349" s="7"/>
      <c r="Q3349" s="8"/>
      <c r="R3349" s="6"/>
      <c r="S3349" s="6"/>
      <c r="AB3349"/>
      <c r="AC3349"/>
    </row>
    <row r="3350" spans="16:29" x14ac:dyDescent="0.25">
      <c r="P3350" s="7"/>
      <c r="Q3350" s="8"/>
      <c r="R3350" s="6"/>
      <c r="S3350" s="6"/>
      <c r="AB3350"/>
      <c r="AC3350"/>
    </row>
    <row r="3351" spans="16:29" x14ac:dyDescent="0.25">
      <c r="P3351" s="7"/>
      <c r="Q3351" s="8"/>
      <c r="R3351" s="6"/>
      <c r="S3351" s="6"/>
      <c r="AB3351"/>
      <c r="AC3351"/>
    </row>
    <row r="3352" spans="16:29" x14ac:dyDescent="0.25">
      <c r="P3352" s="7"/>
      <c r="Q3352" s="8"/>
      <c r="R3352" s="6"/>
      <c r="S3352" s="6"/>
      <c r="AB3352"/>
      <c r="AC3352"/>
    </row>
    <row r="3353" spans="16:29" x14ac:dyDescent="0.25">
      <c r="P3353" s="7"/>
      <c r="Q3353" s="8"/>
      <c r="R3353" s="6"/>
      <c r="S3353" s="6"/>
      <c r="AB3353"/>
      <c r="AC3353"/>
    </row>
    <row r="3354" spans="16:29" x14ac:dyDescent="0.25">
      <c r="P3354" s="7"/>
      <c r="Q3354" s="8"/>
      <c r="R3354" s="6"/>
      <c r="S3354" s="6"/>
      <c r="AB3354"/>
      <c r="AC3354"/>
    </row>
    <row r="3355" spans="16:29" x14ac:dyDescent="0.25">
      <c r="P3355" s="7"/>
      <c r="Q3355" s="8"/>
      <c r="R3355" s="6"/>
      <c r="S3355" s="6"/>
      <c r="AB3355"/>
      <c r="AC3355"/>
    </row>
    <row r="3356" spans="16:29" x14ac:dyDescent="0.25">
      <c r="P3356" s="7"/>
      <c r="Q3356" s="8"/>
      <c r="R3356" s="6"/>
      <c r="S3356" s="6"/>
      <c r="AB3356"/>
      <c r="AC3356"/>
    </row>
    <row r="3357" spans="16:29" x14ac:dyDescent="0.25">
      <c r="P3357" s="7"/>
      <c r="Q3357" s="8"/>
      <c r="R3357" s="6"/>
      <c r="S3357" s="6"/>
      <c r="AB3357"/>
      <c r="AC3357"/>
    </row>
    <row r="3358" spans="16:29" x14ac:dyDescent="0.25">
      <c r="P3358" s="7"/>
      <c r="Q3358" s="8"/>
      <c r="R3358" s="6"/>
      <c r="S3358" s="6"/>
      <c r="AB3358"/>
      <c r="AC3358"/>
    </row>
    <row r="3359" spans="16:29" x14ac:dyDescent="0.25">
      <c r="P3359" s="7"/>
      <c r="Q3359" s="8"/>
      <c r="R3359" s="6"/>
      <c r="S3359" s="6"/>
      <c r="AB3359"/>
      <c r="AC3359"/>
    </row>
    <row r="3360" spans="16:29" x14ac:dyDescent="0.25">
      <c r="P3360" s="7"/>
      <c r="Q3360" s="8"/>
      <c r="R3360" s="6"/>
      <c r="S3360" s="6"/>
      <c r="AB3360"/>
      <c r="AC3360"/>
    </row>
    <row r="3361" spans="16:29" x14ac:dyDescent="0.25">
      <c r="P3361" s="7"/>
      <c r="Q3361" s="8"/>
      <c r="R3361" s="6"/>
      <c r="S3361" s="6"/>
      <c r="AB3361"/>
      <c r="AC3361"/>
    </row>
    <row r="3362" spans="16:29" x14ac:dyDescent="0.25">
      <c r="P3362" s="7"/>
      <c r="Q3362" s="8"/>
      <c r="R3362" s="6"/>
      <c r="S3362" s="6"/>
      <c r="AB3362"/>
      <c r="AC3362"/>
    </row>
    <row r="3363" spans="16:29" x14ac:dyDescent="0.25">
      <c r="P3363" s="7"/>
      <c r="Q3363" s="8"/>
      <c r="R3363" s="6"/>
      <c r="S3363" s="6"/>
      <c r="AB3363"/>
      <c r="AC3363"/>
    </row>
    <row r="3364" spans="16:29" x14ac:dyDescent="0.25">
      <c r="P3364" s="7"/>
      <c r="Q3364" s="8"/>
      <c r="R3364" s="6"/>
      <c r="S3364" s="6"/>
      <c r="AB3364"/>
      <c r="AC3364"/>
    </row>
    <row r="3365" spans="16:29" x14ac:dyDescent="0.25">
      <c r="P3365" s="7"/>
      <c r="Q3365" s="8"/>
      <c r="R3365" s="6"/>
      <c r="S3365" s="6"/>
      <c r="AB3365"/>
      <c r="AC3365"/>
    </row>
    <row r="3366" spans="16:29" x14ac:dyDescent="0.25">
      <c r="P3366" s="7"/>
      <c r="Q3366" s="8"/>
      <c r="R3366" s="6"/>
      <c r="S3366" s="6"/>
      <c r="AB3366"/>
      <c r="AC3366"/>
    </row>
    <row r="3367" spans="16:29" x14ac:dyDescent="0.25">
      <c r="P3367" s="7"/>
      <c r="Q3367" s="8"/>
      <c r="R3367" s="6"/>
      <c r="S3367" s="6"/>
      <c r="AB3367"/>
      <c r="AC3367"/>
    </row>
    <row r="3368" spans="16:29" x14ac:dyDescent="0.25">
      <c r="P3368" s="7"/>
      <c r="Q3368" s="8"/>
      <c r="R3368" s="6"/>
      <c r="S3368" s="6"/>
      <c r="AB3368"/>
      <c r="AC3368"/>
    </row>
    <row r="3369" spans="16:29" x14ac:dyDescent="0.25">
      <c r="P3369" s="7"/>
      <c r="Q3369" s="8"/>
      <c r="R3369" s="6"/>
      <c r="S3369" s="6"/>
      <c r="AB3369"/>
      <c r="AC3369"/>
    </row>
    <row r="3370" spans="16:29" x14ac:dyDescent="0.25">
      <c r="P3370" s="7"/>
      <c r="Q3370" s="8"/>
      <c r="R3370" s="6"/>
      <c r="S3370" s="6"/>
      <c r="AB3370"/>
      <c r="AC3370"/>
    </row>
    <row r="3371" spans="16:29" x14ac:dyDescent="0.25">
      <c r="P3371" s="7"/>
      <c r="Q3371" s="8"/>
      <c r="R3371" s="6"/>
      <c r="S3371" s="6"/>
      <c r="AB3371"/>
      <c r="AC3371"/>
    </row>
    <row r="3372" spans="16:29" x14ac:dyDescent="0.25">
      <c r="P3372" s="7"/>
      <c r="Q3372" s="8"/>
      <c r="R3372" s="6"/>
      <c r="S3372" s="6"/>
      <c r="AB3372"/>
      <c r="AC3372"/>
    </row>
    <row r="3373" spans="16:29" x14ac:dyDescent="0.25">
      <c r="P3373" s="7"/>
      <c r="Q3373" s="8"/>
      <c r="R3373" s="6"/>
      <c r="S3373" s="6"/>
      <c r="AB3373"/>
      <c r="AC3373"/>
    </row>
    <row r="3374" spans="16:29" x14ac:dyDescent="0.25">
      <c r="P3374" s="7"/>
      <c r="Q3374" s="8"/>
      <c r="R3374" s="6"/>
      <c r="S3374" s="6"/>
      <c r="AB3374"/>
      <c r="AC3374"/>
    </row>
    <row r="3375" spans="16:29" x14ac:dyDescent="0.25">
      <c r="P3375" s="7"/>
      <c r="Q3375" s="8"/>
      <c r="R3375" s="6"/>
      <c r="S3375" s="6"/>
      <c r="AB3375"/>
      <c r="AC3375"/>
    </row>
    <row r="3376" spans="16:29" x14ac:dyDescent="0.25">
      <c r="P3376" s="7"/>
      <c r="Q3376" s="8"/>
      <c r="R3376" s="6"/>
      <c r="S3376" s="6"/>
      <c r="AB3376"/>
      <c r="AC3376"/>
    </row>
    <row r="3377" spans="16:29" x14ac:dyDescent="0.25">
      <c r="P3377" s="7"/>
      <c r="Q3377" s="8"/>
      <c r="R3377" s="6"/>
      <c r="S3377" s="6"/>
      <c r="AB3377"/>
      <c r="AC3377"/>
    </row>
    <row r="3378" spans="16:29" x14ac:dyDescent="0.25">
      <c r="P3378" s="7"/>
      <c r="Q3378" s="8"/>
      <c r="R3378" s="6"/>
      <c r="S3378" s="6"/>
      <c r="AB3378"/>
      <c r="AC3378"/>
    </row>
    <row r="3379" spans="16:29" x14ac:dyDescent="0.25">
      <c r="P3379" s="7"/>
      <c r="Q3379" s="8"/>
      <c r="R3379" s="6"/>
      <c r="S3379" s="6"/>
      <c r="AB3379"/>
      <c r="AC3379"/>
    </row>
    <row r="3380" spans="16:29" x14ac:dyDescent="0.25">
      <c r="P3380" s="7"/>
      <c r="Q3380" s="8"/>
      <c r="R3380" s="6"/>
      <c r="S3380" s="6"/>
      <c r="AB3380"/>
      <c r="AC3380"/>
    </row>
    <row r="3381" spans="16:29" x14ac:dyDescent="0.25">
      <c r="P3381" s="7"/>
      <c r="Q3381" s="8"/>
      <c r="R3381" s="6"/>
      <c r="S3381" s="6"/>
      <c r="AB3381"/>
      <c r="AC3381"/>
    </row>
    <row r="3382" spans="16:29" x14ac:dyDescent="0.25">
      <c r="P3382" s="7"/>
      <c r="Q3382" s="8"/>
      <c r="R3382" s="6"/>
      <c r="S3382" s="6"/>
      <c r="AB3382"/>
      <c r="AC3382"/>
    </row>
    <row r="3383" spans="16:29" x14ac:dyDescent="0.25">
      <c r="P3383" s="7"/>
      <c r="Q3383" s="8"/>
      <c r="R3383" s="6"/>
      <c r="S3383" s="6"/>
      <c r="AB3383"/>
      <c r="AC3383"/>
    </row>
    <row r="3384" spans="16:29" x14ac:dyDescent="0.25">
      <c r="P3384" s="7"/>
      <c r="Q3384" s="8"/>
      <c r="R3384" s="6"/>
      <c r="S3384" s="6"/>
      <c r="AB3384"/>
      <c r="AC3384"/>
    </row>
    <row r="3385" spans="16:29" x14ac:dyDescent="0.25">
      <c r="P3385" s="7"/>
      <c r="Q3385" s="8"/>
      <c r="R3385" s="6"/>
      <c r="S3385" s="6"/>
      <c r="AB3385"/>
      <c r="AC3385"/>
    </row>
    <row r="3386" spans="16:29" x14ac:dyDescent="0.25">
      <c r="P3386" s="7"/>
      <c r="Q3386" s="8"/>
      <c r="R3386" s="6"/>
      <c r="S3386" s="6"/>
      <c r="AB3386"/>
      <c r="AC3386"/>
    </row>
    <row r="3387" spans="16:29" x14ac:dyDescent="0.25">
      <c r="P3387" s="7"/>
      <c r="Q3387" s="8"/>
      <c r="R3387" s="6"/>
      <c r="S3387" s="6"/>
      <c r="AB3387"/>
      <c r="AC3387"/>
    </row>
    <row r="3388" spans="16:29" x14ac:dyDescent="0.25">
      <c r="P3388" s="7"/>
      <c r="Q3388" s="8"/>
      <c r="R3388" s="6"/>
      <c r="S3388" s="6"/>
      <c r="AB3388"/>
      <c r="AC3388"/>
    </row>
    <row r="3389" spans="16:29" x14ac:dyDescent="0.25">
      <c r="P3389" s="7"/>
      <c r="Q3389" s="8"/>
      <c r="R3389" s="6"/>
      <c r="S3389" s="6"/>
      <c r="AB3389"/>
      <c r="AC3389"/>
    </row>
    <row r="3390" spans="16:29" x14ac:dyDescent="0.25">
      <c r="P3390" s="7"/>
      <c r="Q3390" s="8"/>
      <c r="R3390" s="6"/>
      <c r="S3390" s="6"/>
      <c r="AB3390"/>
      <c r="AC3390"/>
    </row>
    <row r="3391" spans="16:29" x14ac:dyDescent="0.25">
      <c r="P3391" s="7"/>
      <c r="Q3391" s="8"/>
      <c r="R3391" s="6"/>
      <c r="S3391" s="6"/>
      <c r="AB3391"/>
      <c r="AC3391"/>
    </row>
    <row r="3392" spans="16:29" x14ac:dyDescent="0.25">
      <c r="P3392" s="7"/>
      <c r="Q3392" s="8"/>
      <c r="R3392" s="6"/>
      <c r="S3392" s="6"/>
      <c r="AB3392"/>
      <c r="AC3392"/>
    </row>
    <row r="3393" spans="16:29" x14ac:dyDescent="0.25">
      <c r="P3393" s="7"/>
      <c r="Q3393" s="8"/>
      <c r="R3393" s="6"/>
      <c r="S3393" s="6"/>
      <c r="AB3393"/>
      <c r="AC3393"/>
    </row>
    <row r="3394" spans="16:29" x14ac:dyDescent="0.25">
      <c r="P3394" s="7"/>
      <c r="Q3394" s="8"/>
      <c r="R3394" s="6"/>
      <c r="S3394" s="6"/>
      <c r="AB3394"/>
      <c r="AC3394"/>
    </row>
    <row r="3395" spans="16:29" x14ac:dyDescent="0.25">
      <c r="P3395" s="7"/>
      <c r="Q3395" s="8"/>
      <c r="R3395" s="6"/>
      <c r="S3395" s="6"/>
      <c r="AB3395"/>
      <c r="AC3395"/>
    </row>
    <row r="3396" spans="16:29" x14ac:dyDescent="0.25">
      <c r="P3396" s="7"/>
      <c r="Q3396" s="8"/>
      <c r="R3396" s="6"/>
      <c r="S3396" s="6"/>
      <c r="AB3396"/>
      <c r="AC3396"/>
    </row>
    <row r="3397" spans="16:29" x14ac:dyDescent="0.25">
      <c r="P3397" s="7"/>
      <c r="Q3397" s="8"/>
      <c r="R3397" s="6"/>
      <c r="S3397" s="6"/>
      <c r="AB3397"/>
      <c r="AC3397"/>
    </row>
    <row r="3398" spans="16:29" x14ac:dyDescent="0.25">
      <c r="P3398" s="7"/>
      <c r="Q3398" s="8"/>
      <c r="R3398" s="6"/>
      <c r="S3398" s="6"/>
      <c r="AB3398"/>
      <c r="AC3398"/>
    </row>
    <row r="3399" spans="16:29" x14ac:dyDescent="0.25">
      <c r="P3399" s="7"/>
      <c r="Q3399" s="8"/>
      <c r="R3399" s="6"/>
      <c r="S3399" s="6"/>
      <c r="AB3399"/>
      <c r="AC3399"/>
    </row>
    <row r="3400" spans="16:29" x14ac:dyDescent="0.25">
      <c r="P3400" s="7"/>
      <c r="Q3400" s="8"/>
      <c r="R3400" s="6"/>
      <c r="S3400" s="6"/>
      <c r="AB3400"/>
      <c r="AC3400"/>
    </row>
    <row r="3401" spans="16:29" x14ac:dyDescent="0.25">
      <c r="P3401" s="7"/>
      <c r="Q3401" s="8"/>
      <c r="R3401" s="6"/>
      <c r="S3401" s="6"/>
      <c r="AB3401"/>
      <c r="AC3401"/>
    </row>
    <row r="3402" spans="16:29" x14ac:dyDescent="0.25">
      <c r="P3402" s="7"/>
      <c r="Q3402" s="8"/>
      <c r="R3402" s="6"/>
      <c r="S3402" s="6"/>
      <c r="AB3402"/>
      <c r="AC3402"/>
    </row>
    <row r="3403" spans="16:29" x14ac:dyDescent="0.25">
      <c r="P3403" s="7"/>
      <c r="Q3403" s="8"/>
      <c r="R3403" s="6"/>
      <c r="S3403" s="6"/>
      <c r="AB3403"/>
      <c r="AC3403"/>
    </row>
    <row r="3404" spans="16:29" x14ac:dyDescent="0.25">
      <c r="P3404" s="7"/>
      <c r="Q3404" s="8"/>
      <c r="R3404" s="6"/>
      <c r="S3404" s="6"/>
      <c r="AB3404"/>
      <c r="AC3404"/>
    </row>
    <row r="3405" spans="16:29" x14ac:dyDescent="0.25">
      <c r="P3405" s="7"/>
      <c r="Q3405" s="8"/>
      <c r="R3405" s="6"/>
      <c r="S3405" s="6"/>
      <c r="AB3405"/>
      <c r="AC3405"/>
    </row>
    <row r="3406" spans="16:29" x14ac:dyDescent="0.25">
      <c r="P3406" s="7"/>
      <c r="Q3406" s="8"/>
      <c r="R3406" s="6"/>
      <c r="S3406" s="6"/>
      <c r="AB3406"/>
      <c r="AC3406"/>
    </row>
    <row r="3407" spans="16:29" x14ac:dyDescent="0.25">
      <c r="P3407" s="7"/>
      <c r="Q3407" s="8"/>
      <c r="R3407" s="6"/>
      <c r="S3407" s="6"/>
      <c r="AB3407"/>
      <c r="AC3407"/>
    </row>
    <row r="3408" spans="16:29" x14ac:dyDescent="0.25">
      <c r="P3408" s="7"/>
      <c r="Q3408" s="8"/>
      <c r="R3408" s="6"/>
      <c r="S3408" s="6"/>
      <c r="AB3408"/>
      <c r="AC3408"/>
    </row>
    <row r="3409" spans="16:29" x14ac:dyDescent="0.25">
      <c r="P3409" s="7"/>
      <c r="Q3409" s="8"/>
      <c r="R3409" s="6"/>
      <c r="S3409" s="6"/>
      <c r="AB3409"/>
      <c r="AC3409"/>
    </row>
    <row r="3410" spans="16:29" x14ac:dyDescent="0.25">
      <c r="P3410" s="7"/>
      <c r="Q3410" s="8"/>
      <c r="R3410" s="6"/>
      <c r="S3410" s="6"/>
      <c r="AB3410"/>
      <c r="AC3410"/>
    </row>
    <row r="3411" spans="16:29" x14ac:dyDescent="0.25">
      <c r="P3411" s="7"/>
      <c r="Q3411" s="8"/>
      <c r="R3411" s="6"/>
      <c r="S3411" s="6"/>
      <c r="AB3411"/>
      <c r="AC3411"/>
    </row>
    <row r="3412" spans="16:29" x14ac:dyDescent="0.25">
      <c r="P3412" s="7"/>
      <c r="Q3412" s="8"/>
      <c r="R3412" s="6"/>
      <c r="S3412" s="6"/>
      <c r="AB3412"/>
      <c r="AC3412"/>
    </row>
    <row r="3413" spans="16:29" x14ac:dyDescent="0.25">
      <c r="P3413" s="7"/>
      <c r="Q3413" s="8"/>
      <c r="R3413" s="6"/>
      <c r="S3413" s="6"/>
      <c r="AB3413"/>
      <c r="AC3413"/>
    </row>
    <row r="3414" spans="16:29" x14ac:dyDescent="0.25">
      <c r="P3414" s="7"/>
      <c r="Q3414" s="8"/>
      <c r="R3414" s="6"/>
      <c r="S3414" s="6"/>
      <c r="AB3414"/>
      <c r="AC3414"/>
    </row>
    <row r="3415" spans="16:29" x14ac:dyDescent="0.25">
      <c r="P3415" s="7"/>
      <c r="Q3415" s="8"/>
      <c r="R3415" s="6"/>
      <c r="S3415" s="6"/>
      <c r="AB3415"/>
      <c r="AC3415"/>
    </row>
    <row r="3416" spans="16:29" x14ac:dyDescent="0.25">
      <c r="P3416" s="7"/>
      <c r="Q3416" s="8"/>
      <c r="R3416" s="6"/>
      <c r="S3416" s="6"/>
    </row>
    <row r="3417" spans="16:29" x14ac:dyDescent="0.25">
      <c r="P3417" s="7"/>
      <c r="Q3417" s="8"/>
      <c r="R3417" s="6"/>
      <c r="S3417" s="6"/>
    </row>
    <row r="3418" spans="16:29" x14ac:dyDescent="0.25">
      <c r="P3418" s="7"/>
      <c r="Q3418" s="8"/>
      <c r="R3418" s="6"/>
      <c r="S3418" s="6"/>
    </row>
    <row r="3419" spans="16:29" x14ac:dyDescent="0.25">
      <c r="P3419" s="7"/>
      <c r="Q3419" s="8"/>
      <c r="R3419" s="6"/>
      <c r="S3419" s="6"/>
    </row>
    <row r="3420" spans="16:29" x14ac:dyDescent="0.25">
      <c r="P3420" s="7"/>
      <c r="Q3420" s="8"/>
      <c r="R3420" s="6"/>
      <c r="S3420" s="6"/>
    </row>
    <row r="3421" spans="16:29" x14ac:dyDescent="0.25">
      <c r="P3421" s="7"/>
      <c r="Q3421" s="8"/>
      <c r="R3421" s="6"/>
      <c r="S3421" s="6"/>
    </row>
    <row r="3422" spans="16:29" x14ac:dyDescent="0.25">
      <c r="P3422" s="7"/>
      <c r="Q3422" s="8"/>
      <c r="R3422" s="6"/>
      <c r="S3422" s="6"/>
    </row>
    <row r="3423" spans="16:29" x14ac:dyDescent="0.25">
      <c r="P3423" s="7"/>
      <c r="Q3423" s="8"/>
      <c r="R3423" s="6"/>
      <c r="S3423" s="6"/>
    </row>
    <row r="3424" spans="16:29" x14ac:dyDescent="0.25">
      <c r="P3424" s="7"/>
      <c r="Q3424" s="8"/>
      <c r="R3424" s="6"/>
      <c r="S3424" s="6"/>
    </row>
    <row r="3425" spans="16:19" x14ac:dyDescent="0.25">
      <c r="P3425" s="7"/>
      <c r="Q3425" s="8"/>
      <c r="R3425" s="6"/>
      <c r="S3425" s="6"/>
    </row>
    <row r="3426" spans="16:19" x14ac:dyDescent="0.25">
      <c r="P3426" s="7"/>
      <c r="Q3426" s="8"/>
      <c r="R3426" s="6"/>
      <c r="S3426" s="6"/>
    </row>
    <row r="3427" spans="16:19" x14ac:dyDescent="0.25">
      <c r="P3427" s="7"/>
      <c r="Q3427" s="8"/>
      <c r="R3427" s="6"/>
      <c r="S3427" s="6"/>
    </row>
    <row r="3428" spans="16:19" x14ac:dyDescent="0.25">
      <c r="P3428" s="7"/>
      <c r="Q3428" s="8"/>
      <c r="R3428" s="6"/>
      <c r="S3428" s="6"/>
    </row>
    <row r="3429" spans="16:19" x14ac:dyDescent="0.25">
      <c r="P3429" s="7"/>
      <c r="Q3429" s="8"/>
      <c r="R3429" s="6"/>
      <c r="S3429" s="6"/>
    </row>
    <row r="3430" spans="16:19" x14ac:dyDescent="0.25">
      <c r="P3430" s="7"/>
      <c r="Q3430" s="8"/>
      <c r="R3430" s="6"/>
      <c r="S3430" s="6"/>
    </row>
    <row r="3431" spans="16:19" x14ac:dyDescent="0.25">
      <c r="P3431" s="7"/>
      <c r="Q3431" s="8"/>
      <c r="R3431" s="6"/>
      <c r="S3431" s="6"/>
    </row>
    <row r="3432" spans="16:19" x14ac:dyDescent="0.25">
      <c r="P3432" s="7"/>
      <c r="Q3432" s="8"/>
      <c r="R3432" s="6"/>
      <c r="S3432" s="6"/>
    </row>
    <row r="3433" spans="16:19" x14ac:dyDescent="0.25">
      <c r="P3433" s="7"/>
      <c r="Q3433" s="8"/>
      <c r="R3433" s="6"/>
      <c r="S3433" s="6"/>
    </row>
    <row r="3434" spans="16:19" x14ac:dyDescent="0.25">
      <c r="P3434" s="7"/>
      <c r="Q3434" s="8"/>
      <c r="R3434" s="6"/>
      <c r="S3434" s="6"/>
    </row>
    <row r="3435" spans="16:19" x14ac:dyDescent="0.25">
      <c r="P3435" s="7"/>
      <c r="Q3435" s="8"/>
      <c r="R3435" s="6"/>
      <c r="S3435" s="6"/>
    </row>
    <row r="3436" spans="16:19" x14ac:dyDescent="0.25">
      <c r="P3436" s="7"/>
      <c r="Q3436" s="8"/>
      <c r="R3436" s="6"/>
      <c r="S3436" s="6"/>
    </row>
    <row r="3437" spans="16:19" x14ac:dyDescent="0.25">
      <c r="P3437" s="7"/>
      <c r="Q3437" s="8"/>
      <c r="R3437" s="6"/>
      <c r="S3437" s="6"/>
    </row>
    <row r="3438" spans="16:19" x14ac:dyDescent="0.25">
      <c r="P3438" s="7"/>
      <c r="Q3438" s="8"/>
      <c r="R3438" s="6"/>
      <c r="S3438" s="6"/>
    </row>
    <row r="3439" spans="16:19" x14ac:dyDescent="0.25">
      <c r="P3439" s="7"/>
      <c r="Q3439" s="8"/>
      <c r="R3439" s="6"/>
      <c r="S3439" s="6"/>
    </row>
    <row r="3440" spans="16:19" x14ac:dyDescent="0.25">
      <c r="P3440" s="7"/>
      <c r="Q3440" s="8"/>
      <c r="R3440" s="6"/>
      <c r="S3440" s="6"/>
    </row>
    <row r="3441" spans="16:19" x14ac:dyDescent="0.25">
      <c r="P3441" s="7"/>
      <c r="Q3441" s="8"/>
      <c r="R3441" s="6"/>
      <c r="S3441" s="6"/>
    </row>
    <row r="3442" spans="16:19" x14ac:dyDescent="0.25">
      <c r="P3442" s="7"/>
      <c r="Q3442" s="8"/>
      <c r="R3442" s="6"/>
      <c r="S3442" s="6"/>
    </row>
    <row r="3443" spans="16:19" x14ac:dyDescent="0.25">
      <c r="P3443" s="7"/>
      <c r="Q3443" s="8"/>
      <c r="R3443" s="6"/>
      <c r="S3443" s="6"/>
    </row>
    <row r="3444" spans="16:19" x14ac:dyDescent="0.25">
      <c r="P3444" s="7"/>
      <c r="Q3444" s="8"/>
      <c r="R3444" s="6"/>
      <c r="S3444" s="6"/>
    </row>
    <row r="3445" spans="16:19" x14ac:dyDescent="0.25">
      <c r="P3445" s="7"/>
      <c r="Q3445" s="8"/>
      <c r="R3445" s="6"/>
      <c r="S3445" s="6"/>
    </row>
    <row r="3446" spans="16:19" x14ac:dyDescent="0.25">
      <c r="P3446" s="7"/>
      <c r="Q3446" s="8"/>
      <c r="R3446" s="6"/>
      <c r="S3446" s="6"/>
    </row>
    <row r="3447" spans="16:19" x14ac:dyDescent="0.25">
      <c r="P3447" s="7"/>
      <c r="Q3447" s="8"/>
      <c r="R3447" s="6"/>
      <c r="S3447" s="6"/>
    </row>
    <row r="3448" spans="16:19" x14ac:dyDescent="0.25">
      <c r="P3448" s="7"/>
      <c r="Q3448" s="8"/>
      <c r="R3448" s="6"/>
      <c r="S3448" s="6"/>
    </row>
    <row r="3449" spans="16:19" x14ac:dyDescent="0.25">
      <c r="P3449" s="7"/>
      <c r="Q3449" s="8"/>
      <c r="R3449" s="6"/>
      <c r="S3449" s="6"/>
    </row>
    <row r="3450" spans="16:19" x14ac:dyDescent="0.25">
      <c r="P3450" s="7"/>
      <c r="Q3450" s="8"/>
      <c r="R3450" s="6"/>
      <c r="S3450" s="6"/>
    </row>
    <row r="3451" spans="16:19" x14ac:dyDescent="0.25">
      <c r="P3451" s="7"/>
      <c r="Q3451" s="8"/>
      <c r="R3451" s="6"/>
      <c r="S3451" s="6"/>
    </row>
    <row r="3452" spans="16:19" x14ac:dyDescent="0.25">
      <c r="P3452" s="7"/>
      <c r="Q3452" s="8"/>
      <c r="R3452" s="6"/>
      <c r="S3452" s="6"/>
    </row>
    <row r="3453" spans="16:19" x14ac:dyDescent="0.25">
      <c r="P3453" s="7"/>
      <c r="Q3453" s="8"/>
      <c r="R3453" s="6"/>
      <c r="S3453" s="6"/>
    </row>
    <row r="3454" spans="16:19" x14ac:dyDescent="0.25">
      <c r="P3454" s="7"/>
      <c r="Q3454" s="8"/>
      <c r="R3454" s="6"/>
      <c r="S3454" s="6"/>
    </row>
    <row r="3455" spans="16:19" x14ac:dyDescent="0.25">
      <c r="P3455" s="7"/>
      <c r="Q3455" s="8"/>
      <c r="R3455" s="6"/>
      <c r="S3455" s="6"/>
    </row>
    <row r="3456" spans="16:19" x14ac:dyDescent="0.25">
      <c r="P3456" s="7"/>
      <c r="Q3456" s="8"/>
      <c r="R3456" s="6"/>
      <c r="S3456" s="6"/>
    </row>
    <row r="3457" spans="16:19" x14ac:dyDescent="0.25">
      <c r="P3457" s="7"/>
      <c r="Q3457" s="8"/>
      <c r="R3457" s="6"/>
      <c r="S3457" s="6"/>
    </row>
    <row r="3458" spans="16:19" x14ac:dyDescent="0.25">
      <c r="P3458" s="7"/>
      <c r="Q3458" s="8"/>
      <c r="R3458" s="6"/>
      <c r="S3458" s="6"/>
    </row>
    <row r="3459" spans="16:19" x14ac:dyDescent="0.25">
      <c r="P3459" s="7"/>
      <c r="Q3459" s="8"/>
      <c r="R3459" s="6"/>
      <c r="S3459" s="6"/>
    </row>
    <row r="3460" spans="16:19" x14ac:dyDescent="0.25">
      <c r="P3460" s="7"/>
      <c r="Q3460" s="8"/>
      <c r="R3460" s="6"/>
      <c r="S3460" s="6"/>
    </row>
    <row r="3461" spans="16:19" x14ac:dyDescent="0.25">
      <c r="P3461" s="7"/>
      <c r="Q3461" s="8"/>
      <c r="R3461" s="6"/>
      <c r="S3461" s="6"/>
    </row>
    <row r="3462" spans="16:19" x14ac:dyDescent="0.25">
      <c r="P3462" s="7"/>
      <c r="Q3462" s="8"/>
      <c r="R3462" s="6"/>
      <c r="S3462" s="6"/>
    </row>
    <row r="3463" spans="16:19" x14ac:dyDescent="0.25">
      <c r="P3463" s="7"/>
      <c r="Q3463" s="8"/>
      <c r="R3463" s="6"/>
      <c r="S3463" s="6"/>
    </row>
    <row r="3464" spans="16:19" x14ac:dyDescent="0.25">
      <c r="P3464" s="7"/>
      <c r="Q3464" s="8"/>
      <c r="R3464" s="6"/>
      <c r="S3464" s="6"/>
    </row>
    <row r="3465" spans="16:19" x14ac:dyDescent="0.25">
      <c r="P3465" s="7"/>
      <c r="Q3465" s="8"/>
      <c r="R3465" s="6"/>
      <c r="S3465" s="6"/>
    </row>
    <row r="3466" spans="16:19" x14ac:dyDescent="0.25">
      <c r="P3466" s="7"/>
      <c r="Q3466" s="8"/>
      <c r="R3466" s="6"/>
      <c r="S3466" s="6"/>
    </row>
    <row r="3467" spans="16:19" x14ac:dyDescent="0.25">
      <c r="P3467" s="7"/>
      <c r="Q3467" s="8"/>
      <c r="R3467" s="6"/>
      <c r="S3467" s="6"/>
    </row>
    <row r="3468" spans="16:19" x14ac:dyDescent="0.25">
      <c r="P3468" s="7"/>
      <c r="Q3468" s="8"/>
      <c r="R3468" s="6"/>
      <c r="S3468" s="6"/>
    </row>
    <row r="3469" spans="16:19" x14ac:dyDescent="0.25">
      <c r="P3469" s="7"/>
      <c r="Q3469" s="8"/>
      <c r="R3469" s="6"/>
      <c r="S3469" s="6"/>
    </row>
    <row r="3470" spans="16:19" x14ac:dyDescent="0.25">
      <c r="P3470" s="7"/>
      <c r="Q3470" s="8"/>
      <c r="R3470" s="6"/>
      <c r="S3470" s="6"/>
    </row>
    <row r="3471" spans="16:19" x14ac:dyDescent="0.25">
      <c r="P3471" s="7"/>
      <c r="Q3471" s="8"/>
      <c r="R3471" s="6"/>
      <c r="S3471" s="6"/>
    </row>
    <row r="3472" spans="16:19" x14ac:dyDescent="0.25">
      <c r="P3472" s="7"/>
      <c r="Q3472" s="8"/>
      <c r="R3472" s="6"/>
      <c r="S3472" s="6"/>
    </row>
    <row r="3473" spans="16:19" x14ac:dyDescent="0.25">
      <c r="P3473" s="7"/>
      <c r="Q3473" s="8"/>
      <c r="R3473" s="6"/>
      <c r="S3473" s="6"/>
    </row>
    <row r="3474" spans="16:19" x14ac:dyDescent="0.25">
      <c r="P3474" s="7"/>
      <c r="Q3474" s="8"/>
      <c r="R3474" s="6"/>
      <c r="S3474" s="6"/>
    </row>
    <row r="3475" spans="16:19" x14ac:dyDescent="0.25">
      <c r="P3475" s="7"/>
      <c r="Q3475" s="8"/>
      <c r="R3475" s="6"/>
      <c r="S3475" s="6"/>
    </row>
    <row r="3476" spans="16:19" x14ac:dyDescent="0.25">
      <c r="P3476" s="7"/>
      <c r="Q3476" s="8"/>
      <c r="R3476" s="6"/>
      <c r="S3476" s="6"/>
    </row>
    <row r="3477" spans="16:19" x14ac:dyDescent="0.25">
      <c r="P3477" s="7"/>
      <c r="Q3477" s="8"/>
      <c r="R3477" s="6"/>
      <c r="S3477" s="6"/>
    </row>
    <row r="3478" spans="16:19" x14ac:dyDescent="0.25">
      <c r="P3478" s="7"/>
      <c r="Q3478" s="8"/>
      <c r="R3478" s="6"/>
      <c r="S3478" s="6"/>
    </row>
    <row r="3479" spans="16:19" x14ac:dyDescent="0.25">
      <c r="P3479" s="7"/>
      <c r="Q3479" s="8"/>
      <c r="R3479" s="6"/>
      <c r="S3479" s="6"/>
    </row>
    <row r="3480" spans="16:19" x14ac:dyDescent="0.25">
      <c r="P3480" s="7"/>
      <c r="Q3480" s="8"/>
      <c r="R3480" s="6"/>
      <c r="S3480" s="6"/>
    </row>
    <row r="3481" spans="16:19" x14ac:dyDescent="0.25">
      <c r="P3481" s="7"/>
      <c r="Q3481" s="8"/>
      <c r="R3481" s="6"/>
      <c r="S3481" s="6"/>
    </row>
    <row r="3482" spans="16:19" x14ac:dyDescent="0.25">
      <c r="P3482" s="7"/>
      <c r="Q3482" s="8"/>
      <c r="R3482" s="6"/>
      <c r="S3482" s="6"/>
    </row>
    <row r="3483" spans="16:19" x14ac:dyDescent="0.25">
      <c r="P3483" s="7"/>
      <c r="Q3483" s="8"/>
      <c r="R3483" s="6"/>
      <c r="S3483" s="6"/>
    </row>
    <row r="3484" spans="16:19" x14ac:dyDescent="0.25">
      <c r="P3484" s="7"/>
      <c r="Q3484" s="8"/>
      <c r="R3484" s="6"/>
      <c r="S3484" s="6"/>
    </row>
    <row r="3485" spans="16:19" x14ac:dyDescent="0.25">
      <c r="P3485" s="7"/>
      <c r="Q3485" s="8"/>
      <c r="R3485" s="6"/>
      <c r="S3485" s="6"/>
    </row>
    <row r="3486" spans="16:19" x14ac:dyDescent="0.25">
      <c r="P3486" s="7"/>
      <c r="Q3486" s="8"/>
      <c r="R3486" s="6"/>
      <c r="S3486" s="6"/>
    </row>
    <row r="3487" spans="16:19" x14ac:dyDescent="0.25">
      <c r="P3487" s="7"/>
      <c r="Q3487" s="8"/>
      <c r="R3487" s="6"/>
      <c r="S3487" s="6"/>
    </row>
    <row r="3488" spans="16:19" x14ac:dyDescent="0.25">
      <c r="P3488" s="7"/>
      <c r="Q3488" s="8"/>
      <c r="R3488" s="6"/>
      <c r="S3488" s="6"/>
    </row>
    <row r="3489" spans="16:19" x14ac:dyDescent="0.25">
      <c r="P3489" s="7"/>
      <c r="Q3489" s="8"/>
      <c r="R3489" s="6"/>
      <c r="S3489" s="6"/>
    </row>
    <row r="3490" spans="16:19" x14ac:dyDescent="0.25">
      <c r="P3490" s="7"/>
      <c r="Q3490" s="8"/>
      <c r="R3490" s="6"/>
      <c r="S3490" s="6"/>
    </row>
    <row r="3491" spans="16:19" x14ac:dyDescent="0.25">
      <c r="P3491" s="7"/>
      <c r="Q3491" s="8"/>
      <c r="R3491" s="6"/>
      <c r="S3491" s="6"/>
    </row>
    <row r="3492" spans="16:19" x14ac:dyDescent="0.25">
      <c r="P3492" s="7"/>
      <c r="Q3492" s="8"/>
      <c r="R3492" s="6"/>
      <c r="S3492" s="6"/>
    </row>
    <row r="3493" spans="16:19" x14ac:dyDescent="0.25">
      <c r="P3493" s="7"/>
      <c r="Q3493" s="8"/>
      <c r="R3493" s="6"/>
      <c r="S3493" s="6"/>
    </row>
    <row r="3494" spans="16:19" x14ac:dyDescent="0.25">
      <c r="P3494" s="7"/>
      <c r="Q3494" s="8"/>
      <c r="R3494" s="6"/>
      <c r="S3494" s="6"/>
    </row>
    <row r="3495" spans="16:19" x14ac:dyDescent="0.25">
      <c r="P3495" s="7"/>
      <c r="Q3495" s="8"/>
      <c r="R3495" s="6"/>
      <c r="S3495" s="6"/>
    </row>
    <row r="3496" spans="16:19" x14ac:dyDescent="0.25">
      <c r="P3496" s="7"/>
      <c r="Q3496" s="8"/>
      <c r="R3496" s="6"/>
      <c r="S3496" s="6"/>
    </row>
    <row r="3497" spans="16:19" x14ac:dyDescent="0.25">
      <c r="P3497" s="7"/>
      <c r="Q3497" s="8"/>
      <c r="R3497" s="6"/>
      <c r="S3497" s="6"/>
    </row>
    <row r="3498" spans="16:19" x14ac:dyDescent="0.25">
      <c r="P3498" s="7"/>
      <c r="Q3498" s="8"/>
      <c r="R3498" s="6"/>
      <c r="S3498" s="6"/>
    </row>
    <row r="3499" spans="16:19" x14ac:dyDescent="0.25">
      <c r="P3499" s="7"/>
      <c r="Q3499" s="8"/>
      <c r="R3499" s="6"/>
      <c r="S3499" s="6"/>
    </row>
    <row r="3500" spans="16:19" x14ac:dyDescent="0.25">
      <c r="P3500" s="7"/>
      <c r="Q3500" s="8"/>
      <c r="R3500" s="6"/>
      <c r="S3500" s="6"/>
    </row>
    <row r="3501" spans="16:19" x14ac:dyDescent="0.25">
      <c r="P3501" s="7"/>
      <c r="Q3501" s="8"/>
      <c r="R3501" s="6"/>
      <c r="S3501" s="6"/>
    </row>
    <row r="3502" spans="16:19" x14ac:dyDescent="0.25">
      <c r="P3502" s="7"/>
      <c r="Q3502" s="8"/>
      <c r="R3502" s="6"/>
      <c r="S3502" s="6"/>
    </row>
    <row r="3503" spans="16:19" x14ac:dyDescent="0.25">
      <c r="P3503" s="7"/>
      <c r="Q3503" s="8"/>
      <c r="R3503" s="6"/>
      <c r="S3503" s="6"/>
    </row>
    <row r="3504" spans="16:19" x14ac:dyDescent="0.25">
      <c r="P3504" s="7"/>
      <c r="Q3504" s="8"/>
      <c r="R3504" s="6"/>
      <c r="S3504" s="6"/>
    </row>
    <row r="3505" spans="16:19" x14ac:dyDescent="0.25">
      <c r="P3505" s="7"/>
      <c r="Q3505" s="8"/>
      <c r="R3505" s="6"/>
      <c r="S3505" s="6"/>
    </row>
    <row r="3506" spans="16:19" x14ac:dyDescent="0.25">
      <c r="P3506" s="7"/>
      <c r="Q3506" s="8"/>
      <c r="R3506" s="6"/>
      <c r="S3506" s="6"/>
    </row>
    <row r="3507" spans="16:19" x14ac:dyDescent="0.25">
      <c r="P3507" s="7"/>
      <c r="Q3507" s="8"/>
      <c r="R3507" s="6"/>
      <c r="S3507" s="6"/>
    </row>
    <row r="3508" spans="16:19" x14ac:dyDescent="0.25">
      <c r="P3508" s="7"/>
      <c r="Q3508" s="8"/>
      <c r="R3508" s="6"/>
      <c r="S3508" s="6"/>
    </row>
    <row r="3509" spans="16:19" x14ac:dyDescent="0.25">
      <c r="P3509" s="7"/>
      <c r="Q3509" s="8"/>
      <c r="R3509" s="6"/>
      <c r="S3509" s="6"/>
    </row>
    <row r="3510" spans="16:19" x14ac:dyDescent="0.25">
      <c r="P3510" s="7"/>
      <c r="Q3510" s="8"/>
      <c r="R3510" s="6"/>
      <c r="S3510" s="6"/>
    </row>
    <row r="3511" spans="16:19" x14ac:dyDescent="0.25">
      <c r="P3511" s="7"/>
      <c r="Q3511" s="8"/>
      <c r="R3511" s="6"/>
      <c r="S3511" s="6"/>
    </row>
    <row r="3512" spans="16:19" x14ac:dyDescent="0.25">
      <c r="P3512" s="7"/>
      <c r="Q3512" s="8"/>
      <c r="R3512" s="6"/>
      <c r="S3512" s="6"/>
    </row>
    <row r="3513" spans="16:19" x14ac:dyDescent="0.25">
      <c r="P3513" s="7"/>
      <c r="Q3513" s="8"/>
      <c r="R3513" s="6"/>
      <c r="S3513" s="6"/>
    </row>
    <row r="3514" spans="16:19" x14ac:dyDescent="0.25">
      <c r="P3514" s="7"/>
      <c r="Q3514" s="8"/>
      <c r="R3514" s="6"/>
      <c r="S3514" s="6"/>
    </row>
    <row r="3515" spans="16:19" x14ac:dyDescent="0.25">
      <c r="P3515" s="7"/>
      <c r="Q3515" s="8"/>
      <c r="R3515" s="6"/>
      <c r="S3515" s="6"/>
    </row>
    <row r="3516" spans="16:19" x14ac:dyDescent="0.25">
      <c r="P3516" s="7"/>
      <c r="Q3516" s="8"/>
      <c r="R3516" s="6"/>
      <c r="S3516" s="6"/>
    </row>
    <row r="3517" spans="16:19" x14ac:dyDescent="0.25">
      <c r="P3517" s="7"/>
      <c r="Q3517" s="8"/>
      <c r="R3517" s="6"/>
      <c r="S3517" s="6"/>
    </row>
    <row r="3518" spans="16:19" x14ac:dyDescent="0.25">
      <c r="P3518" s="7"/>
      <c r="Q3518" s="8"/>
      <c r="R3518" s="6"/>
      <c r="S3518" s="6"/>
    </row>
    <row r="3519" spans="16:19" x14ac:dyDescent="0.25">
      <c r="P3519" s="7"/>
      <c r="Q3519" s="8"/>
      <c r="R3519" s="6"/>
      <c r="S3519" s="6"/>
    </row>
    <row r="3520" spans="16:19" x14ac:dyDescent="0.25">
      <c r="P3520" s="7"/>
      <c r="Q3520" s="8"/>
      <c r="R3520" s="6"/>
      <c r="S3520" s="6"/>
    </row>
    <row r="3521" spans="16:19" x14ac:dyDescent="0.25">
      <c r="P3521" s="7"/>
      <c r="Q3521" s="8"/>
      <c r="R3521" s="6"/>
      <c r="S3521" s="6"/>
    </row>
    <row r="3522" spans="16:19" x14ac:dyDescent="0.25">
      <c r="P3522" s="7"/>
      <c r="Q3522" s="8"/>
      <c r="R3522" s="6"/>
      <c r="S3522" s="6"/>
    </row>
    <row r="3523" spans="16:19" x14ac:dyDescent="0.25">
      <c r="P3523" s="7"/>
      <c r="Q3523" s="8"/>
      <c r="R3523" s="6"/>
      <c r="S3523" s="6"/>
    </row>
    <row r="3524" spans="16:19" x14ac:dyDescent="0.25">
      <c r="P3524" s="7"/>
      <c r="Q3524" s="8"/>
      <c r="R3524" s="6"/>
      <c r="S3524" s="6"/>
    </row>
    <row r="3525" spans="16:19" x14ac:dyDescent="0.25">
      <c r="P3525" s="7"/>
      <c r="Q3525" s="8"/>
      <c r="R3525" s="6"/>
      <c r="S3525" s="6"/>
    </row>
    <row r="3526" spans="16:19" x14ac:dyDescent="0.25">
      <c r="P3526" s="7"/>
      <c r="Q3526" s="8"/>
      <c r="R3526" s="6"/>
      <c r="S3526" s="6"/>
    </row>
    <row r="3527" spans="16:19" x14ac:dyDescent="0.25">
      <c r="P3527" s="7"/>
      <c r="Q3527" s="8"/>
      <c r="R3527" s="6"/>
      <c r="S3527" s="6"/>
    </row>
    <row r="3528" spans="16:19" x14ac:dyDescent="0.25">
      <c r="P3528" s="7"/>
      <c r="Q3528" s="8"/>
      <c r="R3528" s="6"/>
      <c r="S3528" s="6"/>
    </row>
    <row r="3529" spans="16:19" x14ac:dyDescent="0.25">
      <c r="P3529" s="7"/>
      <c r="Q3529" s="8"/>
      <c r="R3529" s="6"/>
      <c r="S3529" s="6"/>
    </row>
    <row r="3530" spans="16:19" x14ac:dyDescent="0.25">
      <c r="P3530" s="7"/>
      <c r="Q3530" s="8"/>
      <c r="R3530" s="6"/>
      <c r="S3530" s="6"/>
    </row>
    <row r="3531" spans="16:19" x14ac:dyDescent="0.25">
      <c r="P3531" s="7"/>
      <c r="Q3531" s="8"/>
      <c r="R3531" s="6"/>
      <c r="S3531" s="6"/>
    </row>
    <row r="3532" spans="16:19" x14ac:dyDescent="0.25">
      <c r="P3532" s="7"/>
      <c r="Q3532" s="8"/>
      <c r="R3532" s="6"/>
      <c r="S3532" s="6"/>
    </row>
    <row r="3533" spans="16:19" x14ac:dyDescent="0.25">
      <c r="P3533" s="7"/>
      <c r="Q3533" s="8"/>
      <c r="R3533" s="6"/>
      <c r="S3533" s="6"/>
    </row>
    <row r="3534" spans="16:19" x14ac:dyDescent="0.25">
      <c r="P3534" s="7"/>
      <c r="Q3534" s="8"/>
      <c r="R3534" s="6"/>
      <c r="S3534" s="6"/>
    </row>
    <row r="3535" spans="16:19" x14ac:dyDescent="0.25">
      <c r="P3535" s="7"/>
      <c r="Q3535" s="8"/>
      <c r="R3535" s="6"/>
      <c r="S3535" s="6"/>
    </row>
    <row r="3536" spans="16:19" x14ac:dyDescent="0.25">
      <c r="P3536" s="7"/>
      <c r="Q3536" s="8"/>
      <c r="R3536" s="6"/>
      <c r="S3536" s="6"/>
    </row>
    <row r="3537" spans="16:19" x14ac:dyDescent="0.25">
      <c r="P3537" s="7"/>
      <c r="Q3537" s="8"/>
      <c r="R3537" s="6"/>
      <c r="S3537" s="6"/>
    </row>
    <row r="3538" spans="16:19" x14ac:dyDescent="0.25">
      <c r="P3538" s="7"/>
      <c r="Q3538" s="8"/>
      <c r="R3538" s="6"/>
      <c r="S3538" s="6"/>
    </row>
    <row r="3539" spans="16:19" x14ac:dyDescent="0.25">
      <c r="P3539" s="7"/>
      <c r="Q3539" s="8"/>
      <c r="R3539" s="6"/>
      <c r="S3539" s="6"/>
    </row>
    <row r="3540" spans="16:19" x14ac:dyDescent="0.25">
      <c r="P3540" s="7"/>
      <c r="Q3540" s="8"/>
      <c r="R3540" s="6"/>
      <c r="S3540" s="6"/>
    </row>
    <row r="3541" spans="16:19" x14ac:dyDescent="0.25">
      <c r="P3541" s="7"/>
      <c r="Q3541" s="8"/>
      <c r="R3541" s="6"/>
      <c r="S3541" s="6"/>
    </row>
    <row r="3542" spans="16:19" x14ac:dyDescent="0.25">
      <c r="P3542" s="7"/>
      <c r="Q3542" s="8"/>
      <c r="R3542" s="6"/>
      <c r="S3542" s="6"/>
    </row>
    <row r="3543" spans="16:19" x14ac:dyDescent="0.25">
      <c r="P3543" s="7"/>
      <c r="Q3543" s="8"/>
      <c r="R3543" s="6"/>
      <c r="S3543" s="6"/>
    </row>
    <row r="3544" spans="16:19" x14ac:dyDescent="0.25">
      <c r="P3544" s="7"/>
      <c r="Q3544" s="8"/>
      <c r="R3544" s="6"/>
      <c r="S3544" s="6"/>
    </row>
    <row r="3545" spans="16:19" x14ac:dyDescent="0.25">
      <c r="P3545" s="7"/>
      <c r="Q3545" s="8"/>
      <c r="R3545" s="6"/>
      <c r="S3545" s="6"/>
    </row>
    <row r="3546" spans="16:19" x14ac:dyDescent="0.25">
      <c r="P3546" s="7"/>
      <c r="Q3546" s="8"/>
      <c r="R3546" s="6"/>
      <c r="S3546" s="6"/>
    </row>
    <row r="3547" spans="16:19" x14ac:dyDescent="0.25">
      <c r="P3547" s="7"/>
      <c r="Q3547" s="8"/>
      <c r="R3547" s="6"/>
      <c r="S3547" s="6"/>
    </row>
    <row r="3548" spans="16:19" x14ac:dyDescent="0.25">
      <c r="P3548" s="7"/>
      <c r="Q3548" s="8"/>
      <c r="R3548" s="6"/>
      <c r="S3548" s="6"/>
    </row>
    <row r="3549" spans="16:19" x14ac:dyDescent="0.25">
      <c r="P3549" s="7"/>
      <c r="Q3549" s="8"/>
      <c r="R3549" s="6"/>
      <c r="S3549" s="6"/>
    </row>
    <row r="3550" spans="16:19" x14ac:dyDescent="0.25">
      <c r="P3550" s="7"/>
      <c r="Q3550" s="8"/>
      <c r="R3550" s="6"/>
      <c r="S3550" s="6"/>
    </row>
    <row r="3551" spans="16:19" x14ac:dyDescent="0.25">
      <c r="P3551" s="7"/>
      <c r="Q3551" s="8"/>
      <c r="R3551" s="6"/>
      <c r="S3551" s="6"/>
    </row>
    <row r="3552" spans="16:19" x14ac:dyDescent="0.25">
      <c r="P3552" s="7"/>
      <c r="Q3552" s="8"/>
      <c r="R3552" s="6"/>
      <c r="S3552" s="6"/>
    </row>
    <row r="3553" spans="16:19" x14ac:dyDescent="0.25">
      <c r="P3553" s="7"/>
      <c r="Q3553" s="8"/>
      <c r="R3553" s="6"/>
      <c r="S3553" s="6"/>
    </row>
    <row r="3554" spans="16:19" x14ac:dyDescent="0.25">
      <c r="P3554" s="7"/>
      <c r="Q3554" s="8"/>
      <c r="R3554" s="6"/>
      <c r="S3554" s="6"/>
    </row>
    <row r="3555" spans="16:19" x14ac:dyDescent="0.25">
      <c r="P3555" s="7"/>
      <c r="Q3555" s="8"/>
      <c r="R3555" s="6"/>
      <c r="S3555" s="6"/>
    </row>
    <row r="3556" spans="16:19" x14ac:dyDescent="0.25">
      <c r="P3556" s="7"/>
      <c r="Q3556" s="8"/>
      <c r="R3556" s="6"/>
      <c r="S3556" s="6"/>
    </row>
    <row r="3557" spans="16:19" x14ac:dyDescent="0.25">
      <c r="P3557" s="7"/>
      <c r="Q3557" s="8"/>
      <c r="R3557" s="6"/>
      <c r="S3557" s="6"/>
    </row>
    <row r="3558" spans="16:19" x14ac:dyDescent="0.25">
      <c r="P3558" s="7"/>
      <c r="Q3558" s="8"/>
      <c r="R3558" s="6"/>
      <c r="S3558" s="6"/>
    </row>
    <row r="3559" spans="16:19" x14ac:dyDescent="0.25">
      <c r="P3559" s="7"/>
      <c r="Q3559" s="8"/>
      <c r="R3559" s="6"/>
      <c r="S3559" s="6"/>
    </row>
    <row r="3560" spans="16:19" x14ac:dyDescent="0.25">
      <c r="P3560" s="7"/>
      <c r="Q3560" s="8"/>
      <c r="R3560" s="6"/>
      <c r="S3560" s="6"/>
    </row>
    <row r="3561" spans="16:19" x14ac:dyDescent="0.25">
      <c r="P3561" s="7"/>
      <c r="Q3561" s="8"/>
      <c r="R3561" s="6"/>
      <c r="S3561" s="6"/>
    </row>
    <row r="3562" spans="16:19" x14ac:dyDescent="0.25">
      <c r="P3562" s="7"/>
      <c r="Q3562" s="8"/>
      <c r="R3562" s="6"/>
      <c r="S3562" s="6"/>
    </row>
    <row r="3563" spans="16:19" x14ac:dyDescent="0.25">
      <c r="P3563" s="7"/>
      <c r="Q3563" s="8"/>
      <c r="R3563" s="6"/>
      <c r="S3563" s="6"/>
    </row>
    <row r="3564" spans="16:19" x14ac:dyDescent="0.25">
      <c r="P3564" s="7"/>
      <c r="Q3564" s="8"/>
      <c r="R3564" s="6"/>
      <c r="S3564" s="6"/>
    </row>
    <row r="3565" spans="16:19" x14ac:dyDescent="0.25">
      <c r="P3565" s="7"/>
      <c r="Q3565" s="8"/>
      <c r="R3565" s="6"/>
      <c r="S3565" s="6"/>
    </row>
    <row r="3566" spans="16:19" x14ac:dyDescent="0.25">
      <c r="P3566" s="7"/>
      <c r="Q3566" s="8"/>
      <c r="R3566" s="6"/>
      <c r="S3566" s="6"/>
    </row>
    <row r="3567" spans="16:19" x14ac:dyDescent="0.25">
      <c r="P3567" s="7"/>
      <c r="Q3567" s="8"/>
      <c r="R3567" s="6"/>
      <c r="S3567" s="6"/>
    </row>
    <row r="3568" spans="16:19" x14ac:dyDescent="0.25">
      <c r="P3568" s="7"/>
      <c r="Q3568" s="8"/>
      <c r="R3568" s="6"/>
      <c r="S3568" s="6"/>
    </row>
    <row r="3569" spans="16:19" x14ac:dyDescent="0.25">
      <c r="P3569" s="7"/>
      <c r="Q3569" s="8"/>
      <c r="R3569" s="6"/>
      <c r="S3569" s="6"/>
    </row>
    <row r="3570" spans="16:19" x14ac:dyDescent="0.25">
      <c r="P3570" s="7"/>
      <c r="Q3570" s="8"/>
      <c r="R3570" s="6"/>
      <c r="S3570" s="6"/>
    </row>
    <row r="3571" spans="16:19" x14ac:dyDescent="0.25">
      <c r="P3571" s="7"/>
      <c r="Q3571" s="8"/>
      <c r="R3571" s="6"/>
      <c r="S3571" s="6"/>
    </row>
    <row r="3572" spans="16:19" x14ac:dyDescent="0.25">
      <c r="P3572" s="7"/>
      <c r="Q3572" s="8"/>
      <c r="R3572" s="6"/>
      <c r="S3572" s="6"/>
    </row>
    <row r="3573" spans="16:19" x14ac:dyDescent="0.25">
      <c r="P3573" s="7"/>
      <c r="Q3573" s="8"/>
      <c r="R3573" s="6"/>
      <c r="S3573" s="6"/>
    </row>
    <row r="3574" spans="16:19" x14ac:dyDescent="0.25">
      <c r="P3574" s="7"/>
      <c r="Q3574" s="8"/>
      <c r="R3574" s="6"/>
      <c r="S3574" s="6"/>
    </row>
    <row r="3575" spans="16:19" x14ac:dyDescent="0.25">
      <c r="P3575" s="7"/>
      <c r="Q3575" s="8"/>
      <c r="R3575" s="6"/>
      <c r="S3575" s="6"/>
    </row>
    <row r="3576" spans="16:19" x14ac:dyDescent="0.25">
      <c r="P3576" s="7"/>
      <c r="Q3576" s="8"/>
      <c r="R3576" s="6"/>
      <c r="S3576" s="6"/>
    </row>
    <row r="3577" spans="16:19" x14ac:dyDescent="0.25">
      <c r="P3577" s="7"/>
      <c r="Q3577" s="8"/>
      <c r="R3577" s="6"/>
      <c r="S3577" s="6"/>
    </row>
    <row r="3578" spans="16:19" x14ac:dyDescent="0.25">
      <c r="P3578" s="7"/>
      <c r="Q3578" s="8"/>
      <c r="R3578" s="6"/>
      <c r="S3578" s="6"/>
    </row>
    <row r="3579" spans="16:19" x14ac:dyDescent="0.25">
      <c r="P3579" s="7"/>
      <c r="Q3579" s="8"/>
      <c r="R3579" s="6"/>
      <c r="S3579" s="6"/>
    </row>
    <row r="3580" spans="16:19" x14ac:dyDescent="0.25">
      <c r="P3580" s="7"/>
      <c r="Q3580" s="8"/>
      <c r="R3580" s="6"/>
      <c r="S3580" s="6"/>
    </row>
    <row r="3581" spans="16:19" x14ac:dyDescent="0.25">
      <c r="P3581" s="7"/>
      <c r="Q3581" s="8"/>
      <c r="R3581" s="6"/>
      <c r="S3581" s="6"/>
    </row>
    <row r="3582" spans="16:19" x14ac:dyDescent="0.25">
      <c r="P3582" s="7"/>
      <c r="Q3582" s="8"/>
      <c r="R3582" s="6"/>
      <c r="S3582" s="6"/>
    </row>
    <row r="3583" spans="16:19" x14ac:dyDescent="0.25">
      <c r="P3583" s="7"/>
      <c r="Q3583" s="8"/>
      <c r="R3583" s="6"/>
      <c r="S3583" s="6"/>
    </row>
    <row r="3584" spans="16:19" x14ac:dyDescent="0.25">
      <c r="P3584" s="7"/>
      <c r="Q3584" s="8"/>
      <c r="R3584" s="6"/>
      <c r="S3584" s="6"/>
    </row>
    <row r="3585" spans="16:19" x14ac:dyDescent="0.25">
      <c r="P3585" s="7"/>
      <c r="Q3585" s="8"/>
      <c r="R3585" s="6"/>
      <c r="S3585" s="6"/>
    </row>
    <row r="3586" spans="16:19" x14ac:dyDescent="0.25">
      <c r="P3586" s="7"/>
      <c r="Q3586" s="8"/>
      <c r="R3586" s="6"/>
      <c r="S3586" s="6"/>
    </row>
    <row r="3587" spans="16:19" x14ac:dyDescent="0.25">
      <c r="P3587" s="7"/>
      <c r="Q3587" s="8"/>
      <c r="R3587" s="6"/>
      <c r="S3587" s="6"/>
    </row>
    <row r="3588" spans="16:19" x14ac:dyDescent="0.25">
      <c r="P3588" s="7"/>
      <c r="Q3588" s="8"/>
      <c r="R3588" s="6"/>
      <c r="S3588" s="6"/>
    </row>
    <row r="3589" spans="16:19" x14ac:dyDescent="0.25">
      <c r="P3589" s="7"/>
      <c r="Q3589" s="8"/>
      <c r="R3589" s="6"/>
      <c r="S3589" s="6"/>
    </row>
    <row r="3590" spans="16:19" x14ac:dyDescent="0.25">
      <c r="P3590" s="7"/>
      <c r="Q3590" s="8"/>
      <c r="R3590" s="6"/>
      <c r="S3590" s="6"/>
    </row>
    <row r="3591" spans="16:19" x14ac:dyDescent="0.25">
      <c r="P3591" s="7"/>
      <c r="Q3591" s="8"/>
      <c r="R3591" s="6"/>
      <c r="S3591" s="6"/>
    </row>
    <row r="3592" spans="16:19" x14ac:dyDescent="0.25">
      <c r="P3592" s="7"/>
      <c r="Q3592" s="8"/>
      <c r="R3592" s="6"/>
      <c r="S3592" s="6"/>
    </row>
    <row r="3593" spans="16:19" x14ac:dyDescent="0.25">
      <c r="P3593" s="7"/>
      <c r="Q3593" s="8"/>
      <c r="R3593" s="6"/>
      <c r="S3593" s="6"/>
    </row>
    <row r="3594" spans="16:19" x14ac:dyDescent="0.25">
      <c r="P3594" s="7"/>
      <c r="Q3594" s="8"/>
      <c r="R3594" s="6"/>
      <c r="S3594" s="6"/>
    </row>
    <row r="3595" spans="16:19" x14ac:dyDescent="0.25">
      <c r="P3595" s="7"/>
      <c r="Q3595" s="8"/>
      <c r="R3595" s="6"/>
      <c r="S3595" s="6"/>
    </row>
    <row r="3596" spans="16:19" x14ac:dyDescent="0.25">
      <c r="P3596" s="7"/>
      <c r="Q3596" s="8"/>
      <c r="R3596" s="6"/>
      <c r="S3596" s="6"/>
    </row>
    <row r="3597" spans="16:19" x14ac:dyDescent="0.25">
      <c r="P3597" s="7"/>
      <c r="Q3597" s="8"/>
      <c r="R3597" s="6"/>
      <c r="S3597" s="6"/>
    </row>
    <row r="3598" spans="16:19" x14ac:dyDescent="0.25">
      <c r="P3598" s="7"/>
      <c r="Q3598" s="8"/>
      <c r="R3598" s="6"/>
      <c r="S3598" s="6"/>
    </row>
    <row r="3599" spans="16:19" x14ac:dyDescent="0.25">
      <c r="P3599" s="7"/>
      <c r="Q3599" s="8"/>
      <c r="R3599" s="6"/>
      <c r="S3599" s="6"/>
    </row>
    <row r="3600" spans="16:19" x14ac:dyDescent="0.25">
      <c r="P3600" s="7"/>
      <c r="Q3600" s="8"/>
      <c r="R3600" s="6"/>
      <c r="S3600" s="6"/>
    </row>
    <row r="3601" spans="16:19" x14ac:dyDescent="0.25">
      <c r="P3601" s="7"/>
      <c r="Q3601" s="8"/>
      <c r="R3601" s="6"/>
      <c r="S3601" s="6"/>
    </row>
    <row r="3602" spans="16:19" x14ac:dyDescent="0.25">
      <c r="P3602" s="7"/>
      <c r="Q3602" s="8"/>
      <c r="R3602" s="6"/>
      <c r="S3602" s="6"/>
    </row>
    <row r="3603" spans="16:19" x14ac:dyDescent="0.25">
      <c r="P3603" s="7"/>
      <c r="Q3603" s="8"/>
      <c r="R3603" s="6"/>
      <c r="S3603" s="6"/>
    </row>
    <row r="3604" spans="16:19" x14ac:dyDescent="0.25">
      <c r="P3604" s="7"/>
      <c r="Q3604" s="8"/>
      <c r="R3604" s="6"/>
      <c r="S3604" s="6"/>
    </row>
    <row r="3605" spans="16:19" x14ac:dyDescent="0.25">
      <c r="P3605" s="7"/>
      <c r="Q3605" s="8"/>
      <c r="R3605" s="6"/>
      <c r="S3605" s="6"/>
    </row>
    <row r="3606" spans="16:19" x14ac:dyDescent="0.25">
      <c r="P3606" s="7"/>
      <c r="Q3606" s="8"/>
      <c r="R3606" s="6"/>
      <c r="S3606" s="6"/>
    </row>
    <row r="3607" spans="16:19" x14ac:dyDescent="0.25">
      <c r="P3607" s="7"/>
      <c r="Q3607" s="8"/>
      <c r="R3607" s="6"/>
      <c r="S3607" s="6"/>
    </row>
    <row r="3608" spans="16:19" x14ac:dyDescent="0.25">
      <c r="P3608" s="7"/>
      <c r="Q3608" s="8"/>
      <c r="R3608" s="6"/>
      <c r="S3608" s="6"/>
    </row>
    <row r="3609" spans="16:19" x14ac:dyDescent="0.25">
      <c r="P3609" s="7"/>
      <c r="Q3609" s="8"/>
      <c r="R3609" s="6"/>
      <c r="S3609" s="6"/>
    </row>
    <row r="3610" spans="16:19" x14ac:dyDescent="0.25">
      <c r="P3610" s="7"/>
      <c r="Q3610" s="8"/>
      <c r="R3610" s="6"/>
      <c r="S3610" s="6"/>
    </row>
    <row r="3611" spans="16:19" x14ac:dyDescent="0.25">
      <c r="P3611" s="7"/>
      <c r="Q3611" s="8"/>
      <c r="R3611" s="6"/>
      <c r="S3611" s="6"/>
    </row>
    <row r="3612" spans="16:19" x14ac:dyDescent="0.25">
      <c r="P3612" s="7"/>
      <c r="Q3612" s="8"/>
      <c r="R3612" s="6"/>
      <c r="S3612" s="6"/>
    </row>
    <row r="3613" spans="16:19" x14ac:dyDescent="0.25">
      <c r="P3613" s="7"/>
      <c r="Q3613" s="8"/>
      <c r="R3613" s="6"/>
      <c r="S3613" s="6"/>
    </row>
    <row r="3614" spans="16:19" x14ac:dyDescent="0.25">
      <c r="P3614" s="7"/>
      <c r="Q3614" s="8"/>
      <c r="R3614" s="6"/>
      <c r="S3614" s="6"/>
    </row>
    <row r="3615" spans="16:19" x14ac:dyDescent="0.25">
      <c r="P3615" s="7"/>
      <c r="Q3615" s="8"/>
      <c r="R3615" s="6"/>
      <c r="S3615" s="6"/>
    </row>
    <row r="3616" spans="16:19" x14ac:dyDescent="0.25">
      <c r="P3616" s="7"/>
      <c r="Q3616" s="8"/>
      <c r="R3616" s="6"/>
      <c r="S3616" s="6"/>
    </row>
    <row r="3617" spans="16:19" x14ac:dyDescent="0.25">
      <c r="P3617" s="7"/>
      <c r="Q3617" s="8"/>
      <c r="R3617" s="6"/>
      <c r="S3617" s="6"/>
    </row>
    <row r="3618" spans="16:19" x14ac:dyDescent="0.25">
      <c r="P3618" s="7"/>
      <c r="Q3618" s="8"/>
      <c r="R3618" s="6"/>
      <c r="S3618" s="6"/>
    </row>
    <row r="3619" spans="16:19" x14ac:dyDescent="0.25">
      <c r="P3619" s="7"/>
      <c r="Q3619" s="8"/>
      <c r="R3619" s="6"/>
      <c r="S3619" s="6"/>
    </row>
    <row r="3620" spans="16:19" x14ac:dyDescent="0.25">
      <c r="P3620" s="7"/>
      <c r="Q3620" s="8"/>
      <c r="R3620" s="6"/>
      <c r="S3620" s="6"/>
    </row>
    <row r="3621" spans="16:19" x14ac:dyDescent="0.25">
      <c r="P3621" s="7"/>
      <c r="Q3621" s="8"/>
      <c r="R3621" s="6"/>
      <c r="S3621" s="6"/>
    </row>
    <row r="3622" spans="16:19" x14ac:dyDescent="0.25">
      <c r="P3622" s="7"/>
      <c r="Q3622" s="8"/>
      <c r="R3622" s="6"/>
      <c r="S3622" s="6"/>
    </row>
    <row r="3623" spans="16:19" x14ac:dyDescent="0.25">
      <c r="P3623" s="7"/>
      <c r="Q3623" s="8"/>
      <c r="R3623" s="6"/>
      <c r="S3623" s="6"/>
    </row>
    <row r="3624" spans="16:19" x14ac:dyDescent="0.25">
      <c r="P3624" s="7"/>
      <c r="Q3624" s="8"/>
      <c r="R3624" s="6"/>
      <c r="S3624" s="6"/>
    </row>
    <row r="3625" spans="16:19" x14ac:dyDescent="0.25">
      <c r="P3625" s="7"/>
      <c r="Q3625" s="8"/>
      <c r="R3625" s="6"/>
      <c r="S3625" s="6"/>
    </row>
    <row r="3626" spans="16:19" x14ac:dyDescent="0.25">
      <c r="P3626" s="7"/>
      <c r="Q3626" s="8"/>
      <c r="R3626" s="6"/>
      <c r="S3626" s="6"/>
    </row>
    <row r="3627" spans="16:19" x14ac:dyDescent="0.25">
      <c r="P3627" s="7"/>
      <c r="Q3627" s="8"/>
      <c r="R3627" s="6"/>
      <c r="S3627" s="6"/>
    </row>
    <row r="3628" spans="16:19" x14ac:dyDescent="0.25">
      <c r="P3628" s="7"/>
      <c r="Q3628" s="8"/>
      <c r="R3628" s="6"/>
      <c r="S3628" s="6"/>
    </row>
    <row r="3629" spans="16:19" x14ac:dyDescent="0.25">
      <c r="P3629" s="7"/>
      <c r="Q3629" s="8"/>
      <c r="R3629" s="6"/>
      <c r="S3629" s="6"/>
    </row>
    <row r="3630" spans="16:19" x14ac:dyDescent="0.25">
      <c r="P3630" s="7"/>
      <c r="Q3630" s="8"/>
      <c r="R3630" s="6"/>
      <c r="S3630" s="6"/>
    </row>
    <row r="3631" spans="16:19" x14ac:dyDescent="0.25">
      <c r="P3631" s="7"/>
      <c r="Q3631" s="8"/>
      <c r="R3631" s="6"/>
      <c r="S3631" s="6"/>
    </row>
    <row r="3632" spans="16:19" x14ac:dyDescent="0.25">
      <c r="P3632" s="7"/>
      <c r="Q3632" s="8"/>
      <c r="R3632" s="6"/>
      <c r="S3632" s="6"/>
    </row>
    <row r="3633" spans="16:19" x14ac:dyDescent="0.25">
      <c r="P3633" s="7"/>
      <c r="Q3633" s="8"/>
      <c r="R3633" s="6"/>
      <c r="S3633" s="6"/>
    </row>
    <row r="3634" spans="16:19" x14ac:dyDescent="0.25">
      <c r="P3634" s="7"/>
      <c r="Q3634" s="8"/>
      <c r="R3634" s="6"/>
      <c r="S3634" s="6"/>
    </row>
    <row r="3635" spans="16:19" x14ac:dyDescent="0.25">
      <c r="P3635" s="7"/>
      <c r="Q3635" s="8"/>
      <c r="R3635" s="6"/>
      <c r="S3635" s="6"/>
    </row>
    <row r="3636" spans="16:19" x14ac:dyDescent="0.25">
      <c r="P3636" s="7"/>
      <c r="Q3636" s="8"/>
      <c r="R3636" s="6"/>
      <c r="S3636" s="6"/>
    </row>
    <row r="3637" spans="16:19" x14ac:dyDescent="0.25">
      <c r="P3637" s="7"/>
      <c r="Q3637" s="8"/>
      <c r="R3637" s="6"/>
      <c r="S3637" s="6"/>
    </row>
    <row r="3638" spans="16:19" x14ac:dyDescent="0.25">
      <c r="P3638" s="7"/>
      <c r="Q3638" s="8"/>
      <c r="R3638" s="6"/>
      <c r="S3638" s="6"/>
    </row>
    <row r="3639" spans="16:19" x14ac:dyDescent="0.25">
      <c r="P3639" s="7"/>
      <c r="Q3639" s="8"/>
      <c r="R3639" s="6"/>
      <c r="S3639" s="6"/>
    </row>
    <row r="3640" spans="16:19" x14ac:dyDescent="0.25">
      <c r="P3640" s="7"/>
      <c r="Q3640" s="8"/>
      <c r="R3640" s="6"/>
      <c r="S3640" s="6"/>
    </row>
    <row r="3641" spans="16:19" x14ac:dyDescent="0.25">
      <c r="P3641" s="7"/>
      <c r="Q3641" s="8"/>
      <c r="R3641" s="6"/>
      <c r="S3641" s="6"/>
    </row>
    <row r="3642" spans="16:19" x14ac:dyDescent="0.25">
      <c r="P3642" s="7"/>
      <c r="Q3642" s="8"/>
      <c r="R3642" s="6"/>
      <c r="S3642" s="6"/>
    </row>
    <row r="3643" spans="16:19" x14ac:dyDescent="0.25">
      <c r="P3643" s="7"/>
      <c r="Q3643" s="8"/>
      <c r="R3643" s="6"/>
      <c r="S3643" s="6"/>
    </row>
    <row r="3644" spans="16:19" x14ac:dyDescent="0.25">
      <c r="P3644" s="7"/>
      <c r="Q3644" s="8"/>
      <c r="R3644" s="6"/>
      <c r="S3644" s="6"/>
    </row>
    <row r="3645" spans="16:19" x14ac:dyDescent="0.25">
      <c r="P3645" s="7"/>
      <c r="Q3645" s="8"/>
      <c r="R3645" s="6"/>
      <c r="S3645" s="6"/>
    </row>
    <row r="3646" spans="16:19" x14ac:dyDescent="0.25">
      <c r="P3646" s="7"/>
      <c r="Q3646" s="8"/>
      <c r="R3646" s="6"/>
      <c r="S3646" s="6"/>
    </row>
    <row r="3647" spans="16:19" x14ac:dyDescent="0.25">
      <c r="P3647" s="7"/>
      <c r="Q3647" s="8"/>
      <c r="R3647" s="6"/>
      <c r="S3647" s="6"/>
    </row>
    <row r="3648" spans="16:19" x14ac:dyDescent="0.25">
      <c r="P3648" s="7"/>
      <c r="Q3648" s="8"/>
      <c r="R3648" s="6"/>
      <c r="S3648" s="6"/>
    </row>
    <row r="3649" spans="16:19" x14ac:dyDescent="0.25">
      <c r="P3649" s="7"/>
      <c r="Q3649" s="8"/>
      <c r="R3649" s="6"/>
      <c r="S3649" s="6"/>
    </row>
    <row r="3650" spans="16:19" x14ac:dyDescent="0.25">
      <c r="P3650" s="7"/>
      <c r="Q3650" s="8"/>
      <c r="R3650" s="6"/>
      <c r="S3650" s="6"/>
    </row>
    <row r="3651" spans="16:19" x14ac:dyDescent="0.25">
      <c r="P3651" s="7"/>
      <c r="Q3651" s="8"/>
      <c r="R3651" s="6"/>
      <c r="S3651" s="6"/>
    </row>
    <row r="3652" spans="16:19" x14ac:dyDescent="0.25">
      <c r="P3652" s="7"/>
      <c r="Q3652" s="8"/>
      <c r="R3652" s="6"/>
      <c r="S3652" s="6"/>
    </row>
    <row r="3653" spans="16:19" x14ac:dyDescent="0.25">
      <c r="P3653" s="7"/>
      <c r="Q3653" s="8"/>
      <c r="R3653" s="6"/>
      <c r="S3653" s="6"/>
    </row>
    <row r="3654" spans="16:19" x14ac:dyDescent="0.25">
      <c r="P3654" s="7"/>
      <c r="Q3654" s="8"/>
      <c r="R3654" s="6"/>
      <c r="S3654" s="6"/>
    </row>
    <row r="3655" spans="16:19" x14ac:dyDescent="0.25">
      <c r="P3655" s="7"/>
      <c r="Q3655" s="8"/>
      <c r="R3655" s="6"/>
      <c r="S3655" s="6"/>
    </row>
    <row r="3656" spans="16:19" x14ac:dyDescent="0.25">
      <c r="P3656" s="7"/>
      <c r="Q3656" s="8"/>
      <c r="R3656" s="6"/>
      <c r="S3656" s="6"/>
    </row>
    <row r="3657" spans="16:19" x14ac:dyDescent="0.25">
      <c r="P3657" s="7"/>
      <c r="Q3657" s="8"/>
      <c r="R3657" s="6"/>
      <c r="S3657" s="6"/>
    </row>
    <row r="3658" spans="16:19" x14ac:dyDescent="0.25">
      <c r="P3658" s="7"/>
      <c r="Q3658" s="8"/>
      <c r="R3658" s="6"/>
      <c r="S3658" s="6"/>
    </row>
    <row r="3659" spans="16:19" x14ac:dyDescent="0.25">
      <c r="P3659" s="7"/>
      <c r="Q3659" s="8"/>
      <c r="R3659" s="6"/>
      <c r="S3659" s="6"/>
    </row>
    <row r="3660" spans="16:19" x14ac:dyDescent="0.25">
      <c r="P3660" s="7"/>
      <c r="Q3660" s="8"/>
      <c r="R3660" s="6"/>
      <c r="S3660" s="6"/>
    </row>
    <row r="3661" spans="16:19" x14ac:dyDescent="0.25">
      <c r="P3661" s="7"/>
      <c r="Q3661" s="8"/>
      <c r="R3661" s="6"/>
      <c r="S3661" s="6"/>
    </row>
    <row r="3662" spans="16:19" x14ac:dyDescent="0.25">
      <c r="P3662" s="7"/>
      <c r="Q3662" s="8"/>
      <c r="R3662" s="6"/>
      <c r="S3662" s="6"/>
    </row>
    <row r="3663" spans="16:19" x14ac:dyDescent="0.25">
      <c r="P3663" s="7"/>
      <c r="Q3663" s="8"/>
      <c r="R3663" s="6"/>
      <c r="S3663" s="6"/>
    </row>
    <row r="3664" spans="16:19" x14ac:dyDescent="0.25">
      <c r="P3664" s="7"/>
      <c r="Q3664" s="8"/>
      <c r="R3664" s="6"/>
      <c r="S3664" s="6"/>
    </row>
    <row r="3665" spans="16:19" x14ac:dyDescent="0.25">
      <c r="P3665" s="7"/>
      <c r="Q3665" s="8"/>
      <c r="R3665" s="6"/>
      <c r="S3665" s="6"/>
    </row>
    <row r="3666" spans="16:19" x14ac:dyDescent="0.25">
      <c r="P3666" s="7"/>
      <c r="Q3666" s="8"/>
      <c r="R3666" s="6"/>
      <c r="S3666" s="6"/>
    </row>
    <row r="3667" spans="16:19" x14ac:dyDescent="0.25">
      <c r="P3667" s="7"/>
      <c r="Q3667" s="8"/>
      <c r="R3667" s="6"/>
      <c r="S3667" s="6"/>
    </row>
    <row r="3668" spans="16:19" x14ac:dyDescent="0.25">
      <c r="P3668" s="7"/>
      <c r="Q3668" s="8"/>
      <c r="R3668" s="6"/>
      <c r="S3668" s="6"/>
    </row>
    <row r="3669" spans="16:19" x14ac:dyDescent="0.25">
      <c r="P3669" s="7"/>
      <c r="Q3669" s="8"/>
      <c r="R3669" s="6"/>
      <c r="S3669" s="6"/>
    </row>
    <row r="3670" spans="16:19" x14ac:dyDescent="0.25">
      <c r="P3670" s="7"/>
      <c r="Q3670" s="8"/>
      <c r="R3670" s="6"/>
      <c r="S3670" s="6"/>
    </row>
    <row r="3671" spans="16:19" x14ac:dyDescent="0.25">
      <c r="P3671" s="7"/>
      <c r="Q3671" s="8"/>
      <c r="R3671" s="6"/>
      <c r="S3671" s="6"/>
    </row>
    <row r="3672" spans="16:19" x14ac:dyDescent="0.25">
      <c r="P3672" s="7"/>
      <c r="Q3672" s="8"/>
      <c r="R3672" s="6"/>
      <c r="S3672" s="6"/>
    </row>
    <row r="3673" spans="16:19" x14ac:dyDescent="0.25">
      <c r="P3673" s="7"/>
      <c r="Q3673" s="8"/>
      <c r="R3673" s="6"/>
      <c r="S3673" s="6"/>
    </row>
    <row r="3674" spans="16:19" x14ac:dyDescent="0.25">
      <c r="P3674" s="7"/>
      <c r="Q3674" s="8"/>
      <c r="R3674" s="6"/>
      <c r="S3674" s="6"/>
    </row>
    <row r="3675" spans="16:19" x14ac:dyDescent="0.25">
      <c r="P3675" s="7"/>
      <c r="Q3675" s="8"/>
      <c r="R3675" s="6"/>
      <c r="S3675" s="6"/>
    </row>
    <row r="3676" spans="16:19" x14ac:dyDescent="0.25">
      <c r="P3676" s="7"/>
      <c r="Q3676" s="8"/>
      <c r="R3676" s="6"/>
      <c r="S3676" s="6"/>
    </row>
    <row r="3677" spans="16:19" x14ac:dyDescent="0.25">
      <c r="P3677" s="7"/>
      <c r="Q3677" s="8"/>
      <c r="R3677" s="6"/>
      <c r="S3677" s="6"/>
    </row>
    <row r="3678" spans="16:19" x14ac:dyDescent="0.25">
      <c r="P3678" s="7"/>
      <c r="Q3678" s="8"/>
      <c r="R3678" s="6"/>
      <c r="S3678" s="6"/>
    </row>
    <row r="3679" spans="16:19" x14ac:dyDescent="0.25">
      <c r="P3679" s="7"/>
      <c r="Q3679" s="8"/>
      <c r="R3679" s="6"/>
      <c r="S3679" s="6"/>
    </row>
    <row r="3680" spans="16:19" x14ac:dyDescent="0.25">
      <c r="P3680" s="7"/>
      <c r="Q3680" s="8"/>
      <c r="R3680" s="6"/>
      <c r="S3680" s="6"/>
    </row>
    <row r="3681" spans="16:19" x14ac:dyDescent="0.25">
      <c r="P3681" s="7"/>
      <c r="Q3681" s="8"/>
      <c r="R3681" s="6"/>
      <c r="S3681" s="6"/>
    </row>
    <row r="3682" spans="16:19" x14ac:dyDescent="0.25">
      <c r="P3682" s="7"/>
      <c r="Q3682" s="8"/>
      <c r="R3682" s="6"/>
      <c r="S3682" s="6"/>
    </row>
    <row r="3683" spans="16:19" x14ac:dyDescent="0.25">
      <c r="P3683" s="7"/>
      <c r="Q3683" s="8"/>
      <c r="R3683" s="6"/>
      <c r="S3683" s="6"/>
    </row>
    <row r="3684" spans="16:19" x14ac:dyDescent="0.25">
      <c r="P3684" s="7"/>
      <c r="Q3684" s="8"/>
      <c r="R3684" s="6"/>
      <c r="S3684" s="6"/>
    </row>
    <row r="3685" spans="16:19" x14ac:dyDescent="0.25">
      <c r="P3685" s="7"/>
      <c r="Q3685" s="8"/>
      <c r="R3685" s="6"/>
      <c r="S3685" s="6"/>
    </row>
    <row r="3686" spans="16:19" x14ac:dyDescent="0.25">
      <c r="P3686" s="7"/>
      <c r="Q3686" s="8"/>
      <c r="R3686" s="6"/>
      <c r="S3686" s="6"/>
    </row>
    <row r="3687" spans="16:19" x14ac:dyDescent="0.25">
      <c r="P3687" s="7"/>
      <c r="Q3687" s="8"/>
      <c r="R3687" s="6"/>
      <c r="S3687" s="6"/>
    </row>
    <row r="3688" spans="16:19" x14ac:dyDescent="0.25">
      <c r="P3688" s="7"/>
      <c r="Q3688" s="8"/>
      <c r="R3688" s="6"/>
      <c r="S3688" s="6"/>
    </row>
    <row r="3689" spans="16:19" x14ac:dyDescent="0.25">
      <c r="P3689" s="7"/>
      <c r="Q3689" s="8"/>
      <c r="R3689" s="6"/>
      <c r="S3689" s="6"/>
    </row>
    <row r="3690" spans="16:19" x14ac:dyDescent="0.25">
      <c r="P3690" s="7"/>
      <c r="Q3690" s="8"/>
      <c r="R3690" s="6"/>
      <c r="S3690" s="6"/>
    </row>
    <row r="3691" spans="16:19" x14ac:dyDescent="0.25">
      <c r="P3691" s="7"/>
      <c r="Q3691" s="8"/>
      <c r="R3691" s="6"/>
      <c r="S3691" s="6"/>
    </row>
    <row r="3692" spans="16:19" x14ac:dyDescent="0.25">
      <c r="P3692" s="7"/>
      <c r="Q3692" s="8"/>
      <c r="R3692" s="6"/>
      <c r="S3692" s="6"/>
    </row>
    <row r="3693" spans="16:19" x14ac:dyDescent="0.25">
      <c r="P3693" s="7"/>
      <c r="Q3693" s="8"/>
      <c r="R3693" s="6"/>
      <c r="S3693" s="6"/>
    </row>
    <row r="3694" spans="16:19" x14ac:dyDescent="0.25">
      <c r="P3694" s="7"/>
      <c r="Q3694" s="8"/>
      <c r="R3694" s="6"/>
      <c r="S3694" s="6"/>
    </row>
    <row r="3695" spans="16:19" x14ac:dyDescent="0.25">
      <c r="P3695" s="7"/>
      <c r="Q3695" s="8"/>
      <c r="R3695" s="6"/>
      <c r="S3695" s="6"/>
    </row>
    <row r="3696" spans="16:19" x14ac:dyDescent="0.25">
      <c r="P3696" s="7"/>
      <c r="Q3696" s="8"/>
      <c r="R3696" s="6"/>
      <c r="S3696" s="6"/>
    </row>
    <row r="3697" spans="16:19" x14ac:dyDescent="0.25">
      <c r="P3697" s="7"/>
      <c r="Q3697" s="8"/>
      <c r="R3697" s="6"/>
      <c r="S3697" s="6"/>
    </row>
    <row r="3698" spans="16:19" x14ac:dyDescent="0.25">
      <c r="P3698" s="7"/>
      <c r="Q3698" s="8"/>
      <c r="R3698" s="6"/>
      <c r="S3698" s="6"/>
    </row>
    <row r="3699" spans="16:19" x14ac:dyDescent="0.25">
      <c r="P3699" s="7"/>
      <c r="Q3699" s="8"/>
      <c r="R3699" s="6"/>
      <c r="S3699" s="6"/>
    </row>
    <row r="3700" spans="16:19" x14ac:dyDescent="0.25">
      <c r="P3700" s="7"/>
      <c r="Q3700" s="8"/>
      <c r="R3700" s="6"/>
      <c r="S3700" s="6"/>
    </row>
    <row r="3701" spans="16:19" x14ac:dyDescent="0.25">
      <c r="P3701" s="7"/>
      <c r="Q3701" s="8"/>
      <c r="R3701" s="6"/>
      <c r="S3701" s="6"/>
    </row>
    <row r="3702" spans="16:19" x14ac:dyDescent="0.25">
      <c r="P3702" s="7"/>
      <c r="Q3702" s="8"/>
      <c r="R3702" s="6"/>
      <c r="S3702" s="6"/>
    </row>
    <row r="3703" spans="16:19" x14ac:dyDescent="0.25">
      <c r="P3703" s="7"/>
      <c r="Q3703" s="8"/>
      <c r="R3703" s="6"/>
      <c r="S3703" s="6"/>
    </row>
    <row r="3704" spans="16:19" x14ac:dyDescent="0.25">
      <c r="P3704" s="7"/>
      <c r="Q3704" s="8"/>
      <c r="R3704" s="6"/>
      <c r="S3704" s="6"/>
    </row>
    <row r="3705" spans="16:19" x14ac:dyDescent="0.25">
      <c r="P3705" s="7"/>
      <c r="Q3705" s="8"/>
      <c r="R3705" s="6"/>
      <c r="S3705" s="6"/>
    </row>
    <row r="3706" spans="16:19" x14ac:dyDescent="0.25">
      <c r="P3706" s="7"/>
      <c r="Q3706" s="8"/>
      <c r="R3706" s="6"/>
      <c r="S3706" s="6"/>
    </row>
    <row r="3707" spans="16:19" x14ac:dyDescent="0.25">
      <c r="P3707" s="7"/>
      <c r="Q3707" s="8"/>
      <c r="R3707" s="6"/>
      <c r="S3707" s="6"/>
    </row>
    <row r="3708" spans="16:19" x14ac:dyDescent="0.25">
      <c r="P3708" s="7"/>
      <c r="Q3708" s="8"/>
      <c r="R3708" s="6"/>
      <c r="S3708" s="6"/>
    </row>
    <row r="3709" spans="16:19" x14ac:dyDescent="0.25">
      <c r="P3709" s="7"/>
      <c r="Q3709" s="8"/>
      <c r="R3709" s="6"/>
      <c r="S3709" s="6"/>
    </row>
    <row r="3710" spans="16:19" x14ac:dyDescent="0.25">
      <c r="P3710" s="7"/>
      <c r="Q3710" s="8"/>
      <c r="R3710" s="6"/>
      <c r="S3710" s="6"/>
    </row>
    <row r="3711" spans="16:19" x14ac:dyDescent="0.25">
      <c r="P3711" s="7"/>
      <c r="Q3711" s="8"/>
      <c r="R3711" s="6"/>
      <c r="S3711" s="6"/>
    </row>
    <row r="3712" spans="16:19" x14ac:dyDescent="0.25">
      <c r="P3712" s="7"/>
      <c r="Q3712" s="8"/>
      <c r="R3712" s="6"/>
      <c r="S3712" s="6"/>
    </row>
    <row r="3713" spans="16:19" x14ac:dyDescent="0.25">
      <c r="P3713" s="7"/>
      <c r="Q3713" s="8"/>
      <c r="R3713" s="6"/>
      <c r="S3713" s="6"/>
    </row>
    <row r="3714" spans="16:19" x14ac:dyDescent="0.25">
      <c r="P3714" s="7"/>
      <c r="Q3714" s="8"/>
      <c r="R3714" s="6"/>
      <c r="S3714" s="6"/>
    </row>
    <row r="3715" spans="16:19" x14ac:dyDescent="0.25">
      <c r="P3715" s="7"/>
      <c r="Q3715" s="8"/>
      <c r="R3715" s="6"/>
      <c r="S3715" s="6"/>
    </row>
    <row r="3716" spans="16:19" x14ac:dyDescent="0.25">
      <c r="P3716" s="7"/>
      <c r="Q3716" s="8"/>
      <c r="R3716" s="6"/>
      <c r="S3716" s="6"/>
    </row>
    <row r="3717" spans="16:19" x14ac:dyDescent="0.25">
      <c r="P3717" s="7"/>
      <c r="Q3717" s="8"/>
      <c r="R3717" s="6"/>
      <c r="S3717" s="6"/>
    </row>
    <row r="3718" spans="16:19" x14ac:dyDescent="0.25">
      <c r="P3718" s="7"/>
      <c r="Q3718" s="8"/>
      <c r="R3718" s="6"/>
      <c r="S3718" s="6"/>
    </row>
    <row r="3719" spans="16:19" x14ac:dyDescent="0.25">
      <c r="P3719" s="7"/>
      <c r="Q3719" s="8"/>
      <c r="R3719" s="6"/>
      <c r="S3719" s="6"/>
    </row>
    <row r="3720" spans="16:19" x14ac:dyDescent="0.25">
      <c r="P3720" s="7"/>
      <c r="Q3720" s="8"/>
      <c r="R3720" s="6"/>
      <c r="S3720" s="6"/>
    </row>
    <row r="3721" spans="16:19" x14ac:dyDescent="0.25">
      <c r="P3721" s="7"/>
      <c r="Q3721" s="8"/>
      <c r="R3721" s="6"/>
      <c r="S3721" s="6"/>
    </row>
    <row r="3722" spans="16:19" x14ac:dyDescent="0.25">
      <c r="P3722" s="7"/>
      <c r="Q3722" s="8"/>
      <c r="R3722" s="6"/>
      <c r="S3722" s="6"/>
    </row>
    <row r="3723" spans="16:19" x14ac:dyDescent="0.25">
      <c r="P3723" s="7"/>
      <c r="Q3723" s="8"/>
      <c r="R3723" s="6"/>
      <c r="S3723" s="6"/>
    </row>
    <row r="3724" spans="16:19" x14ac:dyDescent="0.25">
      <c r="P3724" s="7"/>
      <c r="Q3724" s="8"/>
      <c r="R3724" s="6"/>
      <c r="S3724" s="6"/>
    </row>
    <row r="3725" spans="16:19" x14ac:dyDescent="0.25">
      <c r="P3725" s="7"/>
      <c r="Q3725" s="8"/>
      <c r="R3725" s="6"/>
      <c r="S3725" s="6"/>
    </row>
    <row r="3726" spans="16:19" x14ac:dyDescent="0.25">
      <c r="P3726" s="7"/>
      <c r="Q3726" s="8"/>
      <c r="R3726" s="6"/>
      <c r="S3726" s="6"/>
    </row>
    <row r="3727" spans="16:19" x14ac:dyDescent="0.25">
      <c r="P3727" s="7"/>
      <c r="Q3727" s="8"/>
      <c r="R3727" s="6"/>
      <c r="S3727" s="6"/>
    </row>
    <row r="3728" spans="16:19" x14ac:dyDescent="0.25">
      <c r="P3728" s="7"/>
      <c r="Q3728" s="8"/>
      <c r="R3728" s="6"/>
      <c r="S3728" s="6"/>
    </row>
    <row r="3729" spans="16:19" x14ac:dyDescent="0.25">
      <c r="P3729" s="7"/>
      <c r="Q3729" s="8"/>
      <c r="R3729" s="6"/>
      <c r="S3729" s="6"/>
    </row>
    <row r="3730" spans="16:19" x14ac:dyDescent="0.25">
      <c r="P3730" s="7"/>
      <c r="Q3730" s="8"/>
      <c r="R3730" s="6"/>
      <c r="S3730" s="6"/>
    </row>
    <row r="3731" spans="16:19" x14ac:dyDescent="0.25">
      <c r="P3731" s="7"/>
      <c r="Q3731" s="8"/>
      <c r="R3731" s="6"/>
      <c r="S3731" s="6"/>
    </row>
    <row r="3732" spans="16:19" x14ac:dyDescent="0.25">
      <c r="P3732" s="7"/>
      <c r="Q3732" s="8"/>
      <c r="R3732" s="6"/>
      <c r="S3732" s="6"/>
    </row>
    <row r="3733" spans="16:19" x14ac:dyDescent="0.25">
      <c r="P3733" s="7"/>
      <c r="Q3733" s="8"/>
      <c r="R3733" s="6"/>
      <c r="S3733" s="6"/>
    </row>
    <row r="3734" spans="16:19" x14ac:dyDescent="0.25">
      <c r="P3734" s="7"/>
      <c r="Q3734" s="8"/>
      <c r="R3734" s="6"/>
      <c r="S3734" s="6"/>
    </row>
    <row r="3735" spans="16:19" x14ac:dyDescent="0.25">
      <c r="P3735" s="7"/>
      <c r="Q3735" s="8"/>
      <c r="R3735" s="6"/>
      <c r="S3735" s="6"/>
    </row>
    <row r="3736" spans="16:19" x14ac:dyDescent="0.25">
      <c r="P3736" s="7"/>
      <c r="Q3736" s="8"/>
      <c r="R3736" s="6"/>
      <c r="S3736" s="6"/>
    </row>
    <row r="3737" spans="16:19" x14ac:dyDescent="0.25">
      <c r="P3737" s="7"/>
      <c r="Q3737" s="8"/>
      <c r="R3737" s="6"/>
      <c r="S3737" s="6"/>
    </row>
    <row r="3738" spans="16:19" x14ac:dyDescent="0.25">
      <c r="P3738" s="7"/>
      <c r="Q3738" s="8"/>
      <c r="R3738" s="6"/>
      <c r="S3738" s="6"/>
    </row>
    <row r="3739" spans="16:19" x14ac:dyDescent="0.25">
      <c r="P3739" s="7"/>
      <c r="Q3739" s="8"/>
      <c r="R3739" s="6"/>
      <c r="S3739" s="6"/>
    </row>
    <row r="3740" spans="16:19" x14ac:dyDescent="0.25">
      <c r="P3740" s="7"/>
      <c r="Q3740" s="8"/>
      <c r="R3740" s="6"/>
      <c r="S3740" s="6"/>
    </row>
    <row r="3741" spans="16:19" x14ac:dyDescent="0.25">
      <c r="P3741" s="7"/>
      <c r="Q3741" s="8"/>
      <c r="R3741" s="6"/>
      <c r="S3741" s="6"/>
    </row>
    <row r="3742" spans="16:19" x14ac:dyDescent="0.25">
      <c r="P3742" s="7"/>
      <c r="Q3742" s="8"/>
      <c r="R3742" s="6"/>
      <c r="S3742" s="6"/>
    </row>
    <row r="3743" spans="16:19" x14ac:dyDescent="0.25">
      <c r="P3743" s="7"/>
      <c r="Q3743" s="8"/>
      <c r="R3743" s="6"/>
      <c r="S3743" s="6"/>
    </row>
    <row r="3744" spans="16:19" x14ac:dyDescent="0.25">
      <c r="P3744" s="7"/>
      <c r="Q3744" s="8"/>
      <c r="R3744" s="6"/>
      <c r="S3744" s="6"/>
    </row>
    <row r="3745" spans="16:19" x14ac:dyDescent="0.25">
      <c r="P3745" s="7"/>
      <c r="Q3745" s="8"/>
      <c r="R3745" s="6"/>
      <c r="S3745" s="6"/>
    </row>
    <row r="3746" spans="16:19" x14ac:dyDescent="0.25">
      <c r="P3746" s="7"/>
      <c r="Q3746" s="8"/>
      <c r="R3746" s="6"/>
      <c r="S3746" s="6"/>
    </row>
    <row r="3747" spans="16:19" x14ac:dyDescent="0.25">
      <c r="P3747" s="7"/>
      <c r="Q3747" s="8"/>
      <c r="R3747" s="6"/>
      <c r="S3747" s="6"/>
    </row>
    <row r="3748" spans="16:19" x14ac:dyDescent="0.25">
      <c r="P3748" s="7"/>
      <c r="Q3748" s="8"/>
      <c r="R3748" s="6"/>
      <c r="S3748" s="6"/>
    </row>
    <row r="3749" spans="16:19" x14ac:dyDescent="0.25">
      <c r="P3749" s="7"/>
      <c r="Q3749" s="8"/>
      <c r="R3749" s="6"/>
      <c r="S3749" s="6"/>
    </row>
    <row r="3750" spans="16:19" x14ac:dyDescent="0.25">
      <c r="P3750" s="7"/>
      <c r="Q3750" s="8"/>
      <c r="R3750" s="6"/>
      <c r="S3750" s="6"/>
    </row>
    <row r="3751" spans="16:19" x14ac:dyDescent="0.25">
      <c r="P3751" s="7"/>
      <c r="Q3751" s="8"/>
      <c r="R3751" s="6"/>
      <c r="S3751" s="6"/>
    </row>
    <row r="3752" spans="16:19" x14ac:dyDescent="0.25">
      <c r="P3752" s="7"/>
      <c r="Q3752" s="8"/>
      <c r="R3752" s="6"/>
      <c r="S3752" s="6"/>
    </row>
    <row r="3753" spans="16:19" x14ac:dyDescent="0.25">
      <c r="P3753" s="7"/>
      <c r="Q3753" s="8"/>
      <c r="R3753" s="6"/>
      <c r="S3753" s="6"/>
    </row>
    <row r="3754" spans="16:19" x14ac:dyDescent="0.25">
      <c r="P3754" s="7"/>
      <c r="Q3754" s="8"/>
      <c r="R3754" s="6"/>
      <c r="S3754" s="6"/>
    </row>
    <row r="3755" spans="16:19" x14ac:dyDescent="0.25">
      <c r="P3755" s="7"/>
      <c r="Q3755" s="8"/>
      <c r="R3755" s="6"/>
      <c r="S3755" s="6"/>
    </row>
    <row r="3756" spans="16:19" x14ac:dyDescent="0.25">
      <c r="P3756" s="7"/>
      <c r="Q3756" s="8"/>
      <c r="R3756" s="6"/>
      <c r="S3756" s="6"/>
    </row>
    <row r="3757" spans="16:19" x14ac:dyDescent="0.25">
      <c r="P3757" s="7"/>
      <c r="Q3757" s="8"/>
      <c r="R3757" s="6"/>
      <c r="S3757" s="6"/>
    </row>
    <row r="3758" spans="16:19" x14ac:dyDescent="0.25">
      <c r="P3758" s="7"/>
      <c r="Q3758" s="8"/>
      <c r="R3758" s="6"/>
      <c r="S3758" s="6"/>
    </row>
    <row r="3759" spans="16:19" x14ac:dyDescent="0.25">
      <c r="P3759" s="7"/>
      <c r="Q3759" s="8"/>
      <c r="R3759" s="6"/>
      <c r="S3759" s="6"/>
    </row>
    <row r="3760" spans="16:19" x14ac:dyDescent="0.25">
      <c r="P3760" s="7"/>
      <c r="Q3760" s="8"/>
      <c r="R3760" s="6"/>
      <c r="S3760" s="6"/>
    </row>
    <row r="3761" spans="16:19" x14ac:dyDescent="0.25">
      <c r="P3761" s="7"/>
      <c r="Q3761" s="8"/>
      <c r="R3761" s="6"/>
      <c r="S3761" s="6"/>
    </row>
    <row r="3762" spans="16:19" x14ac:dyDescent="0.25">
      <c r="P3762" s="7"/>
      <c r="Q3762" s="8"/>
      <c r="R3762" s="6"/>
      <c r="S3762" s="6"/>
    </row>
    <row r="3763" spans="16:19" x14ac:dyDescent="0.25">
      <c r="P3763" s="7"/>
      <c r="Q3763" s="8"/>
      <c r="R3763" s="6"/>
      <c r="S3763" s="6"/>
    </row>
    <row r="3764" spans="16:19" x14ac:dyDescent="0.25">
      <c r="P3764" s="7"/>
      <c r="Q3764" s="8"/>
      <c r="R3764" s="6"/>
      <c r="S3764" s="6"/>
    </row>
    <row r="3765" spans="16:19" x14ac:dyDescent="0.25">
      <c r="P3765" s="7"/>
      <c r="Q3765" s="8"/>
      <c r="R3765" s="6"/>
      <c r="S3765" s="6"/>
    </row>
    <row r="3766" spans="16:19" x14ac:dyDescent="0.25">
      <c r="P3766" s="7"/>
      <c r="Q3766" s="8"/>
      <c r="R3766" s="6"/>
      <c r="S3766" s="6"/>
    </row>
    <row r="3767" spans="16:19" x14ac:dyDescent="0.25">
      <c r="P3767" s="7"/>
      <c r="Q3767" s="8"/>
      <c r="R3767" s="6"/>
      <c r="S3767" s="6"/>
    </row>
    <row r="3768" spans="16:19" x14ac:dyDescent="0.25">
      <c r="P3768" s="7"/>
      <c r="Q3768" s="8"/>
      <c r="R3768" s="6"/>
      <c r="S3768" s="6"/>
    </row>
    <row r="3769" spans="16:19" x14ac:dyDescent="0.25">
      <c r="P3769" s="7"/>
      <c r="Q3769" s="8"/>
      <c r="R3769" s="6"/>
      <c r="S3769" s="6"/>
    </row>
    <row r="3770" spans="16:19" x14ac:dyDescent="0.25">
      <c r="P3770" s="7"/>
      <c r="Q3770" s="8"/>
      <c r="R3770" s="6"/>
      <c r="S3770" s="6"/>
    </row>
    <row r="3771" spans="16:19" x14ac:dyDescent="0.25">
      <c r="P3771" s="7"/>
      <c r="Q3771" s="8"/>
      <c r="R3771" s="6"/>
      <c r="S3771" s="6"/>
    </row>
    <row r="3772" spans="16:19" x14ac:dyDescent="0.25">
      <c r="P3772" s="7"/>
      <c r="Q3772" s="8"/>
      <c r="R3772" s="6"/>
      <c r="S3772" s="6"/>
    </row>
    <row r="3773" spans="16:19" x14ac:dyDescent="0.25">
      <c r="P3773" s="7"/>
      <c r="Q3773" s="8"/>
      <c r="R3773" s="6"/>
      <c r="S3773" s="6"/>
    </row>
    <row r="3774" spans="16:19" x14ac:dyDescent="0.25">
      <c r="P3774" s="7"/>
      <c r="Q3774" s="8"/>
      <c r="R3774" s="6"/>
      <c r="S3774" s="6"/>
    </row>
    <row r="3775" spans="16:19" x14ac:dyDescent="0.25">
      <c r="P3775" s="7"/>
      <c r="Q3775" s="8"/>
      <c r="R3775" s="6"/>
      <c r="S3775" s="6"/>
    </row>
    <row r="3776" spans="16:19" x14ac:dyDescent="0.25">
      <c r="P3776" s="7"/>
      <c r="Q3776" s="8"/>
      <c r="R3776" s="6"/>
      <c r="S3776" s="6"/>
    </row>
    <row r="3777" spans="16:19" x14ac:dyDescent="0.25">
      <c r="P3777" s="7"/>
      <c r="Q3777" s="8"/>
      <c r="R3777" s="6"/>
      <c r="S3777" s="6"/>
    </row>
    <row r="3778" spans="16:19" x14ac:dyDescent="0.25">
      <c r="P3778" s="7"/>
      <c r="Q3778" s="8"/>
      <c r="R3778" s="6"/>
      <c r="S3778" s="6"/>
    </row>
    <row r="3779" spans="16:19" x14ac:dyDescent="0.25">
      <c r="P3779" s="7"/>
      <c r="Q3779" s="8"/>
      <c r="R3779" s="6"/>
      <c r="S3779" s="6"/>
    </row>
    <row r="3780" spans="16:19" x14ac:dyDescent="0.25">
      <c r="P3780" s="7"/>
      <c r="Q3780" s="8"/>
      <c r="R3780" s="6"/>
      <c r="S3780" s="6"/>
    </row>
    <row r="3781" spans="16:19" x14ac:dyDescent="0.25">
      <c r="P3781" s="7"/>
      <c r="Q3781" s="8"/>
      <c r="R3781" s="6"/>
      <c r="S3781" s="6"/>
    </row>
    <row r="3782" spans="16:19" x14ac:dyDescent="0.25">
      <c r="P3782" s="7"/>
      <c r="Q3782" s="8"/>
      <c r="R3782" s="6"/>
      <c r="S3782" s="6"/>
    </row>
    <row r="3783" spans="16:19" x14ac:dyDescent="0.25">
      <c r="P3783" s="7"/>
      <c r="Q3783" s="8"/>
      <c r="R3783" s="6"/>
      <c r="S3783" s="6"/>
    </row>
    <row r="3784" spans="16:19" x14ac:dyDescent="0.25">
      <c r="P3784" s="7"/>
      <c r="Q3784" s="8"/>
      <c r="R3784" s="6"/>
      <c r="S3784" s="6"/>
    </row>
    <row r="3785" spans="16:19" x14ac:dyDescent="0.25">
      <c r="P3785" s="7"/>
      <c r="Q3785" s="8"/>
      <c r="R3785" s="6"/>
      <c r="S3785" s="6"/>
    </row>
    <row r="3786" spans="16:19" x14ac:dyDescent="0.25">
      <c r="P3786" s="7"/>
      <c r="Q3786" s="8"/>
      <c r="R3786" s="6"/>
      <c r="S3786" s="6"/>
    </row>
    <row r="3787" spans="16:19" x14ac:dyDescent="0.25">
      <c r="P3787" s="7"/>
      <c r="Q3787" s="8"/>
      <c r="R3787" s="6"/>
      <c r="S3787" s="6"/>
    </row>
    <row r="3788" spans="16:19" x14ac:dyDescent="0.25">
      <c r="P3788" s="7"/>
      <c r="Q3788" s="8"/>
      <c r="R3788" s="6"/>
      <c r="S3788" s="6"/>
    </row>
    <row r="3789" spans="16:19" x14ac:dyDescent="0.25">
      <c r="P3789" s="7"/>
      <c r="Q3789" s="8"/>
      <c r="R3789" s="6"/>
      <c r="S3789" s="6"/>
    </row>
    <row r="3790" spans="16:19" x14ac:dyDescent="0.25">
      <c r="P3790" s="7"/>
      <c r="Q3790" s="8"/>
      <c r="R3790" s="6"/>
      <c r="S3790" s="6"/>
    </row>
    <row r="3791" spans="16:19" x14ac:dyDescent="0.25">
      <c r="P3791" s="7"/>
      <c r="Q3791" s="8"/>
      <c r="R3791" s="6"/>
      <c r="S3791" s="6"/>
    </row>
    <row r="3792" spans="16:19" x14ac:dyDescent="0.25">
      <c r="P3792" s="7"/>
      <c r="Q3792" s="8"/>
      <c r="R3792" s="6"/>
      <c r="S3792" s="6"/>
    </row>
    <row r="3793" spans="16:19" x14ac:dyDescent="0.25">
      <c r="P3793" s="7"/>
      <c r="Q3793" s="8"/>
      <c r="R3793" s="6"/>
      <c r="S3793" s="6"/>
    </row>
    <row r="3794" spans="16:19" x14ac:dyDescent="0.25">
      <c r="P3794" s="7"/>
      <c r="Q3794" s="8"/>
      <c r="R3794" s="6"/>
      <c r="S3794" s="6"/>
    </row>
    <row r="3795" spans="16:19" x14ac:dyDescent="0.25">
      <c r="P3795" s="7"/>
      <c r="Q3795" s="8"/>
      <c r="R3795" s="6"/>
      <c r="S3795" s="6"/>
    </row>
    <row r="3796" spans="16:19" x14ac:dyDescent="0.25">
      <c r="P3796" s="7"/>
      <c r="Q3796" s="8"/>
      <c r="R3796" s="6"/>
      <c r="S3796" s="6"/>
    </row>
    <row r="3797" spans="16:19" x14ac:dyDescent="0.25">
      <c r="P3797" s="7"/>
      <c r="Q3797" s="8"/>
      <c r="R3797" s="6"/>
      <c r="S3797" s="6"/>
    </row>
    <row r="3798" spans="16:19" x14ac:dyDescent="0.25">
      <c r="P3798" s="7"/>
      <c r="Q3798" s="8"/>
      <c r="R3798" s="6"/>
      <c r="S3798" s="6"/>
    </row>
    <row r="3799" spans="16:19" x14ac:dyDescent="0.25">
      <c r="P3799" s="7"/>
      <c r="Q3799" s="8"/>
      <c r="R3799" s="6"/>
      <c r="S3799" s="6"/>
    </row>
    <row r="3800" spans="16:19" x14ac:dyDescent="0.25">
      <c r="P3800" s="7"/>
      <c r="Q3800" s="8"/>
      <c r="R3800" s="6"/>
      <c r="S3800" s="6"/>
    </row>
    <row r="3801" spans="16:19" x14ac:dyDescent="0.25">
      <c r="P3801" s="7"/>
      <c r="Q3801" s="8"/>
      <c r="R3801" s="6"/>
      <c r="S3801" s="6"/>
    </row>
    <row r="3802" spans="16:19" x14ac:dyDescent="0.25">
      <c r="P3802" s="7"/>
      <c r="Q3802" s="8"/>
      <c r="R3802" s="6"/>
      <c r="S3802" s="6"/>
    </row>
    <row r="3803" spans="16:19" x14ac:dyDescent="0.25">
      <c r="P3803" s="7"/>
      <c r="Q3803" s="8"/>
      <c r="R3803" s="6"/>
      <c r="S3803" s="6"/>
    </row>
    <row r="3804" spans="16:19" x14ac:dyDescent="0.25">
      <c r="P3804" s="7"/>
      <c r="Q3804" s="8"/>
      <c r="R3804" s="6"/>
      <c r="S3804" s="6"/>
    </row>
    <row r="3805" spans="16:19" x14ac:dyDescent="0.25">
      <c r="P3805" s="7"/>
      <c r="Q3805" s="8"/>
      <c r="R3805" s="6"/>
      <c r="S3805" s="6"/>
    </row>
    <row r="3806" spans="16:19" x14ac:dyDescent="0.25">
      <c r="P3806" s="7"/>
      <c r="Q3806" s="8"/>
      <c r="R3806" s="6"/>
      <c r="S3806" s="6"/>
    </row>
    <row r="3807" spans="16:19" x14ac:dyDescent="0.25">
      <c r="P3807" s="7"/>
      <c r="Q3807" s="8"/>
      <c r="R3807" s="6"/>
      <c r="S3807" s="6"/>
    </row>
    <row r="3808" spans="16:19" x14ac:dyDescent="0.25">
      <c r="P3808" s="7"/>
      <c r="Q3808" s="8"/>
      <c r="R3808" s="6"/>
      <c r="S3808" s="6"/>
    </row>
    <row r="3809" spans="16:19" x14ac:dyDescent="0.25">
      <c r="P3809" s="7"/>
      <c r="Q3809" s="8"/>
      <c r="R3809" s="6"/>
      <c r="S3809" s="6"/>
    </row>
    <row r="3810" spans="16:19" x14ac:dyDescent="0.25">
      <c r="P3810" s="7"/>
      <c r="Q3810" s="8"/>
      <c r="R3810" s="6"/>
      <c r="S3810" s="6"/>
    </row>
    <row r="3811" spans="16:19" x14ac:dyDescent="0.25">
      <c r="P3811" s="7"/>
      <c r="Q3811" s="8"/>
      <c r="R3811" s="6"/>
      <c r="S3811" s="6"/>
    </row>
    <row r="3812" spans="16:19" x14ac:dyDescent="0.25">
      <c r="P3812" s="7"/>
      <c r="Q3812" s="8"/>
      <c r="R3812" s="6"/>
      <c r="S3812" s="6"/>
    </row>
    <row r="3813" spans="16:19" x14ac:dyDescent="0.25">
      <c r="P3813" s="7"/>
      <c r="Q3813" s="8"/>
      <c r="R3813" s="6"/>
      <c r="S3813" s="6"/>
    </row>
    <row r="3814" spans="16:19" x14ac:dyDescent="0.25">
      <c r="P3814" s="7"/>
      <c r="Q3814" s="8"/>
      <c r="R3814" s="6"/>
      <c r="S3814" s="6"/>
    </row>
    <row r="3815" spans="16:19" x14ac:dyDescent="0.25">
      <c r="P3815" s="7"/>
      <c r="Q3815" s="8"/>
      <c r="R3815" s="6"/>
      <c r="S3815" s="6"/>
    </row>
    <row r="3816" spans="16:19" x14ac:dyDescent="0.25">
      <c r="P3816" s="7"/>
      <c r="Q3816" s="8"/>
      <c r="R3816" s="6"/>
      <c r="S3816" s="6"/>
    </row>
    <row r="3817" spans="16:19" x14ac:dyDescent="0.25">
      <c r="P3817" s="7"/>
      <c r="Q3817" s="8"/>
      <c r="R3817" s="6"/>
      <c r="S3817" s="6"/>
    </row>
    <row r="3818" spans="16:19" x14ac:dyDescent="0.25">
      <c r="P3818" s="7"/>
      <c r="Q3818" s="8"/>
      <c r="R3818" s="6"/>
      <c r="S3818" s="6"/>
    </row>
    <row r="3819" spans="16:19" x14ac:dyDescent="0.25">
      <c r="P3819" s="7"/>
      <c r="Q3819" s="8"/>
      <c r="R3819" s="6"/>
      <c r="S3819" s="6"/>
    </row>
    <row r="3820" spans="16:19" x14ac:dyDescent="0.25">
      <c r="P3820" s="7"/>
      <c r="Q3820" s="8"/>
      <c r="R3820" s="6"/>
      <c r="S3820" s="6"/>
    </row>
    <row r="3821" spans="16:19" x14ac:dyDescent="0.25">
      <c r="P3821" s="7"/>
      <c r="Q3821" s="8"/>
      <c r="R3821" s="6"/>
      <c r="S3821" s="6"/>
    </row>
    <row r="3822" spans="16:19" x14ac:dyDescent="0.25">
      <c r="P3822" s="7"/>
      <c r="Q3822" s="8"/>
      <c r="R3822" s="6"/>
      <c r="S3822" s="6"/>
    </row>
    <row r="3823" spans="16:19" x14ac:dyDescent="0.25">
      <c r="P3823" s="7"/>
      <c r="Q3823" s="8"/>
      <c r="R3823" s="6"/>
      <c r="S3823" s="6"/>
    </row>
    <row r="3824" spans="16:19" x14ac:dyDescent="0.25">
      <c r="P3824" s="7"/>
      <c r="Q3824" s="8"/>
      <c r="R3824" s="6"/>
      <c r="S3824" s="6"/>
    </row>
    <row r="3825" spans="16:19" x14ac:dyDescent="0.25">
      <c r="P3825" s="7"/>
      <c r="Q3825" s="8"/>
      <c r="R3825" s="6"/>
      <c r="S3825" s="6"/>
    </row>
    <row r="3826" spans="16:19" x14ac:dyDescent="0.25">
      <c r="P3826" s="7"/>
      <c r="Q3826" s="8"/>
      <c r="R3826" s="6"/>
      <c r="S3826" s="6"/>
    </row>
    <row r="3827" spans="16:19" x14ac:dyDescent="0.25">
      <c r="P3827" s="7"/>
      <c r="Q3827" s="8"/>
      <c r="R3827" s="6"/>
      <c r="S3827" s="6"/>
    </row>
    <row r="3828" spans="16:19" x14ac:dyDescent="0.25">
      <c r="P3828" s="7"/>
      <c r="Q3828" s="8"/>
      <c r="R3828" s="6"/>
      <c r="S3828" s="6"/>
    </row>
    <row r="3829" spans="16:19" x14ac:dyDescent="0.25">
      <c r="P3829" s="7"/>
      <c r="Q3829" s="8"/>
      <c r="R3829" s="6"/>
      <c r="S3829" s="6"/>
    </row>
    <row r="3830" spans="16:19" x14ac:dyDescent="0.25">
      <c r="P3830" s="7"/>
      <c r="Q3830" s="8"/>
      <c r="R3830" s="6"/>
      <c r="S3830" s="6"/>
    </row>
    <row r="3831" spans="16:19" x14ac:dyDescent="0.25">
      <c r="P3831" s="7"/>
      <c r="Q3831" s="8"/>
      <c r="R3831" s="6"/>
      <c r="S3831" s="6"/>
    </row>
    <row r="3832" spans="16:19" x14ac:dyDescent="0.25">
      <c r="P3832" s="7"/>
      <c r="Q3832" s="8"/>
      <c r="R3832" s="6"/>
      <c r="S3832" s="6"/>
    </row>
    <row r="3833" spans="16:19" x14ac:dyDescent="0.25">
      <c r="P3833" s="7"/>
      <c r="Q3833" s="8"/>
      <c r="R3833" s="6"/>
      <c r="S3833" s="6"/>
    </row>
    <row r="3834" spans="16:19" x14ac:dyDescent="0.25">
      <c r="P3834" s="7"/>
      <c r="Q3834" s="8"/>
      <c r="R3834" s="6"/>
      <c r="S3834" s="6"/>
    </row>
    <row r="3835" spans="16:19" x14ac:dyDescent="0.25">
      <c r="P3835" s="7"/>
      <c r="Q3835" s="8"/>
      <c r="R3835" s="6"/>
      <c r="S3835" s="6"/>
    </row>
    <row r="3836" spans="16:19" x14ac:dyDescent="0.25">
      <c r="P3836" s="7"/>
      <c r="Q3836" s="8"/>
      <c r="R3836" s="6"/>
      <c r="S3836" s="6"/>
    </row>
    <row r="3837" spans="16:19" x14ac:dyDescent="0.25">
      <c r="P3837" s="7"/>
      <c r="Q3837" s="8"/>
      <c r="R3837" s="6"/>
      <c r="S3837" s="6"/>
    </row>
    <row r="3838" spans="16:19" x14ac:dyDescent="0.25">
      <c r="P3838" s="7"/>
      <c r="Q3838" s="8"/>
      <c r="R3838" s="6"/>
      <c r="S3838" s="6"/>
    </row>
    <row r="3839" spans="16:19" x14ac:dyDescent="0.25">
      <c r="P3839" s="7"/>
      <c r="Q3839" s="8"/>
      <c r="R3839" s="6"/>
      <c r="S3839" s="6"/>
    </row>
    <row r="3840" spans="16:19" x14ac:dyDescent="0.25">
      <c r="P3840" s="7"/>
      <c r="Q3840" s="8"/>
      <c r="R3840" s="6"/>
      <c r="S3840" s="6"/>
    </row>
    <row r="3841" spans="16:19" x14ac:dyDescent="0.25">
      <c r="P3841" s="7"/>
      <c r="Q3841" s="8"/>
      <c r="R3841" s="6"/>
      <c r="S3841" s="6"/>
    </row>
    <row r="3842" spans="16:19" x14ac:dyDescent="0.25">
      <c r="P3842" s="7"/>
      <c r="Q3842" s="8"/>
      <c r="R3842" s="6"/>
      <c r="S3842" s="6"/>
    </row>
    <row r="3843" spans="16:19" x14ac:dyDescent="0.25">
      <c r="P3843" s="7"/>
      <c r="Q3843" s="8"/>
      <c r="R3843" s="6"/>
      <c r="S3843" s="6"/>
    </row>
    <row r="3844" spans="16:19" x14ac:dyDescent="0.25">
      <c r="P3844" s="7"/>
      <c r="Q3844" s="8"/>
      <c r="R3844" s="6"/>
      <c r="S3844" s="6"/>
    </row>
    <row r="3845" spans="16:19" x14ac:dyDescent="0.25">
      <c r="P3845" s="7"/>
      <c r="Q3845" s="8"/>
      <c r="R3845" s="6"/>
      <c r="S3845" s="6"/>
    </row>
    <row r="3846" spans="16:19" x14ac:dyDescent="0.25">
      <c r="P3846" s="7"/>
      <c r="Q3846" s="8"/>
      <c r="R3846" s="6"/>
      <c r="S3846" s="6"/>
    </row>
    <row r="3847" spans="16:19" x14ac:dyDescent="0.25">
      <c r="P3847" s="7"/>
      <c r="Q3847" s="8"/>
      <c r="R3847" s="6"/>
      <c r="S3847" s="6"/>
    </row>
    <row r="3848" spans="16:19" x14ac:dyDescent="0.25">
      <c r="P3848" s="7"/>
      <c r="Q3848" s="8"/>
      <c r="R3848" s="6"/>
      <c r="S3848" s="6"/>
    </row>
    <row r="3849" spans="16:19" x14ac:dyDescent="0.25">
      <c r="P3849" s="7"/>
      <c r="Q3849" s="8"/>
      <c r="R3849" s="6"/>
      <c r="S3849" s="6"/>
    </row>
    <row r="3850" spans="16:19" x14ac:dyDescent="0.25">
      <c r="P3850" s="7"/>
      <c r="Q3850" s="8"/>
      <c r="R3850" s="6"/>
      <c r="S3850" s="6"/>
    </row>
    <row r="3851" spans="16:19" x14ac:dyDescent="0.25">
      <c r="P3851" s="7"/>
      <c r="Q3851" s="8"/>
      <c r="R3851" s="6"/>
      <c r="S3851" s="6"/>
    </row>
    <row r="3852" spans="16:19" x14ac:dyDescent="0.25">
      <c r="P3852" s="7"/>
      <c r="Q3852" s="8"/>
      <c r="R3852" s="6"/>
      <c r="S3852" s="6"/>
    </row>
    <row r="3853" spans="16:19" x14ac:dyDescent="0.25">
      <c r="P3853" s="7"/>
      <c r="Q3853" s="8"/>
      <c r="R3853" s="6"/>
      <c r="S3853" s="6"/>
    </row>
    <row r="3854" spans="16:19" x14ac:dyDescent="0.25">
      <c r="P3854" s="7"/>
      <c r="Q3854" s="8"/>
      <c r="R3854" s="6"/>
      <c r="S3854" s="6"/>
    </row>
    <row r="3855" spans="16:19" x14ac:dyDescent="0.25">
      <c r="P3855" s="7"/>
      <c r="Q3855" s="8"/>
      <c r="R3855" s="6"/>
      <c r="S3855" s="6"/>
    </row>
    <row r="3856" spans="16:19" x14ac:dyDescent="0.25">
      <c r="P3856" s="7"/>
      <c r="Q3856" s="8"/>
      <c r="R3856" s="6"/>
      <c r="S3856" s="6"/>
    </row>
    <row r="3857" spans="16:19" x14ac:dyDescent="0.25">
      <c r="P3857" s="7"/>
      <c r="Q3857" s="8"/>
      <c r="R3857" s="6"/>
      <c r="S3857" s="6"/>
    </row>
    <row r="3858" spans="16:19" x14ac:dyDescent="0.25">
      <c r="P3858" s="7"/>
      <c r="Q3858" s="8"/>
      <c r="R3858" s="6"/>
      <c r="S3858" s="6"/>
    </row>
    <row r="3859" spans="16:19" x14ac:dyDescent="0.25">
      <c r="P3859" s="7"/>
      <c r="Q3859" s="8"/>
      <c r="R3859" s="6"/>
      <c r="S3859" s="6"/>
    </row>
    <row r="3860" spans="16:19" x14ac:dyDescent="0.25">
      <c r="P3860" s="7"/>
      <c r="Q3860" s="8"/>
      <c r="R3860" s="6"/>
      <c r="S3860" s="6"/>
    </row>
    <row r="3861" spans="16:19" x14ac:dyDescent="0.25">
      <c r="P3861" s="7"/>
      <c r="Q3861" s="8"/>
      <c r="R3861" s="6"/>
      <c r="S3861" s="6"/>
    </row>
    <row r="3862" spans="16:19" x14ac:dyDescent="0.25">
      <c r="P3862" s="7"/>
      <c r="Q3862" s="8"/>
      <c r="R3862" s="6"/>
      <c r="S3862" s="6"/>
    </row>
    <row r="3863" spans="16:19" x14ac:dyDescent="0.25">
      <c r="P3863" s="7"/>
      <c r="Q3863" s="8"/>
      <c r="R3863" s="6"/>
      <c r="S3863" s="6"/>
    </row>
    <row r="3864" spans="16:19" x14ac:dyDescent="0.25">
      <c r="P3864" s="7"/>
      <c r="Q3864" s="8"/>
      <c r="R3864" s="6"/>
      <c r="S3864" s="6"/>
    </row>
    <row r="3865" spans="16:19" x14ac:dyDescent="0.25">
      <c r="P3865" s="7"/>
      <c r="Q3865" s="8"/>
      <c r="R3865" s="6"/>
      <c r="S3865" s="6"/>
    </row>
    <row r="3866" spans="16:19" x14ac:dyDescent="0.25">
      <c r="P3866" s="7"/>
      <c r="Q3866" s="8"/>
      <c r="R3866" s="6"/>
      <c r="S3866" s="6"/>
    </row>
    <row r="3867" spans="16:19" x14ac:dyDescent="0.25">
      <c r="P3867" s="7"/>
      <c r="Q3867" s="8"/>
      <c r="R3867" s="6"/>
      <c r="S3867" s="6"/>
    </row>
    <row r="3868" spans="16:19" x14ac:dyDescent="0.25">
      <c r="P3868" s="7"/>
      <c r="Q3868" s="8"/>
      <c r="R3868" s="6"/>
      <c r="S3868" s="6"/>
    </row>
    <row r="3869" spans="16:19" x14ac:dyDescent="0.25">
      <c r="P3869" s="7"/>
      <c r="Q3869" s="8"/>
      <c r="R3869" s="6"/>
      <c r="S3869" s="6"/>
    </row>
    <row r="3870" spans="16:19" x14ac:dyDescent="0.25">
      <c r="P3870" s="7"/>
      <c r="Q3870" s="8"/>
      <c r="R3870" s="6"/>
      <c r="S3870" s="6"/>
    </row>
    <row r="3871" spans="16:19" x14ac:dyDescent="0.25">
      <c r="P3871" s="7"/>
      <c r="Q3871" s="8"/>
      <c r="R3871" s="6"/>
      <c r="S3871" s="6"/>
    </row>
    <row r="3872" spans="16:19" x14ac:dyDescent="0.25">
      <c r="P3872" s="7"/>
      <c r="Q3872" s="8"/>
      <c r="R3872" s="6"/>
      <c r="S3872" s="6"/>
    </row>
    <row r="3873" spans="16:19" x14ac:dyDescent="0.25">
      <c r="P3873" s="7"/>
      <c r="Q3873" s="8"/>
      <c r="R3873" s="6"/>
      <c r="S3873" s="6"/>
    </row>
    <row r="3874" spans="16:19" x14ac:dyDescent="0.25">
      <c r="P3874" s="7"/>
      <c r="Q3874" s="8"/>
      <c r="R3874" s="6"/>
      <c r="S3874" s="6"/>
    </row>
    <row r="3875" spans="16:19" x14ac:dyDescent="0.25">
      <c r="P3875" s="7"/>
      <c r="Q3875" s="8"/>
      <c r="R3875" s="6"/>
      <c r="S3875" s="6"/>
    </row>
    <row r="3876" spans="16:19" x14ac:dyDescent="0.25">
      <c r="P3876" s="7"/>
      <c r="Q3876" s="8"/>
      <c r="R3876" s="6"/>
      <c r="S3876" s="6"/>
    </row>
    <row r="3877" spans="16:19" x14ac:dyDescent="0.25">
      <c r="P3877" s="7"/>
      <c r="Q3877" s="8"/>
      <c r="R3877" s="6"/>
      <c r="S3877" s="6"/>
    </row>
    <row r="3878" spans="16:19" x14ac:dyDescent="0.25">
      <c r="P3878" s="7"/>
      <c r="Q3878" s="8"/>
      <c r="R3878" s="6"/>
      <c r="S3878" s="6"/>
    </row>
    <row r="3879" spans="16:19" x14ac:dyDescent="0.25">
      <c r="P3879" s="7"/>
      <c r="Q3879" s="8"/>
      <c r="R3879" s="6"/>
      <c r="S3879" s="6"/>
    </row>
    <row r="3880" spans="16:19" x14ac:dyDescent="0.25">
      <c r="P3880" s="7"/>
      <c r="Q3880" s="8"/>
      <c r="R3880" s="6"/>
      <c r="S3880" s="6"/>
    </row>
    <row r="3881" spans="16:19" x14ac:dyDescent="0.25">
      <c r="P3881" s="7"/>
      <c r="Q3881" s="8"/>
      <c r="R3881" s="6"/>
      <c r="S3881" s="6"/>
    </row>
    <row r="3882" spans="16:19" x14ac:dyDescent="0.25">
      <c r="P3882" s="7"/>
      <c r="Q3882" s="8"/>
      <c r="R3882" s="6"/>
      <c r="S3882" s="6"/>
    </row>
    <row r="3883" spans="16:19" x14ac:dyDescent="0.25">
      <c r="P3883" s="7"/>
      <c r="Q3883" s="8"/>
      <c r="R3883" s="6"/>
      <c r="S3883" s="6"/>
    </row>
    <row r="3884" spans="16:19" x14ac:dyDescent="0.25">
      <c r="P3884" s="7"/>
      <c r="Q3884" s="8"/>
      <c r="R3884" s="6"/>
      <c r="S3884" s="6"/>
    </row>
    <row r="3885" spans="16:19" x14ac:dyDescent="0.25">
      <c r="P3885" s="7"/>
      <c r="Q3885" s="8"/>
      <c r="R3885" s="6"/>
      <c r="S3885" s="6"/>
    </row>
    <row r="3886" spans="16:19" x14ac:dyDescent="0.25">
      <c r="P3886" s="7"/>
      <c r="Q3886" s="8"/>
      <c r="R3886" s="6"/>
      <c r="S3886" s="6"/>
    </row>
    <row r="3887" spans="16:19" x14ac:dyDescent="0.25">
      <c r="P3887" s="7"/>
      <c r="Q3887" s="8"/>
      <c r="R3887" s="6"/>
      <c r="S3887" s="6"/>
    </row>
    <row r="3888" spans="16:19" x14ac:dyDescent="0.25">
      <c r="P3888" s="7"/>
      <c r="Q3888" s="8"/>
      <c r="R3888" s="6"/>
      <c r="S3888" s="6"/>
    </row>
    <row r="3889" spans="16:19" x14ac:dyDescent="0.25">
      <c r="P3889" s="7"/>
      <c r="Q3889" s="8"/>
      <c r="R3889" s="6"/>
      <c r="S3889" s="6"/>
    </row>
    <row r="3890" spans="16:19" x14ac:dyDescent="0.25">
      <c r="P3890" s="7"/>
      <c r="Q3890" s="8"/>
      <c r="R3890" s="6"/>
      <c r="S3890" s="6"/>
    </row>
    <row r="3891" spans="16:19" x14ac:dyDescent="0.25">
      <c r="P3891" s="7"/>
      <c r="Q3891" s="8"/>
      <c r="R3891" s="6"/>
      <c r="S3891" s="6"/>
    </row>
    <row r="3892" spans="16:19" x14ac:dyDescent="0.25">
      <c r="P3892" s="7"/>
      <c r="Q3892" s="8"/>
      <c r="R3892" s="6"/>
      <c r="S3892" s="6"/>
    </row>
    <row r="3893" spans="16:19" x14ac:dyDescent="0.25">
      <c r="P3893" s="7"/>
      <c r="Q3893" s="8"/>
      <c r="R3893" s="6"/>
      <c r="S3893" s="6"/>
    </row>
    <row r="3894" spans="16:19" x14ac:dyDescent="0.25">
      <c r="P3894" s="7"/>
      <c r="Q3894" s="8"/>
      <c r="R3894" s="6"/>
      <c r="S3894" s="6"/>
    </row>
    <row r="3895" spans="16:19" x14ac:dyDescent="0.25">
      <c r="P3895" s="7"/>
      <c r="Q3895" s="8"/>
      <c r="R3895" s="6"/>
      <c r="S3895" s="6"/>
    </row>
    <row r="3896" spans="16:19" x14ac:dyDescent="0.25">
      <c r="P3896" s="7"/>
      <c r="Q3896" s="8"/>
      <c r="R3896" s="6"/>
      <c r="S3896" s="6"/>
    </row>
    <row r="3897" spans="16:19" x14ac:dyDescent="0.25">
      <c r="P3897" s="7"/>
      <c r="Q3897" s="8"/>
      <c r="R3897" s="6"/>
      <c r="S3897" s="6"/>
    </row>
    <row r="3898" spans="16:19" x14ac:dyDescent="0.25">
      <c r="P3898" s="7"/>
      <c r="Q3898" s="8"/>
      <c r="R3898" s="6"/>
      <c r="S3898" s="6"/>
    </row>
    <row r="3899" spans="16:19" x14ac:dyDescent="0.25">
      <c r="P3899" s="7"/>
      <c r="Q3899" s="8"/>
      <c r="R3899" s="6"/>
      <c r="S3899" s="6"/>
    </row>
    <row r="3900" spans="16:19" x14ac:dyDescent="0.25">
      <c r="P3900" s="7"/>
      <c r="Q3900" s="8"/>
      <c r="R3900" s="6"/>
      <c r="S3900" s="6"/>
    </row>
    <row r="3901" spans="16:19" x14ac:dyDescent="0.25">
      <c r="P3901" s="7"/>
      <c r="Q3901" s="8"/>
      <c r="R3901" s="6"/>
      <c r="S3901" s="6"/>
    </row>
    <row r="3902" spans="16:19" x14ac:dyDescent="0.25">
      <c r="P3902" s="7"/>
      <c r="Q3902" s="8"/>
      <c r="R3902" s="6"/>
      <c r="S3902" s="6"/>
    </row>
    <row r="3903" spans="16:19" x14ac:dyDescent="0.25">
      <c r="P3903" s="7"/>
      <c r="Q3903" s="8"/>
      <c r="R3903" s="6"/>
      <c r="S3903" s="6"/>
    </row>
    <row r="3904" spans="16:19" x14ac:dyDescent="0.25">
      <c r="P3904" s="7"/>
      <c r="Q3904" s="8"/>
      <c r="R3904" s="6"/>
      <c r="S3904" s="6"/>
    </row>
    <row r="3905" spans="16:19" x14ac:dyDescent="0.25">
      <c r="P3905" s="7"/>
      <c r="Q3905" s="8"/>
      <c r="R3905" s="6"/>
      <c r="S3905" s="6"/>
    </row>
    <row r="3906" spans="16:19" x14ac:dyDescent="0.25">
      <c r="P3906" s="7"/>
      <c r="Q3906" s="8"/>
      <c r="R3906" s="6"/>
      <c r="S3906" s="6"/>
    </row>
    <row r="3907" spans="16:19" x14ac:dyDescent="0.25">
      <c r="P3907" s="7"/>
      <c r="Q3907" s="8"/>
      <c r="R3907" s="6"/>
      <c r="S3907" s="6"/>
    </row>
    <row r="3908" spans="16:19" x14ac:dyDescent="0.25">
      <c r="P3908" s="7"/>
      <c r="Q3908" s="8"/>
      <c r="R3908" s="6"/>
      <c r="S3908" s="6"/>
    </row>
    <row r="3909" spans="16:19" x14ac:dyDescent="0.25">
      <c r="P3909" s="7"/>
      <c r="Q3909" s="8"/>
      <c r="R3909" s="6"/>
      <c r="S3909" s="6"/>
    </row>
    <row r="3910" spans="16:19" x14ac:dyDescent="0.25">
      <c r="P3910" s="7"/>
      <c r="Q3910" s="8"/>
      <c r="R3910" s="6"/>
      <c r="S3910" s="6"/>
    </row>
    <row r="3911" spans="16:19" x14ac:dyDescent="0.25">
      <c r="P3911" s="7"/>
      <c r="Q3911" s="8"/>
      <c r="R3911" s="6"/>
      <c r="S3911" s="6"/>
    </row>
    <row r="3912" spans="16:19" x14ac:dyDescent="0.25">
      <c r="P3912" s="7"/>
      <c r="Q3912" s="8"/>
      <c r="R3912" s="6"/>
      <c r="S3912" s="6"/>
    </row>
    <row r="3913" spans="16:19" x14ac:dyDescent="0.25">
      <c r="P3913" s="7"/>
      <c r="Q3913" s="8"/>
      <c r="R3913" s="6"/>
      <c r="S3913" s="6"/>
    </row>
    <row r="3914" spans="16:19" x14ac:dyDescent="0.25">
      <c r="P3914" s="7"/>
      <c r="Q3914" s="8"/>
      <c r="R3914" s="6"/>
      <c r="S3914" s="6"/>
    </row>
    <row r="3915" spans="16:19" x14ac:dyDescent="0.25">
      <c r="P3915" s="7"/>
      <c r="Q3915" s="8"/>
      <c r="R3915" s="6"/>
      <c r="S3915" s="6"/>
    </row>
    <row r="3916" spans="16:19" x14ac:dyDescent="0.25">
      <c r="P3916" s="7"/>
      <c r="Q3916" s="8"/>
      <c r="R3916" s="6"/>
      <c r="S3916" s="6"/>
    </row>
    <row r="3917" spans="16:19" x14ac:dyDescent="0.25">
      <c r="P3917" s="7"/>
      <c r="Q3917" s="8"/>
      <c r="R3917" s="6"/>
      <c r="S3917" s="6"/>
    </row>
    <row r="3918" spans="16:19" x14ac:dyDescent="0.25">
      <c r="P3918" s="7"/>
      <c r="Q3918" s="8"/>
      <c r="R3918" s="6"/>
      <c r="S3918" s="6"/>
    </row>
    <row r="3919" spans="16:19" x14ac:dyDescent="0.25">
      <c r="P3919" s="7"/>
      <c r="Q3919" s="8"/>
      <c r="R3919" s="6"/>
      <c r="S3919" s="6"/>
    </row>
    <row r="3920" spans="16:19" x14ac:dyDescent="0.25">
      <c r="P3920" s="7"/>
      <c r="Q3920" s="8"/>
      <c r="R3920" s="6"/>
      <c r="S3920" s="6"/>
    </row>
    <row r="3921" spans="16:19" x14ac:dyDescent="0.25">
      <c r="P3921" s="7"/>
      <c r="Q3921" s="8"/>
      <c r="R3921" s="6"/>
      <c r="S3921" s="6"/>
    </row>
    <row r="3922" spans="16:19" x14ac:dyDescent="0.25">
      <c r="P3922" s="7"/>
      <c r="Q3922" s="8"/>
      <c r="R3922" s="6"/>
      <c r="S3922" s="6"/>
    </row>
    <row r="3923" spans="16:19" x14ac:dyDescent="0.25">
      <c r="P3923" s="7"/>
      <c r="Q3923" s="8"/>
      <c r="R3923" s="6"/>
      <c r="S3923" s="6"/>
    </row>
    <row r="3924" spans="16:19" x14ac:dyDescent="0.25">
      <c r="P3924" s="7"/>
      <c r="Q3924" s="8"/>
      <c r="R3924" s="6"/>
      <c r="S3924" s="6"/>
    </row>
    <row r="3925" spans="16:19" x14ac:dyDescent="0.25">
      <c r="P3925" s="7"/>
      <c r="Q3925" s="8"/>
      <c r="R3925" s="6"/>
      <c r="S3925" s="6"/>
    </row>
    <row r="3926" spans="16:19" x14ac:dyDescent="0.25">
      <c r="P3926" s="7"/>
      <c r="Q3926" s="8"/>
      <c r="R3926" s="6"/>
      <c r="S3926" s="6"/>
    </row>
    <row r="3927" spans="16:19" x14ac:dyDescent="0.25">
      <c r="P3927" s="7"/>
      <c r="Q3927" s="8"/>
      <c r="R3927" s="6"/>
      <c r="S3927" s="6"/>
    </row>
    <row r="3928" spans="16:19" x14ac:dyDescent="0.25">
      <c r="P3928" s="7"/>
      <c r="Q3928" s="8"/>
      <c r="R3928" s="6"/>
      <c r="S3928" s="6"/>
    </row>
    <row r="3929" spans="16:19" x14ac:dyDescent="0.25">
      <c r="P3929" s="7"/>
      <c r="Q3929" s="8"/>
      <c r="R3929" s="6"/>
      <c r="S3929" s="6"/>
    </row>
    <row r="3930" spans="16:19" x14ac:dyDescent="0.25">
      <c r="P3930" s="7"/>
      <c r="Q3930" s="8"/>
      <c r="R3930" s="6"/>
      <c r="S3930" s="6"/>
    </row>
    <row r="3931" spans="16:19" x14ac:dyDescent="0.25">
      <c r="P3931" s="7"/>
      <c r="Q3931" s="8"/>
      <c r="R3931" s="6"/>
      <c r="S3931" s="6"/>
    </row>
    <row r="3932" spans="16:19" x14ac:dyDescent="0.25">
      <c r="P3932" s="7"/>
      <c r="Q3932" s="8"/>
      <c r="R3932" s="6"/>
      <c r="S3932" s="6"/>
    </row>
    <row r="3933" spans="16:19" x14ac:dyDescent="0.25">
      <c r="P3933" s="7"/>
      <c r="Q3933" s="8"/>
      <c r="R3933" s="6"/>
      <c r="S3933" s="6"/>
    </row>
    <row r="3934" spans="16:19" x14ac:dyDescent="0.25">
      <c r="P3934" s="7"/>
      <c r="Q3934" s="8"/>
      <c r="R3934" s="6"/>
      <c r="S3934" s="6"/>
    </row>
    <row r="3935" spans="16:19" x14ac:dyDescent="0.25">
      <c r="P3935" s="7"/>
      <c r="Q3935" s="8"/>
      <c r="R3935" s="6"/>
      <c r="S3935" s="6"/>
    </row>
    <row r="3936" spans="16:19" x14ac:dyDescent="0.25">
      <c r="P3936" s="7"/>
      <c r="Q3936" s="8"/>
      <c r="R3936" s="6"/>
      <c r="S3936" s="6"/>
    </row>
    <row r="3937" spans="16:19" x14ac:dyDescent="0.25">
      <c r="P3937" s="7"/>
      <c r="Q3937" s="8"/>
      <c r="R3937" s="6"/>
      <c r="S3937" s="6"/>
    </row>
    <row r="3938" spans="16:19" x14ac:dyDescent="0.25">
      <c r="P3938" s="7"/>
      <c r="Q3938" s="8"/>
      <c r="R3938" s="6"/>
      <c r="S3938" s="6"/>
    </row>
    <row r="3939" spans="16:19" x14ac:dyDescent="0.25">
      <c r="P3939" s="7"/>
      <c r="Q3939" s="8"/>
      <c r="R3939" s="6"/>
      <c r="S3939" s="6"/>
    </row>
    <row r="3940" spans="16:19" x14ac:dyDescent="0.25">
      <c r="P3940" s="7"/>
      <c r="Q3940" s="8"/>
      <c r="R3940" s="6"/>
      <c r="S3940" s="6"/>
    </row>
    <row r="3941" spans="16:19" x14ac:dyDescent="0.25">
      <c r="P3941" s="7"/>
      <c r="Q3941" s="8"/>
      <c r="R3941" s="6"/>
      <c r="S3941" s="6"/>
    </row>
    <row r="3942" spans="16:19" x14ac:dyDescent="0.25">
      <c r="P3942" s="7"/>
      <c r="Q3942" s="8"/>
      <c r="R3942" s="6"/>
      <c r="S3942" s="6"/>
    </row>
    <row r="3943" spans="16:19" x14ac:dyDescent="0.25">
      <c r="P3943" s="7"/>
      <c r="Q3943" s="8"/>
      <c r="R3943" s="6"/>
      <c r="S3943" s="6"/>
    </row>
    <row r="3944" spans="16:19" x14ac:dyDescent="0.25">
      <c r="P3944" s="7"/>
      <c r="Q3944" s="8"/>
      <c r="R3944" s="6"/>
      <c r="S3944" s="6"/>
    </row>
    <row r="3945" spans="16:19" x14ac:dyDescent="0.25">
      <c r="P3945" s="7"/>
      <c r="Q3945" s="8"/>
      <c r="R3945" s="6"/>
      <c r="S3945" s="6"/>
    </row>
    <row r="3946" spans="16:19" x14ac:dyDescent="0.25">
      <c r="P3946" s="7"/>
      <c r="Q3946" s="8"/>
      <c r="R3946" s="6"/>
      <c r="S3946" s="6"/>
    </row>
    <row r="3947" spans="16:19" x14ac:dyDescent="0.25">
      <c r="P3947" s="7"/>
      <c r="Q3947" s="8"/>
      <c r="R3947" s="6"/>
      <c r="S3947" s="6"/>
    </row>
    <row r="3948" spans="16:19" x14ac:dyDescent="0.25">
      <c r="P3948" s="7"/>
      <c r="Q3948" s="8"/>
      <c r="R3948" s="6"/>
      <c r="S3948" s="6"/>
    </row>
    <row r="3949" spans="16:19" x14ac:dyDescent="0.25">
      <c r="P3949" s="7"/>
      <c r="Q3949" s="8"/>
      <c r="R3949" s="6"/>
      <c r="S3949" s="6"/>
    </row>
    <row r="3950" spans="16:19" x14ac:dyDescent="0.25">
      <c r="P3950" s="7"/>
      <c r="Q3950" s="8"/>
      <c r="R3950" s="6"/>
      <c r="S3950" s="6"/>
    </row>
    <row r="3951" spans="16:19" x14ac:dyDescent="0.25">
      <c r="P3951" s="7"/>
      <c r="Q3951" s="8"/>
      <c r="R3951" s="6"/>
      <c r="S3951" s="6"/>
    </row>
    <row r="3952" spans="16:19" x14ac:dyDescent="0.25">
      <c r="P3952" s="7"/>
      <c r="Q3952" s="8"/>
      <c r="R3952" s="6"/>
      <c r="S3952" s="6"/>
    </row>
    <row r="3953" spans="16:19" x14ac:dyDescent="0.25">
      <c r="P3953" s="7"/>
      <c r="Q3953" s="8"/>
      <c r="R3953" s="6"/>
      <c r="S3953" s="6"/>
    </row>
    <row r="3954" spans="16:19" x14ac:dyDescent="0.25">
      <c r="P3954" s="7"/>
      <c r="Q3954" s="8"/>
      <c r="R3954" s="6"/>
      <c r="S3954" s="6"/>
    </row>
    <row r="3955" spans="16:19" x14ac:dyDescent="0.25">
      <c r="P3955" s="7"/>
      <c r="Q3955" s="8"/>
      <c r="R3955" s="6"/>
      <c r="S3955" s="6"/>
    </row>
    <row r="3956" spans="16:19" x14ac:dyDescent="0.25">
      <c r="P3956" s="7"/>
      <c r="Q3956" s="8"/>
      <c r="R3956" s="6"/>
      <c r="S3956" s="6"/>
    </row>
    <row r="3957" spans="16:19" x14ac:dyDescent="0.25">
      <c r="P3957" s="7"/>
      <c r="Q3957" s="8"/>
      <c r="R3957" s="6"/>
      <c r="S3957" s="6"/>
    </row>
    <row r="3958" spans="16:19" x14ac:dyDescent="0.25">
      <c r="P3958" s="7"/>
      <c r="Q3958" s="8"/>
      <c r="R3958" s="6"/>
      <c r="S3958" s="6"/>
    </row>
    <row r="3959" spans="16:19" x14ac:dyDescent="0.25">
      <c r="P3959" s="7"/>
      <c r="Q3959" s="8"/>
      <c r="R3959" s="6"/>
      <c r="S3959" s="6"/>
    </row>
    <row r="3960" spans="16:19" x14ac:dyDescent="0.25">
      <c r="P3960" s="7"/>
      <c r="Q3960" s="8"/>
      <c r="R3960" s="6"/>
      <c r="S3960" s="6"/>
    </row>
    <row r="3961" spans="16:19" x14ac:dyDescent="0.25">
      <c r="P3961" s="7"/>
      <c r="Q3961" s="8"/>
      <c r="R3961" s="6"/>
      <c r="S3961" s="6"/>
    </row>
    <row r="3962" spans="16:19" x14ac:dyDescent="0.25">
      <c r="P3962" s="7"/>
      <c r="Q3962" s="8"/>
      <c r="R3962" s="6"/>
      <c r="S3962" s="6"/>
    </row>
    <row r="3963" spans="16:19" x14ac:dyDescent="0.25">
      <c r="P3963" s="7"/>
      <c r="Q3963" s="8"/>
      <c r="R3963" s="6"/>
      <c r="S3963" s="6"/>
    </row>
    <row r="3964" spans="16:19" x14ac:dyDescent="0.25">
      <c r="P3964" s="7"/>
      <c r="Q3964" s="8"/>
      <c r="R3964" s="6"/>
      <c r="S3964" s="6"/>
    </row>
    <row r="3965" spans="16:19" x14ac:dyDescent="0.25">
      <c r="P3965" s="7"/>
      <c r="Q3965" s="8"/>
      <c r="R3965" s="6"/>
      <c r="S3965" s="6"/>
    </row>
    <row r="3966" spans="16:19" x14ac:dyDescent="0.25">
      <c r="P3966" s="7"/>
      <c r="Q3966" s="8"/>
      <c r="R3966" s="6"/>
      <c r="S3966" s="6"/>
    </row>
    <row r="3967" spans="16:19" x14ac:dyDescent="0.25">
      <c r="P3967" s="7"/>
      <c r="Q3967" s="8"/>
      <c r="R3967" s="6"/>
      <c r="S3967" s="6"/>
    </row>
    <row r="3968" spans="16:19" x14ac:dyDescent="0.25">
      <c r="P3968" s="7"/>
      <c r="Q3968" s="8"/>
      <c r="R3968" s="6"/>
      <c r="S3968" s="6"/>
    </row>
    <row r="3969" spans="16:19" x14ac:dyDescent="0.25">
      <c r="P3969" s="7"/>
      <c r="Q3969" s="8"/>
      <c r="R3969" s="6"/>
      <c r="S3969" s="6"/>
    </row>
    <row r="3970" spans="16:19" x14ac:dyDescent="0.25">
      <c r="P3970" s="7"/>
      <c r="Q3970" s="8"/>
      <c r="R3970" s="6"/>
      <c r="S3970" s="6"/>
    </row>
    <row r="3971" spans="16:19" x14ac:dyDescent="0.25">
      <c r="P3971" s="7"/>
      <c r="Q3971" s="8"/>
      <c r="R3971" s="6"/>
      <c r="S3971" s="6"/>
    </row>
    <row r="3972" spans="16:19" x14ac:dyDescent="0.25">
      <c r="P3972" s="7"/>
      <c r="Q3972" s="8"/>
      <c r="R3972" s="6"/>
      <c r="S3972" s="6"/>
    </row>
    <row r="3973" spans="16:19" x14ac:dyDescent="0.25">
      <c r="P3973" s="7"/>
      <c r="Q3973" s="8"/>
      <c r="R3973" s="6"/>
      <c r="S3973" s="6"/>
    </row>
    <row r="3974" spans="16:19" x14ac:dyDescent="0.25">
      <c r="P3974" s="7"/>
      <c r="Q3974" s="8"/>
      <c r="R3974" s="6"/>
      <c r="S3974" s="6"/>
    </row>
    <row r="3975" spans="16:19" x14ac:dyDescent="0.25">
      <c r="P3975" s="7"/>
      <c r="Q3975" s="8"/>
      <c r="R3975" s="6"/>
      <c r="S3975" s="6"/>
    </row>
    <row r="3976" spans="16:19" x14ac:dyDescent="0.25">
      <c r="P3976" s="7"/>
      <c r="Q3976" s="8"/>
      <c r="R3976" s="6"/>
      <c r="S3976" s="6"/>
    </row>
    <row r="3977" spans="16:19" x14ac:dyDescent="0.25">
      <c r="P3977" s="7"/>
      <c r="Q3977" s="8"/>
      <c r="R3977" s="6"/>
      <c r="S3977" s="6"/>
    </row>
    <row r="3978" spans="16:19" x14ac:dyDescent="0.25">
      <c r="P3978" s="7"/>
      <c r="Q3978" s="8"/>
      <c r="R3978" s="6"/>
      <c r="S3978" s="6"/>
    </row>
    <row r="3979" spans="16:19" x14ac:dyDescent="0.25">
      <c r="P3979" s="7"/>
      <c r="Q3979" s="8"/>
      <c r="R3979" s="6"/>
      <c r="S3979" s="6"/>
    </row>
    <row r="3980" spans="16:19" x14ac:dyDescent="0.25">
      <c r="P3980" s="7"/>
      <c r="Q3980" s="8"/>
      <c r="R3980" s="6"/>
      <c r="S3980" s="6"/>
    </row>
    <row r="3981" spans="16:19" x14ac:dyDescent="0.25">
      <c r="P3981" s="7"/>
      <c r="Q3981" s="8"/>
      <c r="R3981" s="6"/>
      <c r="S3981" s="6"/>
    </row>
    <row r="3982" spans="16:19" x14ac:dyDescent="0.25">
      <c r="P3982" s="7"/>
      <c r="Q3982" s="8"/>
      <c r="R3982" s="6"/>
      <c r="S3982" s="6"/>
    </row>
    <row r="3983" spans="16:19" x14ac:dyDescent="0.25">
      <c r="P3983" s="7"/>
      <c r="Q3983" s="8"/>
      <c r="R3983" s="6"/>
      <c r="S3983" s="6"/>
    </row>
    <row r="3984" spans="16:19" x14ac:dyDescent="0.25">
      <c r="P3984" s="7"/>
      <c r="Q3984" s="8"/>
      <c r="R3984" s="6"/>
      <c r="S3984" s="6"/>
    </row>
    <row r="3985" spans="16:19" x14ac:dyDescent="0.25">
      <c r="P3985" s="7"/>
      <c r="Q3985" s="8"/>
      <c r="R3985" s="6"/>
      <c r="S3985" s="6"/>
    </row>
    <row r="3986" spans="16:19" x14ac:dyDescent="0.25">
      <c r="P3986" s="7"/>
      <c r="Q3986" s="8"/>
      <c r="R3986" s="6"/>
      <c r="S3986" s="6"/>
    </row>
    <row r="3987" spans="16:19" x14ac:dyDescent="0.25">
      <c r="P3987" s="7"/>
      <c r="Q3987" s="8"/>
      <c r="R3987" s="6"/>
      <c r="S3987" s="6"/>
    </row>
    <row r="3988" spans="16:19" x14ac:dyDescent="0.25">
      <c r="P3988" s="7"/>
      <c r="Q3988" s="8"/>
      <c r="R3988" s="6"/>
      <c r="S3988" s="6"/>
    </row>
    <row r="3989" spans="16:19" x14ac:dyDescent="0.25">
      <c r="P3989" s="7"/>
      <c r="Q3989" s="8"/>
      <c r="R3989" s="6"/>
      <c r="S3989" s="6"/>
    </row>
    <row r="3990" spans="16:19" x14ac:dyDescent="0.25">
      <c r="P3990" s="7"/>
      <c r="Q3990" s="8"/>
      <c r="R3990" s="6"/>
      <c r="S3990" s="6"/>
    </row>
    <row r="3991" spans="16:19" x14ac:dyDescent="0.25">
      <c r="P3991" s="7"/>
      <c r="Q3991" s="8"/>
      <c r="R3991" s="6"/>
      <c r="S3991" s="6"/>
    </row>
    <row r="3992" spans="16:19" x14ac:dyDescent="0.25">
      <c r="P3992" s="7"/>
      <c r="Q3992" s="8"/>
      <c r="R3992" s="6"/>
      <c r="S3992" s="6"/>
    </row>
    <row r="3993" spans="16:19" x14ac:dyDescent="0.25">
      <c r="P3993" s="7"/>
      <c r="Q3993" s="8"/>
      <c r="R3993" s="6"/>
      <c r="S3993" s="6"/>
    </row>
    <row r="3994" spans="16:19" x14ac:dyDescent="0.25">
      <c r="P3994" s="7"/>
      <c r="Q3994" s="8"/>
      <c r="R3994" s="6"/>
      <c r="S3994" s="6"/>
    </row>
    <row r="3995" spans="16:19" x14ac:dyDescent="0.25">
      <c r="P3995" s="7"/>
      <c r="Q3995" s="8"/>
      <c r="R3995" s="6"/>
      <c r="S3995" s="6"/>
    </row>
    <row r="3996" spans="16:19" x14ac:dyDescent="0.25">
      <c r="P3996" s="7"/>
      <c r="Q3996" s="8"/>
      <c r="R3996" s="6"/>
      <c r="S3996" s="6"/>
    </row>
    <row r="3997" spans="16:19" x14ac:dyDescent="0.25">
      <c r="P3997" s="7"/>
      <c r="Q3997" s="8"/>
      <c r="R3997" s="6"/>
      <c r="S3997" s="6"/>
    </row>
    <row r="3998" spans="16:19" x14ac:dyDescent="0.25">
      <c r="P3998" s="7"/>
      <c r="Q3998" s="8"/>
      <c r="R3998" s="6"/>
      <c r="S3998" s="6"/>
    </row>
    <row r="3999" spans="16:19" x14ac:dyDescent="0.25">
      <c r="P3999" s="7"/>
      <c r="Q3999" s="8"/>
      <c r="R3999" s="6"/>
      <c r="S3999" s="6"/>
    </row>
    <row r="4000" spans="16:19" x14ac:dyDescent="0.25">
      <c r="P4000" s="7"/>
      <c r="Q4000" s="8"/>
      <c r="R4000" s="6"/>
      <c r="S4000" s="6"/>
    </row>
    <row r="4001" spans="16:19" x14ac:dyDescent="0.25">
      <c r="P4001" s="7"/>
      <c r="Q4001" s="8"/>
      <c r="R4001" s="6"/>
      <c r="S4001" s="6"/>
    </row>
    <row r="4002" spans="16:19" x14ac:dyDescent="0.25">
      <c r="P4002" s="7"/>
      <c r="Q4002" s="8"/>
      <c r="R4002" s="6"/>
      <c r="S4002" s="6"/>
    </row>
    <row r="4003" spans="16:19" x14ac:dyDescent="0.25">
      <c r="P4003" s="7"/>
      <c r="Q4003" s="8"/>
      <c r="R4003" s="6"/>
      <c r="S4003" s="6"/>
    </row>
    <row r="4004" spans="16:19" x14ac:dyDescent="0.25">
      <c r="P4004" s="7"/>
      <c r="Q4004" s="8"/>
      <c r="R4004" s="6"/>
      <c r="S4004" s="6"/>
    </row>
    <row r="4005" spans="16:19" x14ac:dyDescent="0.25">
      <c r="P4005" s="7"/>
      <c r="Q4005" s="8"/>
      <c r="R4005" s="6"/>
      <c r="S4005" s="6"/>
    </row>
    <row r="4006" spans="16:19" x14ac:dyDescent="0.25">
      <c r="P4006" s="7"/>
      <c r="Q4006" s="8"/>
      <c r="R4006" s="6"/>
      <c r="S4006" s="6"/>
    </row>
    <row r="4007" spans="16:19" x14ac:dyDescent="0.25">
      <c r="P4007" s="7"/>
      <c r="Q4007" s="8"/>
      <c r="R4007" s="6"/>
      <c r="S4007" s="6"/>
    </row>
    <row r="4008" spans="16:19" x14ac:dyDescent="0.25">
      <c r="P4008" s="7"/>
      <c r="Q4008" s="8"/>
      <c r="R4008" s="6"/>
      <c r="S4008" s="6"/>
    </row>
    <row r="4009" spans="16:19" x14ac:dyDescent="0.25">
      <c r="P4009" s="7"/>
      <c r="Q4009" s="8"/>
      <c r="R4009" s="6"/>
      <c r="S4009" s="6"/>
    </row>
    <row r="4010" spans="16:19" x14ac:dyDescent="0.25">
      <c r="P4010" s="7"/>
      <c r="Q4010" s="8"/>
      <c r="R4010" s="6"/>
      <c r="S4010" s="6"/>
    </row>
    <row r="4011" spans="16:19" x14ac:dyDescent="0.25">
      <c r="P4011" s="7"/>
      <c r="Q4011" s="8"/>
      <c r="R4011" s="6"/>
      <c r="S4011" s="6"/>
    </row>
    <row r="4012" spans="16:19" x14ac:dyDescent="0.25">
      <c r="P4012" s="7"/>
      <c r="Q4012" s="8"/>
      <c r="R4012" s="6"/>
      <c r="S4012" s="6"/>
    </row>
    <row r="4013" spans="16:19" x14ac:dyDescent="0.25">
      <c r="P4013" s="7"/>
      <c r="Q4013" s="8"/>
      <c r="R4013" s="6"/>
      <c r="S4013" s="6"/>
    </row>
    <row r="4014" spans="16:19" x14ac:dyDescent="0.25">
      <c r="P4014" s="7"/>
      <c r="Q4014" s="8"/>
      <c r="R4014" s="6"/>
      <c r="S4014" s="6"/>
    </row>
    <row r="4015" spans="16:19" x14ac:dyDescent="0.25">
      <c r="P4015" s="7"/>
      <c r="Q4015" s="8"/>
      <c r="R4015" s="6"/>
      <c r="S4015" s="6"/>
    </row>
    <row r="4016" spans="16:19" x14ac:dyDescent="0.25">
      <c r="P4016" s="7"/>
      <c r="Q4016" s="8"/>
      <c r="R4016" s="6"/>
      <c r="S4016" s="6"/>
    </row>
    <row r="4017" spans="16:19" x14ac:dyDescent="0.25">
      <c r="P4017" s="7"/>
      <c r="Q4017" s="8"/>
      <c r="R4017" s="6"/>
      <c r="S4017" s="6"/>
    </row>
    <row r="4018" spans="16:19" x14ac:dyDescent="0.25">
      <c r="P4018" s="7"/>
      <c r="Q4018" s="8"/>
      <c r="R4018" s="6"/>
      <c r="S4018" s="6"/>
    </row>
    <row r="4019" spans="16:19" x14ac:dyDescent="0.25">
      <c r="P4019" s="7"/>
      <c r="Q4019" s="8"/>
      <c r="R4019" s="6"/>
      <c r="S4019" s="6"/>
    </row>
    <row r="4020" spans="16:19" x14ac:dyDescent="0.25">
      <c r="P4020" s="7"/>
      <c r="Q4020" s="8"/>
      <c r="R4020" s="6"/>
      <c r="S4020" s="6"/>
    </row>
    <row r="4021" spans="16:19" x14ac:dyDescent="0.25">
      <c r="P4021" s="7"/>
      <c r="Q4021" s="8"/>
      <c r="R4021" s="6"/>
      <c r="S4021" s="6"/>
    </row>
    <row r="4022" spans="16:19" x14ac:dyDescent="0.25">
      <c r="P4022" s="7"/>
      <c r="Q4022" s="8"/>
      <c r="R4022" s="6"/>
      <c r="S4022" s="6"/>
    </row>
    <row r="4023" spans="16:19" x14ac:dyDescent="0.25">
      <c r="P4023" s="7"/>
      <c r="Q4023" s="8"/>
      <c r="R4023" s="6"/>
      <c r="S4023" s="6"/>
    </row>
    <row r="4024" spans="16:19" x14ac:dyDescent="0.25">
      <c r="P4024" s="7"/>
      <c r="Q4024" s="8"/>
      <c r="R4024" s="6"/>
      <c r="S4024" s="6"/>
    </row>
    <row r="4025" spans="16:19" x14ac:dyDescent="0.25">
      <c r="P4025" s="7"/>
      <c r="Q4025" s="8"/>
      <c r="R4025" s="6"/>
      <c r="S4025" s="6"/>
    </row>
    <row r="4026" spans="16:19" x14ac:dyDescent="0.25">
      <c r="P4026" s="7"/>
      <c r="Q4026" s="8"/>
      <c r="R4026" s="6"/>
      <c r="S4026" s="6"/>
    </row>
    <row r="4027" spans="16:19" x14ac:dyDescent="0.25">
      <c r="P4027" s="7"/>
      <c r="Q4027" s="8"/>
      <c r="R4027" s="6"/>
      <c r="S4027" s="6"/>
    </row>
    <row r="4028" spans="16:19" x14ac:dyDescent="0.25">
      <c r="P4028" s="7"/>
      <c r="Q4028" s="8"/>
      <c r="R4028" s="6"/>
      <c r="S4028" s="6"/>
    </row>
    <row r="4029" spans="16:19" x14ac:dyDescent="0.25">
      <c r="P4029" s="7"/>
      <c r="Q4029" s="8"/>
      <c r="R4029" s="6"/>
      <c r="S4029" s="6"/>
    </row>
    <row r="4030" spans="16:19" x14ac:dyDescent="0.25">
      <c r="P4030" s="7"/>
      <c r="Q4030" s="8"/>
      <c r="R4030" s="6"/>
      <c r="S4030" s="6"/>
    </row>
    <row r="4031" spans="16:19" x14ac:dyDescent="0.25">
      <c r="P4031" s="7"/>
      <c r="Q4031" s="8"/>
      <c r="R4031" s="6"/>
      <c r="S4031" s="6"/>
    </row>
    <row r="4032" spans="16:19" x14ac:dyDescent="0.25">
      <c r="P4032" s="7"/>
      <c r="Q4032" s="8"/>
      <c r="R4032" s="6"/>
      <c r="S4032" s="6"/>
    </row>
    <row r="4033" spans="16:19" x14ac:dyDescent="0.25">
      <c r="P4033" s="7"/>
      <c r="Q4033" s="8"/>
      <c r="R4033" s="6"/>
      <c r="S4033" s="6"/>
    </row>
    <row r="4034" spans="16:19" x14ac:dyDescent="0.25">
      <c r="P4034" s="7"/>
      <c r="Q4034" s="8"/>
      <c r="R4034" s="6"/>
      <c r="S4034" s="6"/>
    </row>
    <row r="4035" spans="16:19" x14ac:dyDescent="0.25">
      <c r="P4035" s="7"/>
      <c r="Q4035" s="8"/>
      <c r="R4035" s="6"/>
      <c r="S4035" s="6"/>
    </row>
    <row r="4036" spans="16:19" x14ac:dyDescent="0.25">
      <c r="P4036" s="7"/>
      <c r="Q4036" s="8"/>
      <c r="R4036" s="6"/>
      <c r="S4036" s="6"/>
    </row>
    <row r="4037" spans="16:19" x14ac:dyDescent="0.25">
      <c r="P4037" s="7"/>
      <c r="Q4037" s="8"/>
      <c r="R4037" s="6"/>
      <c r="S4037" s="6"/>
    </row>
    <row r="4038" spans="16:19" x14ac:dyDescent="0.25">
      <c r="P4038" s="7"/>
      <c r="Q4038" s="8"/>
      <c r="R4038" s="6"/>
      <c r="S4038" s="6"/>
    </row>
    <row r="4039" spans="16:19" x14ac:dyDescent="0.25">
      <c r="P4039" s="7"/>
      <c r="Q4039" s="8"/>
      <c r="R4039" s="6"/>
      <c r="S4039" s="6"/>
    </row>
    <row r="4040" spans="16:19" x14ac:dyDescent="0.25">
      <c r="P4040" s="7"/>
      <c r="Q4040" s="8"/>
      <c r="R4040" s="6"/>
      <c r="S4040" s="6"/>
    </row>
    <row r="4041" spans="16:19" x14ac:dyDescent="0.25">
      <c r="P4041" s="7"/>
      <c r="Q4041" s="8"/>
      <c r="R4041" s="6"/>
      <c r="S4041" s="6"/>
    </row>
    <row r="4042" spans="16:19" x14ac:dyDescent="0.25">
      <c r="P4042" s="7"/>
      <c r="Q4042" s="8"/>
      <c r="R4042" s="6"/>
      <c r="S4042" s="6"/>
    </row>
    <row r="4043" spans="16:19" x14ac:dyDescent="0.25">
      <c r="P4043" s="7"/>
      <c r="Q4043" s="8"/>
      <c r="R4043" s="6"/>
      <c r="S4043" s="6"/>
    </row>
    <row r="4044" spans="16:19" x14ac:dyDescent="0.25">
      <c r="P4044" s="7"/>
      <c r="Q4044" s="8"/>
      <c r="R4044" s="6"/>
      <c r="S4044" s="6"/>
    </row>
    <row r="4045" spans="16:19" x14ac:dyDescent="0.25">
      <c r="P4045" s="7"/>
      <c r="Q4045" s="8"/>
      <c r="R4045" s="6"/>
      <c r="S4045" s="6"/>
    </row>
    <row r="4046" spans="16:19" x14ac:dyDescent="0.25">
      <c r="P4046" s="7"/>
      <c r="Q4046" s="8"/>
      <c r="R4046" s="6"/>
      <c r="S4046" s="6"/>
    </row>
    <row r="4047" spans="16:19" x14ac:dyDescent="0.25">
      <c r="P4047" s="7"/>
      <c r="Q4047" s="8"/>
      <c r="R4047" s="6"/>
      <c r="S4047" s="6"/>
    </row>
    <row r="4048" spans="16:19" x14ac:dyDescent="0.25">
      <c r="P4048" s="7"/>
      <c r="Q4048" s="8"/>
      <c r="R4048" s="6"/>
      <c r="S4048" s="6"/>
    </row>
    <row r="4049" spans="16:19" x14ac:dyDescent="0.25">
      <c r="P4049" s="7"/>
      <c r="Q4049" s="8"/>
      <c r="R4049" s="6"/>
      <c r="S4049" s="6"/>
    </row>
    <row r="4050" spans="16:19" x14ac:dyDescent="0.25">
      <c r="P4050" s="7"/>
      <c r="Q4050" s="8"/>
      <c r="R4050" s="6"/>
      <c r="S4050" s="6"/>
    </row>
    <row r="4051" spans="16:19" x14ac:dyDescent="0.25">
      <c r="P4051" s="7"/>
      <c r="Q4051" s="8"/>
      <c r="R4051" s="6"/>
      <c r="S4051" s="6"/>
    </row>
    <row r="4052" spans="16:19" x14ac:dyDescent="0.25">
      <c r="P4052" s="7"/>
      <c r="Q4052" s="8"/>
      <c r="R4052" s="6"/>
      <c r="S4052" s="6"/>
    </row>
    <row r="4053" spans="16:19" x14ac:dyDescent="0.25">
      <c r="P4053" s="7"/>
      <c r="Q4053" s="8"/>
      <c r="R4053" s="6"/>
      <c r="S4053" s="6"/>
    </row>
    <row r="4054" spans="16:19" x14ac:dyDescent="0.25">
      <c r="P4054" s="7"/>
      <c r="Q4054" s="8"/>
      <c r="R4054" s="6"/>
      <c r="S4054" s="6"/>
    </row>
    <row r="4055" spans="16:19" x14ac:dyDescent="0.25">
      <c r="P4055" s="7"/>
      <c r="Q4055" s="8"/>
      <c r="R4055" s="6"/>
      <c r="S4055" s="6"/>
    </row>
    <row r="4056" spans="16:19" x14ac:dyDescent="0.25">
      <c r="P4056" s="7"/>
      <c r="Q4056" s="8"/>
      <c r="R4056" s="6"/>
      <c r="S4056" s="6"/>
    </row>
    <row r="4057" spans="16:19" x14ac:dyDescent="0.25">
      <c r="P4057" s="7"/>
      <c r="Q4057" s="8"/>
      <c r="R4057" s="6"/>
      <c r="S4057" s="6"/>
    </row>
    <row r="4058" spans="16:19" x14ac:dyDescent="0.25">
      <c r="P4058" s="7"/>
      <c r="Q4058" s="8"/>
      <c r="R4058" s="6"/>
      <c r="S4058" s="6"/>
    </row>
    <row r="4059" spans="16:19" x14ac:dyDescent="0.25">
      <c r="P4059" s="7"/>
      <c r="Q4059" s="8"/>
      <c r="R4059" s="6"/>
      <c r="S4059" s="6"/>
    </row>
    <row r="4060" spans="16:19" x14ac:dyDescent="0.25">
      <c r="P4060" s="7"/>
      <c r="Q4060" s="8"/>
      <c r="R4060" s="6"/>
      <c r="S4060" s="6"/>
    </row>
    <row r="4061" spans="16:19" x14ac:dyDescent="0.25">
      <c r="P4061" s="7"/>
      <c r="Q4061" s="8"/>
      <c r="R4061" s="6"/>
      <c r="S4061" s="6"/>
    </row>
    <row r="4062" spans="16:19" x14ac:dyDescent="0.25">
      <c r="P4062" s="7"/>
      <c r="Q4062" s="8"/>
      <c r="R4062" s="6"/>
      <c r="S4062" s="6"/>
    </row>
    <row r="4063" spans="16:19" x14ac:dyDescent="0.25">
      <c r="P4063" s="7"/>
      <c r="Q4063" s="8"/>
      <c r="R4063" s="6"/>
      <c r="S4063" s="6"/>
    </row>
    <row r="4064" spans="16:19" x14ac:dyDescent="0.25">
      <c r="P4064" s="7"/>
      <c r="Q4064" s="8"/>
      <c r="R4064" s="6"/>
      <c r="S4064" s="6"/>
    </row>
    <row r="4065" spans="16:19" x14ac:dyDescent="0.25">
      <c r="P4065" s="7"/>
      <c r="Q4065" s="8"/>
      <c r="R4065" s="6"/>
      <c r="S4065" s="6"/>
    </row>
    <row r="4066" spans="16:19" x14ac:dyDescent="0.25">
      <c r="P4066" s="7"/>
      <c r="Q4066" s="8"/>
      <c r="R4066" s="6"/>
      <c r="S4066" s="6"/>
    </row>
    <row r="4067" spans="16:19" x14ac:dyDescent="0.25">
      <c r="P4067" s="7"/>
      <c r="Q4067" s="8"/>
      <c r="R4067" s="6"/>
      <c r="S4067" s="6"/>
    </row>
    <row r="4068" spans="16:19" x14ac:dyDescent="0.25">
      <c r="P4068" s="7"/>
      <c r="Q4068" s="8"/>
      <c r="R4068" s="6"/>
      <c r="S4068" s="6"/>
    </row>
    <row r="4069" spans="16:19" x14ac:dyDescent="0.25">
      <c r="P4069" s="7"/>
      <c r="Q4069" s="8"/>
      <c r="R4069" s="6"/>
      <c r="S4069" s="6"/>
    </row>
    <row r="4070" spans="16:19" x14ac:dyDescent="0.25">
      <c r="P4070" s="7"/>
      <c r="Q4070" s="8"/>
      <c r="R4070" s="6"/>
      <c r="S4070" s="6"/>
    </row>
    <row r="4071" spans="16:19" x14ac:dyDescent="0.25">
      <c r="P4071" s="7"/>
      <c r="Q4071" s="8"/>
      <c r="R4071" s="6"/>
      <c r="S4071" s="6"/>
    </row>
    <row r="4072" spans="16:19" x14ac:dyDescent="0.25">
      <c r="P4072" s="7"/>
      <c r="Q4072" s="8"/>
      <c r="R4072" s="6"/>
      <c r="S4072" s="6"/>
    </row>
    <row r="4073" spans="16:19" x14ac:dyDescent="0.25">
      <c r="P4073" s="7"/>
      <c r="Q4073" s="8"/>
      <c r="R4073" s="6"/>
      <c r="S4073" s="6"/>
    </row>
    <row r="4074" spans="16:19" x14ac:dyDescent="0.25">
      <c r="P4074" s="7"/>
      <c r="Q4074" s="8"/>
      <c r="R4074" s="6"/>
      <c r="S4074" s="6"/>
    </row>
    <row r="4075" spans="16:19" x14ac:dyDescent="0.25">
      <c r="P4075" s="7"/>
      <c r="Q4075" s="8"/>
      <c r="R4075" s="6"/>
      <c r="S4075" s="6"/>
    </row>
    <row r="4076" spans="16:19" x14ac:dyDescent="0.25">
      <c r="P4076" s="7"/>
      <c r="Q4076" s="8"/>
      <c r="R4076" s="6"/>
      <c r="S4076" s="6"/>
    </row>
    <row r="4077" spans="16:19" x14ac:dyDescent="0.25">
      <c r="P4077" s="7"/>
      <c r="Q4077" s="8"/>
      <c r="R4077" s="6"/>
      <c r="S4077" s="6"/>
    </row>
    <row r="4078" spans="16:19" x14ac:dyDescent="0.25">
      <c r="P4078" s="7"/>
      <c r="Q4078" s="8"/>
      <c r="R4078" s="6"/>
      <c r="S4078" s="6"/>
    </row>
    <row r="4079" spans="16:19" x14ac:dyDescent="0.25">
      <c r="P4079" s="7"/>
      <c r="Q4079" s="8"/>
      <c r="R4079" s="6"/>
      <c r="S4079" s="6"/>
    </row>
    <row r="4080" spans="16:19" x14ac:dyDescent="0.25">
      <c r="P4080" s="7"/>
      <c r="Q4080" s="8"/>
      <c r="R4080" s="6"/>
      <c r="S4080" s="6"/>
    </row>
    <row r="4081" spans="16:19" x14ac:dyDescent="0.25">
      <c r="P4081" s="7"/>
      <c r="Q4081" s="8"/>
      <c r="R4081" s="6"/>
      <c r="S4081" s="6"/>
    </row>
    <row r="4082" spans="16:19" x14ac:dyDescent="0.25">
      <c r="P4082" s="7"/>
      <c r="Q4082" s="8"/>
      <c r="R4082" s="6"/>
      <c r="S4082" s="6"/>
    </row>
    <row r="4083" spans="16:19" x14ac:dyDescent="0.25">
      <c r="P4083" s="7"/>
      <c r="Q4083" s="8"/>
      <c r="R4083" s="6"/>
      <c r="S4083" s="6"/>
    </row>
    <row r="4084" spans="16:19" x14ac:dyDescent="0.25">
      <c r="P4084" s="7"/>
      <c r="Q4084" s="8"/>
      <c r="R4084" s="6"/>
      <c r="S4084" s="6"/>
    </row>
    <row r="4085" spans="16:19" x14ac:dyDescent="0.25">
      <c r="P4085" s="7"/>
      <c r="Q4085" s="8"/>
      <c r="R4085" s="6"/>
      <c r="S4085" s="6"/>
    </row>
    <row r="4086" spans="16:19" x14ac:dyDescent="0.25">
      <c r="P4086" s="7"/>
      <c r="Q4086" s="8"/>
      <c r="R4086" s="6"/>
      <c r="S4086" s="6"/>
    </row>
    <row r="4087" spans="16:19" x14ac:dyDescent="0.25">
      <c r="P4087" s="7"/>
      <c r="Q4087" s="8"/>
      <c r="R4087" s="6"/>
      <c r="S4087" s="6"/>
    </row>
    <row r="4088" spans="16:19" x14ac:dyDescent="0.25">
      <c r="P4088" s="7"/>
      <c r="Q4088" s="8"/>
      <c r="R4088" s="6"/>
      <c r="S4088" s="6"/>
    </row>
    <row r="4089" spans="16:19" x14ac:dyDescent="0.25">
      <c r="P4089" s="7"/>
      <c r="Q4089" s="8"/>
      <c r="R4089" s="6"/>
      <c r="S4089" s="6"/>
    </row>
    <row r="4090" spans="16:19" x14ac:dyDescent="0.25">
      <c r="P4090" s="7"/>
      <c r="Q4090" s="8"/>
      <c r="R4090" s="6"/>
      <c r="S4090" s="6"/>
    </row>
    <row r="4091" spans="16:19" x14ac:dyDescent="0.25">
      <c r="P4091" s="7"/>
      <c r="Q4091" s="8"/>
      <c r="R4091" s="6"/>
      <c r="S4091" s="6"/>
    </row>
    <row r="4092" spans="16:19" x14ac:dyDescent="0.25">
      <c r="P4092" s="7"/>
      <c r="Q4092" s="8"/>
      <c r="R4092" s="6"/>
      <c r="S4092" s="6"/>
    </row>
    <row r="4093" spans="16:19" x14ac:dyDescent="0.25">
      <c r="P4093" s="7"/>
      <c r="Q4093" s="8"/>
      <c r="R4093" s="6"/>
      <c r="S4093" s="6"/>
    </row>
    <row r="4094" spans="16:19" x14ac:dyDescent="0.25">
      <c r="P4094" s="7"/>
      <c r="Q4094" s="8"/>
      <c r="R4094" s="6"/>
      <c r="S4094" s="6"/>
    </row>
    <row r="4095" spans="16:19" x14ac:dyDescent="0.25">
      <c r="P4095" s="7"/>
      <c r="Q4095" s="8"/>
      <c r="R4095" s="6"/>
      <c r="S4095" s="6"/>
    </row>
    <row r="4096" spans="16:19" x14ac:dyDescent="0.25">
      <c r="P4096" s="7"/>
      <c r="Q4096" s="8"/>
      <c r="R4096" s="6"/>
      <c r="S4096" s="6"/>
    </row>
    <row r="4097" spans="16:19" x14ac:dyDescent="0.25">
      <c r="P4097" s="7"/>
      <c r="Q4097" s="8"/>
      <c r="R4097" s="6"/>
      <c r="S4097" s="6"/>
    </row>
    <row r="4098" spans="16:19" x14ac:dyDescent="0.25">
      <c r="P4098" s="7"/>
      <c r="Q4098" s="8"/>
      <c r="R4098" s="6"/>
      <c r="S4098" s="6"/>
    </row>
    <row r="4099" spans="16:19" x14ac:dyDescent="0.25">
      <c r="P4099" s="7"/>
      <c r="Q4099" s="8"/>
      <c r="R4099" s="6"/>
      <c r="S4099" s="6"/>
    </row>
    <row r="4100" spans="16:19" x14ac:dyDescent="0.25">
      <c r="P4100" s="7"/>
      <c r="Q4100" s="8"/>
      <c r="R4100" s="6"/>
      <c r="S4100" s="6"/>
    </row>
    <row r="4101" spans="16:19" x14ac:dyDescent="0.25">
      <c r="P4101" s="7"/>
      <c r="Q4101" s="8"/>
      <c r="R4101" s="6"/>
      <c r="S4101" s="6"/>
    </row>
    <row r="4102" spans="16:19" x14ac:dyDescent="0.25">
      <c r="P4102" s="7"/>
      <c r="Q4102" s="8"/>
      <c r="R4102" s="6"/>
      <c r="S4102" s="6"/>
    </row>
    <row r="4103" spans="16:19" x14ac:dyDescent="0.25">
      <c r="P4103" s="7"/>
      <c r="Q4103" s="8"/>
      <c r="R4103" s="6"/>
      <c r="S4103" s="6"/>
    </row>
    <row r="4104" spans="16:19" x14ac:dyDescent="0.25">
      <c r="P4104" s="7"/>
      <c r="Q4104" s="8"/>
      <c r="R4104" s="6"/>
      <c r="S4104" s="6"/>
    </row>
    <row r="4105" spans="16:19" x14ac:dyDescent="0.25">
      <c r="P4105" s="7"/>
      <c r="Q4105" s="8"/>
      <c r="R4105" s="6"/>
      <c r="S4105" s="6"/>
    </row>
    <row r="4106" spans="16:19" x14ac:dyDescent="0.25">
      <c r="P4106" s="7"/>
      <c r="Q4106" s="8"/>
      <c r="R4106" s="6"/>
      <c r="S4106" s="6"/>
    </row>
    <row r="4107" spans="16:19" x14ac:dyDescent="0.25">
      <c r="P4107" s="7"/>
      <c r="Q4107" s="8"/>
      <c r="R4107" s="6"/>
      <c r="S4107" s="6"/>
    </row>
    <row r="4108" spans="16:19" x14ac:dyDescent="0.25">
      <c r="P4108" s="7"/>
      <c r="Q4108" s="8"/>
      <c r="R4108" s="6"/>
      <c r="S4108" s="6"/>
    </row>
    <row r="4109" spans="16:19" x14ac:dyDescent="0.25">
      <c r="P4109" s="7"/>
      <c r="Q4109" s="8"/>
      <c r="R4109" s="6"/>
      <c r="S4109" s="6"/>
    </row>
    <row r="4110" spans="16:19" x14ac:dyDescent="0.25">
      <c r="P4110" s="7"/>
      <c r="Q4110" s="8"/>
      <c r="R4110" s="6"/>
      <c r="S4110" s="6"/>
    </row>
    <row r="4111" spans="16:19" x14ac:dyDescent="0.25">
      <c r="P4111" s="7"/>
      <c r="Q4111" s="8"/>
      <c r="R4111" s="6"/>
      <c r="S4111" s="6"/>
    </row>
    <row r="4112" spans="16:19" x14ac:dyDescent="0.25">
      <c r="P4112" s="7"/>
      <c r="Q4112" s="8"/>
      <c r="R4112" s="6"/>
      <c r="S4112" s="6"/>
    </row>
    <row r="4113" spans="16:19" x14ac:dyDescent="0.25">
      <c r="P4113" s="7"/>
      <c r="Q4113" s="8"/>
      <c r="R4113" s="6"/>
      <c r="S4113" s="6"/>
    </row>
    <row r="4114" spans="16:19" x14ac:dyDescent="0.25">
      <c r="P4114" s="7"/>
      <c r="Q4114" s="8"/>
      <c r="R4114" s="6"/>
      <c r="S4114" s="6"/>
    </row>
    <row r="4115" spans="16:19" x14ac:dyDescent="0.25">
      <c r="P4115" s="7"/>
      <c r="Q4115" s="8"/>
      <c r="R4115" s="6"/>
      <c r="S4115" s="6"/>
    </row>
    <row r="4116" spans="16:19" x14ac:dyDescent="0.25">
      <c r="P4116" s="7"/>
      <c r="Q4116" s="8"/>
      <c r="R4116" s="6"/>
      <c r="S4116" s="6"/>
    </row>
    <row r="4117" spans="16:19" x14ac:dyDescent="0.25">
      <c r="P4117" s="7"/>
      <c r="Q4117" s="8"/>
      <c r="R4117" s="6"/>
      <c r="S4117" s="6"/>
    </row>
    <row r="4118" spans="16:19" x14ac:dyDescent="0.25">
      <c r="P4118" s="7"/>
      <c r="Q4118" s="8"/>
      <c r="R4118" s="6"/>
      <c r="S4118" s="6"/>
    </row>
    <row r="4119" spans="16:19" x14ac:dyDescent="0.25">
      <c r="P4119" s="7"/>
      <c r="Q4119" s="8"/>
      <c r="R4119" s="6"/>
      <c r="S4119" s="6"/>
    </row>
    <row r="4120" spans="16:19" x14ac:dyDescent="0.25">
      <c r="P4120" s="7"/>
      <c r="Q4120" s="8"/>
      <c r="R4120" s="6"/>
      <c r="S4120" s="6"/>
    </row>
    <row r="4121" spans="16:19" x14ac:dyDescent="0.25">
      <c r="P4121" s="7"/>
      <c r="Q4121" s="8"/>
      <c r="R4121" s="6"/>
      <c r="S4121" s="6"/>
    </row>
    <row r="4122" spans="16:19" x14ac:dyDescent="0.25">
      <c r="P4122" s="7"/>
      <c r="Q4122" s="8"/>
      <c r="R4122" s="6"/>
      <c r="S4122" s="6"/>
    </row>
    <row r="4123" spans="16:19" x14ac:dyDescent="0.25">
      <c r="P4123" s="7"/>
      <c r="Q4123" s="8"/>
      <c r="R4123" s="6"/>
      <c r="S4123" s="6"/>
    </row>
    <row r="4124" spans="16:19" x14ac:dyDescent="0.25">
      <c r="P4124" s="7"/>
      <c r="Q4124" s="8"/>
      <c r="R4124" s="6"/>
      <c r="S4124" s="6"/>
    </row>
    <row r="4125" spans="16:19" x14ac:dyDescent="0.25">
      <c r="P4125" s="7"/>
      <c r="Q4125" s="8"/>
      <c r="R4125" s="6"/>
      <c r="S4125" s="6"/>
    </row>
    <row r="4126" spans="16:19" x14ac:dyDescent="0.25">
      <c r="P4126" s="7"/>
      <c r="Q4126" s="8"/>
      <c r="R4126" s="6"/>
      <c r="S4126" s="6"/>
    </row>
    <row r="4127" spans="16:19" x14ac:dyDescent="0.25">
      <c r="P4127" s="7"/>
      <c r="Q4127" s="8"/>
      <c r="R4127" s="6"/>
      <c r="S4127" s="6"/>
    </row>
    <row r="4128" spans="16:19" x14ac:dyDescent="0.25">
      <c r="P4128" s="7"/>
      <c r="Q4128" s="8"/>
      <c r="R4128" s="6"/>
      <c r="S4128" s="6"/>
    </row>
    <row r="4129" spans="16:19" x14ac:dyDescent="0.25">
      <c r="P4129" s="7"/>
      <c r="Q4129" s="8"/>
      <c r="R4129" s="6"/>
      <c r="S4129" s="6"/>
    </row>
    <row r="4130" spans="16:19" x14ac:dyDescent="0.25">
      <c r="P4130" s="7"/>
      <c r="Q4130" s="8"/>
      <c r="R4130" s="6"/>
      <c r="S4130" s="6"/>
    </row>
    <row r="4131" spans="16:19" x14ac:dyDescent="0.25">
      <c r="P4131" s="7"/>
      <c r="Q4131" s="8"/>
      <c r="R4131" s="6"/>
      <c r="S4131" s="6"/>
    </row>
    <row r="4132" spans="16:19" x14ac:dyDescent="0.25">
      <c r="P4132" s="7"/>
      <c r="Q4132" s="8"/>
      <c r="R4132" s="6"/>
      <c r="S4132" s="6"/>
    </row>
    <row r="4133" spans="16:19" x14ac:dyDescent="0.25">
      <c r="P4133" s="7"/>
      <c r="Q4133" s="8"/>
      <c r="R4133" s="6"/>
      <c r="S4133" s="6"/>
    </row>
    <row r="4134" spans="16:19" x14ac:dyDescent="0.25">
      <c r="P4134" s="7"/>
      <c r="Q4134" s="8"/>
      <c r="R4134" s="6"/>
      <c r="S4134" s="6"/>
    </row>
    <row r="4135" spans="16:19" x14ac:dyDescent="0.25">
      <c r="P4135" s="7"/>
      <c r="Q4135" s="8"/>
      <c r="R4135" s="6"/>
      <c r="S4135" s="6"/>
    </row>
    <row r="4136" spans="16:19" x14ac:dyDescent="0.25">
      <c r="P4136" s="7"/>
      <c r="Q4136" s="8"/>
      <c r="R4136" s="6"/>
      <c r="S4136" s="6"/>
    </row>
    <row r="4137" spans="16:19" x14ac:dyDescent="0.25">
      <c r="P4137" s="7"/>
      <c r="Q4137" s="8"/>
      <c r="R4137" s="6"/>
      <c r="S4137" s="6"/>
    </row>
    <row r="4138" spans="16:19" x14ac:dyDescent="0.25">
      <c r="P4138" s="7"/>
      <c r="Q4138" s="8"/>
      <c r="R4138" s="6"/>
      <c r="S4138" s="6"/>
    </row>
    <row r="4139" spans="16:19" x14ac:dyDescent="0.25">
      <c r="P4139" s="7"/>
      <c r="Q4139" s="8"/>
      <c r="R4139" s="6"/>
      <c r="S4139" s="6"/>
    </row>
    <row r="4140" spans="16:19" x14ac:dyDescent="0.25">
      <c r="P4140" s="7"/>
      <c r="Q4140" s="8"/>
      <c r="R4140" s="6"/>
      <c r="S4140" s="6"/>
    </row>
    <row r="4141" spans="16:19" x14ac:dyDescent="0.25">
      <c r="P4141" s="7"/>
      <c r="Q4141" s="8"/>
      <c r="R4141" s="6"/>
      <c r="S4141" s="6"/>
    </row>
    <row r="4142" spans="16:19" x14ac:dyDescent="0.25">
      <c r="P4142" s="7"/>
      <c r="Q4142" s="8"/>
      <c r="R4142" s="6"/>
      <c r="S4142" s="6"/>
    </row>
    <row r="4143" spans="16:19" x14ac:dyDescent="0.25">
      <c r="P4143" s="7"/>
      <c r="Q4143" s="8"/>
      <c r="R4143" s="6"/>
      <c r="S4143" s="6"/>
    </row>
    <row r="4144" spans="16:19" x14ac:dyDescent="0.25">
      <c r="P4144" s="7"/>
      <c r="Q4144" s="8"/>
      <c r="R4144" s="6"/>
      <c r="S4144" s="6"/>
    </row>
    <row r="4145" spans="16:19" x14ac:dyDescent="0.25">
      <c r="P4145" s="7"/>
      <c r="Q4145" s="8"/>
      <c r="R4145" s="6"/>
      <c r="S4145" s="6"/>
    </row>
    <row r="4146" spans="16:19" x14ac:dyDescent="0.25">
      <c r="P4146" s="7"/>
      <c r="Q4146" s="8"/>
      <c r="R4146" s="6"/>
      <c r="S4146" s="6"/>
    </row>
    <row r="4147" spans="16:19" x14ac:dyDescent="0.25">
      <c r="P4147" s="7"/>
      <c r="Q4147" s="8"/>
      <c r="R4147" s="6"/>
      <c r="S4147" s="6"/>
    </row>
    <row r="4148" spans="16:19" x14ac:dyDescent="0.25">
      <c r="P4148" s="7"/>
      <c r="Q4148" s="8"/>
      <c r="R4148" s="6"/>
      <c r="S4148" s="6"/>
    </row>
    <row r="4149" spans="16:19" x14ac:dyDescent="0.25">
      <c r="P4149" s="7"/>
      <c r="Q4149" s="8"/>
      <c r="R4149" s="6"/>
      <c r="S4149" s="6"/>
    </row>
    <row r="4150" spans="16:19" x14ac:dyDescent="0.25">
      <c r="P4150" s="7"/>
      <c r="Q4150" s="8"/>
      <c r="R4150" s="6"/>
      <c r="S4150" s="6"/>
    </row>
    <row r="4151" spans="16:19" x14ac:dyDescent="0.25">
      <c r="P4151" s="7"/>
      <c r="Q4151" s="8"/>
      <c r="R4151" s="6"/>
      <c r="S4151" s="6"/>
    </row>
    <row r="4152" spans="16:19" x14ac:dyDescent="0.25">
      <c r="P4152" s="7"/>
      <c r="Q4152" s="8"/>
      <c r="R4152" s="6"/>
      <c r="S4152" s="6"/>
    </row>
    <row r="4153" spans="16:19" x14ac:dyDescent="0.25">
      <c r="P4153" s="7"/>
      <c r="Q4153" s="8"/>
      <c r="R4153" s="6"/>
      <c r="S4153" s="6"/>
    </row>
    <row r="4154" spans="16:19" x14ac:dyDescent="0.25">
      <c r="P4154" s="7"/>
      <c r="Q4154" s="8"/>
      <c r="R4154" s="6"/>
      <c r="S4154" s="6"/>
    </row>
    <row r="4155" spans="16:19" x14ac:dyDescent="0.25">
      <c r="P4155" s="7"/>
      <c r="Q4155" s="8"/>
      <c r="R4155" s="6"/>
      <c r="S4155" s="6"/>
    </row>
    <row r="4156" spans="16:19" x14ac:dyDescent="0.25">
      <c r="P4156" s="7"/>
      <c r="Q4156" s="8"/>
      <c r="R4156" s="6"/>
      <c r="S4156" s="6"/>
    </row>
    <row r="4157" spans="16:19" x14ac:dyDescent="0.25">
      <c r="P4157" s="7"/>
      <c r="Q4157" s="8"/>
      <c r="R4157" s="6"/>
      <c r="S4157" s="6"/>
    </row>
    <row r="4158" spans="16:19" x14ac:dyDescent="0.25">
      <c r="P4158" s="7"/>
      <c r="Q4158" s="8"/>
      <c r="R4158" s="6"/>
      <c r="S4158" s="6"/>
    </row>
    <row r="4159" spans="16:19" x14ac:dyDescent="0.25">
      <c r="P4159" s="7"/>
      <c r="Q4159" s="8"/>
      <c r="R4159" s="6"/>
      <c r="S4159" s="6"/>
    </row>
    <row r="4160" spans="16:19" x14ac:dyDescent="0.25">
      <c r="P4160" s="7"/>
      <c r="Q4160" s="8"/>
      <c r="R4160" s="6"/>
      <c r="S4160" s="6"/>
    </row>
    <row r="4161" spans="16:19" x14ac:dyDescent="0.25">
      <c r="P4161" s="7"/>
      <c r="Q4161" s="8"/>
      <c r="R4161" s="6"/>
      <c r="S4161" s="6"/>
    </row>
    <row r="4162" spans="16:19" x14ac:dyDescent="0.25">
      <c r="P4162" s="7"/>
      <c r="Q4162" s="8"/>
      <c r="R4162" s="6"/>
      <c r="S4162" s="6"/>
    </row>
    <row r="4163" spans="16:19" x14ac:dyDescent="0.25">
      <c r="P4163" s="7"/>
      <c r="Q4163" s="8"/>
      <c r="R4163" s="6"/>
      <c r="S4163" s="6"/>
    </row>
    <row r="4164" spans="16:19" x14ac:dyDescent="0.25">
      <c r="P4164" s="7"/>
      <c r="Q4164" s="8"/>
      <c r="R4164" s="6"/>
      <c r="S4164" s="6"/>
    </row>
    <row r="4165" spans="16:19" x14ac:dyDescent="0.25">
      <c r="P4165" s="7"/>
      <c r="Q4165" s="8"/>
      <c r="R4165" s="6"/>
      <c r="S4165" s="6"/>
    </row>
    <row r="4166" spans="16:19" x14ac:dyDescent="0.25">
      <c r="P4166" s="7"/>
      <c r="Q4166" s="8"/>
      <c r="R4166" s="6"/>
      <c r="S4166" s="6"/>
    </row>
    <row r="4167" spans="16:19" x14ac:dyDescent="0.25">
      <c r="P4167" s="7"/>
      <c r="Q4167" s="8"/>
      <c r="R4167" s="6"/>
      <c r="S4167" s="6"/>
    </row>
    <row r="4168" spans="16:19" x14ac:dyDescent="0.25">
      <c r="P4168" s="7"/>
      <c r="Q4168" s="8"/>
      <c r="R4168" s="6"/>
      <c r="S4168" s="6"/>
    </row>
    <row r="4169" spans="16:19" x14ac:dyDescent="0.25">
      <c r="P4169" s="7"/>
      <c r="Q4169" s="8"/>
      <c r="R4169" s="6"/>
      <c r="S4169" s="6"/>
    </row>
    <row r="4170" spans="16:19" x14ac:dyDescent="0.25">
      <c r="P4170" s="7"/>
      <c r="Q4170" s="8"/>
      <c r="R4170" s="6"/>
      <c r="S4170" s="6"/>
    </row>
    <row r="4171" spans="16:19" x14ac:dyDescent="0.25">
      <c r="P4171" s="7"/>
      <c r="Q4171" s="8"/>
      <c r="R4171" s="6"/>
      <c r="S4171" s="6"/>
    </row>
    <row r="4172" spans="16:19" x14ac:dyDescent="0.25">
      <c r="P4172" s="7"/>
      <c r="Q4172" s="8"/>
      <c r="R4172" s="6"/>
      <c r="S4172" s="6"/>
    </row>
    <row r="4173" spans="16:19" x14ac:dyDescent="0.25">
      <c r="P4173" s="7"/>
      <c r="Q4173" s="8"/>
      <c r="R4173" s="6"/>
      <c r="S4173" s="6"/>
    </row>
    <row r="4174" spans="16:19" x14ac:dyDescent="0.25">
      <c r="P4174" s="7"/>
      <c r="Q4174" s="8"/>
      <c r="R4174" s="6"/>
      <c r="S4174" s="6"/>
    </row>
    <row r="4175" spans="16:19" x14ac:dyDescent="0.25">
      <c r="P4175" s="7"/>
      <c r="Q4175" s="8"/>
      <c r="R4175" s="6"/>
      <c r="S4175" s="6"/>
    </row>
    <row r="4176" spans="16:19" x14ac:dyDescent="0.25">
      <c r="P4176" s="7"/>
      <c r="Q4176" s="8"/>
      <c r="R4176" s="6"/>
      <c r="S4176" s="6"/>
    </row>
    <row r="4177" spans="16:19" x14ac:dyDescent="0.25">
      <c r="P4177" s="7"/>
      <c r="Q4177" s="8"/>
      <c r="R4177" s="6"/>
      <c r="S4177" s="6"/>
    </row>
    <row r="4178" spans="16:19" x14ac:dyDescent="0.25">
      <c r="P4178" s="7"/>
      <c r="Q4178" s="8"/>
      <c r="R4178" s="6"/>
      <c r="S4178" s="6"/>
    </row>
    <row r="4179" spans="16:19" x14ac:dyDescent="0.25">
      <c r="P4179" s="7"/>
      <c r="Q4179" s="8"/>
      <c r="R4179" s="6"/>
      <c r="S4179" s="6"/>
    </row>
    <row r="4180" spans="16:19" x14ac:dyDescent="0.25">
      <c r="P4180" s="7"/>
      <c r="Q4180" s="8"/>
      <c r="R4180" s="6"/>
      <c r="S4180" s="6"/>
    </row>
    <row r="4181" spans="16:19" x14ac:dyDescent="0.25">
      <c r="P4181" s="7"/>
      <c r="Q4181" s="8"/>
      <c r="R4181" s="6"/>
      <c r="S4181" s="6"/>
    </row>
    <row r="4182" spans="16:19" x14ac:dyDescent="0.25">
      <c r="P4182" s="7"/>
      <c r="Q4182" s="8"/>
      <c r="R4182" s="6"/>
      <c r="S4182" s="6"/>
    </row>
    <row r="4183" spans="16:19" x14ac:dyDescent="0.25">
      <c r="P4183" s="7"/>
      <c r="Q4183" s="8"/>
      <c r="R4183" s="6"/>
      <c r="S4183" s="6"/>
    </row>
    <row r="4184" spans="16:19" x14ac:dyDescent="0.25">
      <c r="P4184" s="7"/>
      <c r="Q4184" s="8"/>
      <c r="R4184" s="6"/>
      <c r="S4184" s="6"/>
    </row>
    <row r="4185" spans="16:19" x14ac:dyDescent="0.25">
      <c r="P4185" s="7"/>
      <c r="Q4185" s="8"/>
      <c r="R4185" s="6"/>
      <c r="S4185" s="6"/>
    </row>
    <row r="4186" spans="16:19" x14ac:dyDescent="0.25">
      <c r="P4186" s="7"/>
      <c r="Q4186" s="8"/>
      <c r="R4186" s="6"/>
      <c r="S4186" s="6"/>
    </row>
    <row r="4187" spans="16:19" x14ac:dyDescent="0.25">
      <c r="P4187" s="7"/>
      <c r="Q4187" s="8"/>
      <c r="R4187" s="6"/>
      <c r="S4187" s="6"/>
    </row>
    <row r="4188" spans="16:19" x14ac:dyDescent="0.25">
      <c r="P4188" s="7"/>
      <c r="Q4188" s="8"/>
      <c r="R4188" s="6"/>
      <c r="S4188" s="6"/>
    </row>
    <row r="4189" spans="16:19" x14ac:dyDescent="0.25">
      <c r="P4189" s="7"/>
      <c r="Q4189" s="8"/>
      <c r="R4189" s="6"/>
      <c r="S4189" s="6"/>
    </row>
    <row r="4190" spans="16:19" x14ac:dyDescent="0.25">
      <c r="P4190" s="7"/>
      <c r="Q4190" s="8"/>
      <c r="R4190" s="6"/>
      <c r="S4190" s="6"/>
    </row>
    <row r="4191" spans="16:19" x14ac:dyDescent="0.25">
      <c r="P4191" s="7"/>
      <c r="Q4191" s="8"/>
      <c r="R4191" s="6"/>
      <c r="S4191" s="6"/>
    </row>
    <row r="4192" spans="16:19" x14ac:dyDescent="0.25">
      <c r="P4192" s="7"/>
      <c r="Q4192" s="8"/>
      <c r="R4192" s="6"/>
      <c r="S4192" s="6"/>
    </row>
    <row r="4193" spans="16:19" x14ac:dyDescent="0.25">
      <c r="P4193" s="7"/>
      <c r="Q4193" s="8"/>
      <c r="R4193" s="6"/>
      <c r="S4193" s="6"/>
    </row>
    <row r="4194" spans="16:19" x14ac:dyDescent="0.25">
      <c r="P4194" s="7"/>
      <c r="Q4194" s="8"/>
      <c r="R4194" s="6"/>
      <c r="S4194" s="6"/>
    </row>
    <row r="4195" spans="16:19" x14ac:dyDescent="0.25">
      <c r="P4195" s="7"/>
      <c r="Q4195" s="8"/>
      <c r="R4195" s="6"/>
      <c r="S4195" s="6"/>
    </row>
    <row r="4196" spans="16:19" x14ac:dyDescent="0.25">
      <c r="P4196" s="7"/>
      <c r="Q4196" s="8"/>
      <c r="R4196" s="6"/>
      <c r="S4196" s="6"/>
    </row>
    <row r="4197" spans="16:19" x14ac:dyDescent="0.25">
      <c r="P4197" s="7"/>
      <c r="Q4197" s="8"/>
      <c r="R4197" s="6"/>
      <c r="S4197" s="6"/>
    </row>
    <row r="4198" spans="16:19" x14ac:dyDescent="0.25">
      <c r="P4198" s="7"/>
      <c r="Q4198" s="8"/>
      <c r="R4198" s="6"/>
      <c r="S4198" s="6"/>
    </row>
    <row r="4199" spans="16:19" x14ac:dyDescent="0.25">
      <c r="P4199" s="7"/>
      <c r="Q4199" s="8"/>
      <c r="R4199" s="6"/>
      <c r="S4199" s="6"/>
    </row>
    <row r="4200" spans="16:19" x14ac:dyDescent="0.25">
      <c r="P4200" s="7"/>
      <c r="Q4200" s="8"/>
      <c r="R4200" s="6"/>
      <c r="S4200" s="6"/>
    </row>
    <row r="4201" spans="16:19" x14ac:dyDescent="0.25">
      <c r="P4201" s="7"/>
      <c r="Q4201" s="8"/>
      <c r="R4201" s="6"/>
      <c r="S4201" s="6"/>
    </row>
    <row r="4202" spans="16:19" x14ac:dyDescent="0.25">
      <c r="P4202" s="7"/>
      <c r="Q4202" s="8"/>
      <c r="R4202" s="6"/>
      <c r="S4202" s="6"/>
    </row>
    <row r="4203" spans="16:19" x14ac:dyDescent="0.25">
      <c r="P4203" s="7"/>
      <c r="Q4203" s="8"/>
      <c r="R4203" s="6"/>
      <c r="S4203" s="6"/>
    </row>
    <row r="4204" spans="16:19" x14ac:dyDescent="0.25">
      <c r="P4204" s="7"/>
      <c r="Q4204" s="8"/>
      <c r="R4204" s="6"/>
      <c r="S4204" s="6"/>
    </row>
    <row r="4205" spans="16:19" x14ac:dyDescent="0.25">
      <c r="P4205" s="7"/>
      <c r="Q4205" s="8"/>
      <c r="R4205" s="6"/>
      <c r="S4205" s="6"/>
    </row>
    <row r="4206" spans="16:19" x14ac:dyDescent="0.25">
      <c r="P4206" s="7"/>
      <c r="Q4206" s="8"/>
      <c r="R4206" s="6"/>
      <c r="S4206" s="6"/>
    </row>
    <row r="4207" spans="16:19" x14ac:dyDescent="0.25">
      <c r="P4207" s="7"/>
      <c r="Q4207" s="8"/>
      <c r="R4207" s="6"/>
      <c r="S4207" s="6"/>
    </row>
    <row r="4208" spans="16:19" x14ac:dyDescent="0.25">
      <c r="P4208" s="7"/>
      <c r="Q4208" s="8"/>
      <c r="R4208" s="6"/>
      <c r="S4208" s="6"/>
    </row>
    <row r="4209" spans="16:19" x14ac:dyDescent="0.25">
      <c r="P4209" s="7"/>
      <c r="Q4209" s="8"/>
      <c r="R4209" s="6"/>
      <c r="S4209" s="6"/>
    </row>
    <row r="4210" spans="16:19" x14ac:dyDescent="0.25">
      <c r="P4210" s="7"/>
      <c r="Q4210" s="8"/>
      <c r="R4210" s="6"/>
      <c r="S4210" s="6"/>
    </row>
    <row r="4211" spans="16:19" x14ac:dyDescent="0.25">
      <c r="P4211" s="7"/>
      <c r="Q4211" s="8"/>
      <c r="R4211" s="6"/>
      <c r="S4211" s="6"/>
    </row>
    <row r="4212" spans="16:19" x14ac:dyDescent="0.25">
      <c r="P4212" s="7"/>
      <c r="Q4212" s="8"/>
      <c r="R4212" s="6"/>
      <c r="S4212" s="6"/>
    </row>
    <row r="4213" spans="16:19" x14ac:dyDescent="0.25">
      <c r="P4213" s="7"/>
      <c r="Q4213" s="8"/>
      <c r="R4213" s="6"/>
      <c r="S4213" s="6"/>
    </row>
    <row r="4214" spans="16:19" x14ac:dyDescent="0.25">
      <c r="P4214" s="7"/>
      <c r="Q4214" s="8"/>
      <c r="R4214" s="6"/>
      <c r="S4214" s="6"/>
    </row>
    <row r="4215" spans="16:19" x14ac:dyDescent="0.25">
      <c r="P4215" s="7"/>
      <c r="Q4215" s="8"/>
      <c r="R4215" s="6"/>
      <c r="S4215" s="6"/>
    </row>
    <row r="4216" spans="16:19" x14ac:dyDescent="0.25">
      <c r="P4216" s="7"/>
      <c r="Q4216" s="8"/>
      <c r="R4216" s="6"/>
      <c r="S4216" s="6"/>
    </row>
    <row r="4217" spans="16:19" x14ac:dyDescent="0.25">
      <c r="P4217" s="7"/>
      <c r="Q4217" s="8"/>
      <c r="R4217" s="6"/>
      <c r="S4217" s="6"/>
    </row>
    <row r="4218" spans="16:19" x14ac:dyDescent="0.25">
      <c r="P4218" s="7"/>
      <c r="Q4218" s="8"/>
      <c r="R4218" s="6"/>
      <c r="S4218" s="6"/>
    </row>
    <row r="4219" spans="16:19" x14ac:dyDescent="0.25">
      <c r="P4219" s="7"/>
      <c r="Q4219" s="8"/>
      <c r="R4219" s="6"/>
      <c r="S4219" s="6"/>
    </row>
    <row r="4220" spans="16:19" x14ac:dyDescent="0.25">
      <c r="P4220" s="7"/>
      <c r="Q4220" s="8"/>
      <c r="R4220" s="6"/>
      <c r="S4220" s="6"/>
    </row>
    <row r="4221" spans="16:19" x14ac:dyDescent="0.25">
      <c r="P4221" s="7"/>
      <c r="Q4221" s="8"/>
      <c r="R4221" s="6"/>
      <c r="S4221" s="6"/>
    </row>
    <row r="4222" spans="16:19" x14ac:dyDescent="0.25">
      <c r="P4222" s="7"/>
      <c r="Q4222" s="8"/>
      <c r="R4222" s="6"/>
      <c r="S4222" s="6"/>
    </row>
    <row r="4223" spans="16:19" x14ac:dyDescent="0.25">
      <c r="P4223" s="7"/>
      <c r="Q4223" s="8"/>
      <c r="R4223" s="6"/>
      <c r="S4223" s="6"/>
    </row>
    <row r="4224" spans="16:19" x14ac:dyDescent="0.25">
      <c r="P4224" s="7"/>
      <c r="Q4224" s="8"/>
      <c r="R4224" s="6"/>
      <c r="S4224" s="6"/>
    </row>
    <row r="4225" spans="16:19" x14ac:dyDescent="0.25">
      <c r="P4225" s="7"/>
      <c r="Q4225" s="8"/>
      <c r="R4225" s="6"/>
      <c r="S4225" s="6"/>
    </row>
    <row r="4226" spans="16:19" x14ac:dyDescent="0.25">
      <c r="P4226" s="7"/>
      <c r="Q4226" s="8"/>
      <c r="R4226" s="6"/>
      <c r="S4226" s="6"/>
    </row>
    <row r="4227" spans="16:19" x14ac:dyDescent="0.25">
      <c r="P4227" s="7"/>
      <c r="Q4227" s="8"/>
      <c r="R4227" s="6"/>
      <c r="S4227" s="6"/>
    </row>
    <row r="4228" spans="16:19" x14ac:dyDescent="0.25">
      <c r="P4228" s="7"/>
      <c r="Q4228" s="8"/>
      <c r="R4228" s="6"/>
      <c r="S4228" s="6"/>
    </row>
    <row r="4229" spans="16:19" x14ac:dyDescent="0.25">
      <c r="P4229" s="7"/>
      <c r="Q4229" s="8"/>
      <c r="R4229" s="6"/>
      <c r="S4229" s="6"/>
    </row>
    <row r="4230" spans="16:19" x14ac:dyDescent="0.25">
      <c r="P4230" s="7"/>
      <c r="Q4230" s="8"/>
      <c r="R4230" s="6"/>
      <c r="S4230" s="6"/>
    </row>
    <row r="4231" spans="16:19" x14ac:dyDescent="0.25">
      <c r="P4231" s="7"/>
      <c r="Q4231" s="8"/>
      <c r="R4231" s="6"/>
      <c r="S4231" s="6"/>
    </row>
    <row r="4232" spans="16:19" x14ac:dyDescent="0.25">
      <c r="P4232" s="7"/>
      <c r="Q4232" s="8"/>
      <c r="R4232" s="6"/>
      <c r="S4232" s="6"/>
    </row>
    <row r="4233" spans="16:19" x14ac:dyDescent="0.25">
      <c r="P4233" s="7"/>
      <c r="Q4233" s="8"/>
      <c r="R4233" s="6"/>
      <c r="S4233" s="6"/>
    </row>
    <row r="4234" spans="16:19" x14ac:dyDescent="0.25">
      <c r="P4234" s="7"/>
      <c r="Q4234" s="8"/>
      <c r="R4234" s="6"/>
      <c r="S4234" s="6"/>
    </row>
    <row r="4235" spans="16:19" x14ac:dyDescent="0.25">
      <c r="P4235" s="7"/>
      <c r="Q4235" s="8"/>
      <c r="R4235" s="6"/>
      <c r="S4235" s="6"/>
    </row>
    <row r="4236" spans="16:19" x14ac:dyDescent="0.25">
      <c r="P4236" s="7"/>
      <c r="Q4236" s="8"/>
      <c r="R4236" s="6"/>
      <c r="S4236" s="6"/>
    </row>
    <row r="4237" spans="16:19" x14ac:dyDescent="0.25">
      <c r="P4237" s="7"/>
      <c r="Q4237" s="8"/>
      <c r="R4237" s="6"/>
      <c r="S4237" s="6"/>
    </row>
    <row r="4238" spans="16:19" x14ac:dyDescent="0.25">
      <c r="P4238" s="7"/>
      <c r="Q4238" s="8"/>
      <c r="R4238" s="6"/>
      <c r="S4238" s="6"/>
    </row>
    <row r="4239" spans="16:19" x14ac:dyDescent="0.25">
      <c r="P4239" s="7"/>
      <c r="Q4239" s="8"/>
      <c r="R4239" s="6"/>
      <c r="S4239" s="6"/>
    </row>
    <row r="4240" spans="16:19" x14ac:dyDescent="0.25">
      <c r="P4240" s="7"/>
      <c r="Q4240" s="8"/>
      <c r="R4240" s="6"/>
      <c r="S4240" s="6"/>
    </row>
    <row r="4241" spans="16:19" x14ac:dyDescent="0.25">
      <c r="P4241" s="7"/>
      <c r="Q4241" s="8"/>
      <c r="R4241" s="6"/>
      <c r="S4241" s="6"/>
    </row>
    <row r="4242" spans="16:19" x14ac:dyDescent="0.25">
      <c r="P4242" s="7"/>
      <c r="Q4242" s="8"/>
      <c r="R4242" s="6"/>
      <c r="S4242" s="6"/>
    </row>
    <row r="4243" spans="16:19" x14ac:dyDescent="0.25">
      <c r="P4243" s="7"/>
      <c r="Q4243" s="8"/>
      <c r="R4243" s="6"/>
      <c r="S4243" s="6"/>
    </row>
    <row r="4244" spans="16:19" x14ac:dyDescent="0.25">
      <c r="P4244" s="7"/>
      <c r="Q4244" s="8"/>
      <c r="R4244" s="6"/>
      <c r="S4244" s="6"/>
    </row>
    <row r="4245" spans="16:19" x14ac:dyDescent="0.25">
      <c r="P4245" s="7"/>
      <c r="Q4245" s="8"/>
      <c r="R4245" s="6"/>
      <c r="S4245" s="6"/>
    </row>
    <row r="4246" spans="16:19" x14ac:dyDescent="0.25">
      <c r="P4246" s="7"/>
      <c r="Q4246" s="8"/>
      <c r="R4246" s="6"/>
      <c r="S4246" s="6"/>
    </row>
    <row r="4247" spans="16:19" x14ac:dyDescent="0.25">
      <c r="P4247" s="7"/>
      <c r="Q4247" s="8"/>
      <c r="R4247" s="6"/>
      <c r="S4247" s="6"/>
    </row>
    <row r="4248" spans="16:19" x14ac:dyDescent="0.25">
      <c r="P4248" s="7"/>
      <c r="Q4248" s="8"/>
      <c r="R4248" s="6"/>
      <c r="S4248" s="6"/>
    </row>
    <row r="4249" spans="16:19" x14ac:dyDescent="0.25">
      <c r="P4249" s="7"/>
      <c r="Q4249" s="8"/>
      <c r="R4249" s="6"/>
      <c r="S4249" s="6"/>
    </row>
    <row r="4250" spans="16:19" x14ac:dyDescent="0.25">
      <c r="P4250" s="7"/>
      <c r="Q4250" s="8"/>
      <c r="R4250" s="6"/>
      <c r="S4250" s="6"/>
    </row>
    <row r="4251" spans="16:19" x14ac:dyDescent="0.25">
      <c r="P4251" s="7"/>
      <c r="Q4251" s="8"/>
      <c r="R4251" s="6"/>
      <c r="S4251" s="6"/>
    </row>
    <row r="4252" spans="16:19" x14ac:dyDescent="0.25">
      <c r="P4252" s="7"/>
      <c r="Q4252" s="8"/>
      <c r="R4252" s="6"/>
      <c r="S4252" s="6"/>
    </row>
    <row r="4253" spans="16:19" x14ac:dyDescent="0.25">
      <c r="P4253" s="7"/>
      <c r="Q4253" s="8"/>
      <c r="R4253" s="6"/>
      <c r="S4253" s="6"/>
    </row>
    <row r="4254" spans="16:19" x14ac:dyDescent="0.25">
      <c r="P4254" s="7"/>
      <c r="Q4254" s="8"/>
      <c r="R4254" s="6"/>
      <c r="S4254" s="6"/>
    </row>
    <row r="4255" spans="16:19" x14ac:dyDescent="0.25">
      <c r="P4255" s="7"/>
      <c r="Q4255" s="8"/>
      <c r="R4255" s="6"/>
      <c r="S4255" s="6"/>
    </row>
    <row r="4256" spans="16:19" x14ac:dyDescent="0.25">
      <c r="P4256" s="7"/>
      <c r="Q4256" s="8"/>
      <c r="R4256" s="6"/>
      <c r="S4256" s="6"/>
    </row>
    <row r="4257" spans="16:19" x14ac:dyDescent="0.25">
      <c r="P4257" s="7"/>
      <c r="Q4257" s="8"/>
      <c r="R4257" s="6"/>
      <c r="S4257" s="6"/>
    </row>
    <row r="4258" spans="16:19" x14ac:dyDescent="0.25">
      <c r="P4258" s="7"/>
      <c r="Q4258" s="8"/>
      <c r="R4258" s="6"/>
      <c r="S4258" s="6"/>
    </row>
    <row r="4259" spans="16:19" x14ac:dyDescent="0.25">
      <c r="P4259" s="7"/>
      <c r="Q4259" s="8"/>
      <c r="R4259" s="6"/>
      <c r="S4259" s="6"/>
    </row>
    <row r="4260" spans="16:19" x14ac:dyDescent="0.25">
      <c r="P4260" s="7"/>
      <c r="Q4260" s="8"/>
      <c r="R4260" s="6"/>
      <c r="S4260" s="6"/>
    </row>
    <row r="4261" spans="16:19" x14ac:dyDescent="0.25">
      <c r="P4261" s="7"/>
      <c r="Q4261" s="8"/>
      <c r="R4261" s="6"/>
      <c r="S4261" s="6"/>
    </row>
    <row r="4262" spans="16:19" x14ac:dyDescent="0.25">
      <c r="P4262" s="7"/>
      <c r="Q4262" s="8"/>
      <c r="R4262" s="6"/>
      <c r="S4262" s="6"/>
    </row>
    <row r="4263" spans="16:19" x14ac:dyDescent="0.25">
      <c r="P4263" s="7"/>
      <c r="Q4263" s="8"/>
      <c r="R4263" s="6"/>
      <c r="S4263" s="6"/>
    </row>
    <row r="4264" spans="16:19" x14ac:dyDescent="0.25">
      <c r="P4264" s="7"/>
      <c r="Q4264" s="8"/>
      <c r="R4264" s="6"/>
      <c r="S4264" s="6"/>
    </row>
    <row r="4265" spans="16:19" x14ac:dyDescent="0.25">
      <c r="P4265" s="7"/>
      <c r="Q4265" s="8"/>
      <c r="R4265" s="6"/>
      <c r="S4265" s="6"/>
    </row>
    <row r="4266" spans="16:19" x14ac:dyDescent="0.25">
      <c r="P4266" s="7"/>
      <c r="Q4266" s="8"/>
      <c r="R4266" s="6"/>
      <c r="S4266" s="6"/>
    </row>
    <row r="4267" spans="16:19" x14ac:dyDescent="0.25">
      <c r="P4267" s="7"/>
      <c r="Q4267" s="8"/>
      <c r="R4267" s="6"/>
      <c r="S4267" s="6"/>
    </row>
    <row r="4268" spans="16:19" x14ac:dyDescent="0.25">
      <c r="P4268" s="7"/>
      <c r="Q4268" s="8"/>
      <c r="R4268" s="6"/>
      <c r="S4268" s="6"/>
    </row>
    <row r="4269" spans="16:19" x14ac:dyDescent="0.25">
      <c r="P4269" s="7"/>
      <c r="Q4269" s="8"/>
      <c r="R4269" s="6"/>
      <c r="S4269" s="6"/>
    </row>
    <row r="4270" spans="16:19" x14ac:dyDescent="0.25">
      <c r="P4270" s="7"/>
      <c r="Q4270" s="8"/>
      <c r="R4270" s="6"/>
      <c r="S4270" s="6"/>
    </row>
    <row r="4271" spans="16:19" x14ac:dyDescent="0.25">
      <c r="P4271" s="7"/>
      <c r="Q4271" s="8"/>
      <c r="R4271" s="6"/>
      <c r="S4271" s="6"/>
    </row>
    <row r="4272" spans="16:19" x14ac:dyDescent="0.25">
      <c r="P4272" s="7"/>
      <c r="Q4272" s="8"/>
      <c r="R4272" s="6"/>
      <c r="S4272" s="6"/>
    </row>
    <row r="4273" spans="16:19" x14ac:dyDescent="0.25">
      <c r="P4273" s="7"/>
      <c r="Q4273" s="8"/>
      <c r="R4273" s="6"/>
      <c r="S4273" s="6"/>
    </row>
    <row r="4274" spans="16:19" x14ac:dyDescent="0.25">
      <c r="P4274" s="7"/>
      <c r="Q4274" s="8"/>
      <c r="R4274" s="6"/>
      <c r="S4274" s="6"/>
    </row>
    <row r="4275" spans="16:19" x14ac:dyDescent="0.25">
      <c r="P4275" s="7"/>
      <c r="Q4275" s="8"/>
      <c r="R4275" s="6"/>
      <c r="S4275" s="6"/>
    </row>
    <row r="4276" spans="16:19" x14ac:dyDescent="0.25">
      <c r="P4276" s="7"/>
      <c r="Q4276" s="8"/>
      <c r="R4276" s="6"/>
      <c r="S4276" s="6"/>
    </row>
    <row r="4277" spans="16:19" x14ac:dyDescent="0.25">
      <c r="P4277" s="7"/>
      <c r="Q4277" s="8"/>
      <c r="R4277" s="6"/>
      <c r="S4277" s="6"/>
    </row>
    <row r="4278" spans="16:19" x14ac:dyDescent="0.25">
      <c r="P4278" s="7"/>
      <c r="Q4278" s="8"/>
      <c r="R4278" s="6"/>
      <c r="S4278" s="6"/>
    </row>
    <row r="4279" spans="16:19" x14ac:dyDescent="0.25">
      <c r="P4279" s="7"/>
      <c r="Q4279" s="8"/>
      <c r="R4279" s="6"/>
      <c r="S4279" s="6"/>
    </row>
    <row r="4280" spans="16:19" x14ac:dyDescent="0.25">
      <c r="P4280" s="7"/>
      <c r="Q4280" s="8"/>
      <c r="R4280" s="6"/>
      <c r="S4280" s="6"/>
    </row>
    <row r="4281" spans="16:19" x14ac:dyDescent="0.25">
      <c r="P4281" s="7"/>
      <c r="Q4281" s="8"/>
      <c r="R4281" s="6"/>
      <c r="S4281" s="6"/>
    </row>
    <row r="4282" spans="16:19" x14ac:dyDescent="0.25">
      <c r="P4282" s="7"/>
      <c r="Q4282" s="8"/>
      <c r="R4282" s="6"/>
      <c r="S4282" s="6"/>
    </row>
    <row r="4283" spans="16:19" x14ac:dyDescent="0.25">
      <c r="P4283" s="7"/>
      <c r="Q4283" s="8"/>
      <c r="R4283" s="6"/>
      <c r="S4283" s="6"/>
    </row>
    <row r="4284" spans="16:19" x14ac:dyDescent="0.25">
      <c r="P4284" s="7"/>
      <c r="Q4284" s="8"/>
      <c r="R4284" s="6"/>
      <c r="S4284" s="6"/>
    </row>
    <row r="4285" spans="16:19" x14ac:dyDescent="0.25">
      <c r="P4285" s="7"/>
      <c r="Q4285" s="8"/>
      <c r="R4285" s="6"/>
      <c r="S4285" s="6"/>
    </row>
    <row r="4286" spans="16:19" x14ac:dyDescent="0.25">
      <c r="P4286" s="7"/>
      <c r="Q4286" s="8"/>
      <c r="R4286" s="6"/>
      <c r="S4286" s="6"/>
    </row>
    <row r="4287" spans="16:19" x14ac:dyDescent="0.25">
      <c r="P4287" s="7"/>
      <c r="Q4287" s="8"/>
      <c r="R4287" s="6"/>
      <c r="S4287" s="6"/>
    </row>
    <row r="4288" spans="16:19" x14ac:dyDescent="0.25">
      <c r="P4288" s="7"/>
      <c r="Q4288" s="8"/>
      <c r="R4288" s="6"/>
      <c r="S4288" s="6"/>
    </row>
    <row r="4289" spans="16:19" x14ac:dyDescent="0.25">
      <c r="P4289" s="7"/>
      <c r="Q4289" s="8"/>
      <c r="R4289" s="6"/>
      <c r="S4289" s="6"/>
    </row>
    <row r="4290" spans="16:19" x14ac:dyDescent="0.25">
      <c r="P4290" s="7"/>
      <c r="Q4290" s="8"/>
      <c r="R4290" s="6"/>
      <c r="S4290" s="6"/>
    </row>
    <row r="4291" spans="16:19" x14ac:dyDescent="0.25">
      <c r="P4291" s="7"/>
      <c r="Q4291" s="8"/>
      <c r="R4291" s="6"/>
      <c r="S4291" s="6"/>
    </row>
    <row r="4292" spans="16:19" x14ac:dyDescent="0.25">
      <c r="P4292" s="7"/>
      <c r="Q4292" s="8"/>
      <c r="R4292" s="6"/>
      <c r="S4292" s="6"/>
    </row>
    <row r="4293" spans="16:19" x14ac:dyDescent="0.25">
      <c r="P4293" s="7"/>
      <c r="Q4293" s="8"/>
      <c r="R4293" s="6"/>
      <c r="S4293" s="6"/>
    </row>
    <row r="4294" spans="16:19" x14ac:dyDescent="0.25">
      <c r="P4294" s="7"/>
      <c r="Q4294" s="8"/>
      <c r="R4294" s="6"/>
      <c r="S4294" s="6"/>
    </row>
    <row r="4295" spans="16:19" x14ac:dyDescent="0.25">
      <c r="P4295" s="7"/>
      <c r="Q4295" s="8"/>
      <c r="R4295" s="6"/>
      <c r="S4295" s="6"/>
    </row>
    <row r="4296" spans="16:19" x14ac:dyDescent="0.25">
      <c r="P4296" s="7"/>
      <c r="Q4296" s="8"/>
      <c r="R4296" s="6"/>
      <c r="S4296" s="6"/>
    </row>
    <row r="4297" spans="16:19" x14ac:dyDescent="0.25">
      <c r="P4297" s="7"/>
      <c r="Q4297" s="8"/>
      <c r="R4297" s="6"/>
      <c r="S4297" s="6"/>
    </row>
    <row r="4298" spans="16:19" x14ac:dyDescent="0.25">
      <c r="P4298" s="7"/>
      <c r="Q4298" s="8"/>
      <c r="R4298" s="6"/>
      <c r="S4298" s="6"/>
    </row>
    <row r="4299" spans="16:19" x14ac:dyDescent="0.25">
      <c r="P4299" s="7"/>
      <c r="Q4299" s="8"/>
      <c r="R4299" s="6"/>
      <c r="S4299" s="6"/>
    </row>
    <row r="4300" spans="16:19" x14ac:dyDescent="0.25">
      <c r="P4300" s="7"/>
      <c r="Q4300" s="8"/>
      <c r="R4300" s="6"/>
      <c r="S4300" s="6"/>
    </row>
    <row r="4301" spans="16:19" x14ac:dyDescent="0.25">
      <c r="P4301" s="7"/>
      <c r="Q4301" s="8"/>
      <c r="R4301" s="6"/>
      <c r="S4301" s="6"/>
    </row>
    <row r="4302" spans="16:19" x14ac:dyDescent="0.25">
      <c r="P4302" s="7"/>
      <c r="Q4302" s="8"/>
      <c r="R4302" s="6"/>
      <c r="S4302" s="6"/>
    </row>
    <row r="4303" spans="16:19" x14ac:dyDescent="0.25">
      <c r="P4303" s="7"/>
      <c r="Q4303" s="8"/>
      <c r="R4303" s="6"/>
      <c r="S4303" s="6"/>
    </row>
    <row r="4304" spans="16:19" x14ac:dyDescent="0.25">
      <c r="P4304" s="7"/>
      <c r="Q4304" s="8"/>
      <c r="R4304" s="6"/>
      <c r="S4304" s="6"/>
    </row>
    <row r="4305" spans="16:19" x14ac:dyDescent="0.25">
      <c r="P4305" s="7"/>
      <c r="Q4305" s="8"/>
      <c r="R4305" s="6"/>
      <c r="S4305" s="6"/>
    </row>
    <row r="4306" spans="16:19" x14ac:dyDescent="0.25">
      <c r="P4306" s="7"/>
      <c r="Q4306" s="8"/>
      <c r="R4306" s="6"/>
      <c r="S4306" s="6"/>
    </row>
    <row r="4307" spans="16:19" x14ac:dyDescent="0.25">
      <c r="P4307" s="7"/>
      <c r="Q4307" s="8"/>
      <c r="R4307" s="6"/>
      <c r="S4307" s="6"/>
    </row>
    <row r="4308" spans="16:19" x14ac:dyDescent="0.25">
      <c r="P4308" s="7"/>
      <c r="Q4308" s="8"/>
      <c r="R4308" s="6"/>
      <c r="S4308" s="6"/>
    </row>
    <row r="4309" spans="16:19" x14ac:dyDescent="0.25">
      <c r="P4309" s="7"/>
      <c r="Q4309" s="8"/>
      <c r="R4309" s="6"/>
      <c r="S4309" s="6"/>
    </row>
    <row r="4310" spans="16:19" x14ac:dyDescent="0.25">
      <c r="P4310" s="7"/>
      <c r="Q4310" s="8"/>
      <c r="R4310" s="6"/>
      <c r="S4310" s="6"/>
    </row>
    <row r="4311" spans="16:19" x14ac:dyDescent="0.25">
      <c r="P4311" s="7"/>
      <c r="Q4311" s="8"/>
      <c r="R4311" s="6"/>
      <c r="S4311" s="6"/>
    </row>
    <row r="4312" spans="16:19" x14ac:dyDescent="0.25">
      <c r="P4312" s="7"/>
      <c r="Q4312" s="8"/>
      <c r="R4312" s="6"/>
      <c r="S4312" s="6"/>
    </row>
    <row r="4313" spans="16:19" x14ac:dyDescent="0.25">
      <c r="P4313" s="7"/>
      <c r="Q4313" s="8"/>
      <c r="R4313" s="6"/>
      <c r="S4313" s="6"/>
    </row>
    <row r="4314" spans="16:19" x14ac:dyDescent="0.25">
      <c r="P4314" s="7"/>
      <c r="Q4314" s="8"/>
      <c r="R4314" s="6"/>
      <c r="S4314" s="6"/>
    </row>
    <row r="4315" spans="16:19" x14ac:dyDescent="0.25">
      <c r="P4315" s="7"/>
      <c r="Q4315" s="8"/>
      <c r="R4315" s="6"/>
      <c r="S4315" s="6"/>
    </row>
    <row r="4316" spans="16:19" x14ac:dyDescent="0.25">
      <c r="P4316" s="7"/>
      <c r="Q4316" s="8"/>
      <c r="R4316" s="6"/>
      <c r="S4316" s="6"/>
    </row>
    <row r="4317" spans="16:19" x14ac:dyDescent="0.25">
      <c r="P4317" s="7"/>
      <c r="Q4317" s="8"/>
      <c r="R4317" s="6"/>
      <c r="S4317" s="6"/>
    </row>
    <row r="4318" spans="16:19" x14ac:dyDescent="0.25">
      <c r="P4318" s="7"/>
      <c r="Q4318" s="8"/>
      <c r="R4318" s="6"/>
      <c r="S4318" s="6"/>
    </row>
    <row r="4319" spans="16:19" x14ac:dyDescent="0.25">
      <c r="P4319" s="7"/>
      <c r="Q4319" s="8"/>
      <c r="R4319" s="6"/>
      <c r="S4319" s="6"/>
    </row>
    <row r="4320" spans="16:19" x14ac:dyDescent="0.25">
      <c r="P4320" s="7"/>
      <c r="Q4320" s="8"/>
      <c r="R4320" s="6"/>
      <c r="S4320" s="6"/>
    </row>
    <row r="4321" spans="16:19" x14ac:dyDescent="0.25">
      <c r="P4321" s="7"/>
      <c r="Q4321" s="8"/>
      <c r="R4321" s="6"/>
      <c r="S4321" s="6"/>
    </row>
    <row r="4322" spans="16:19" x14ac:dyDescent="0.25">
      <c r="P4322" s="7"/>
      <c r="Q4322" s="8"/>
      <c r="R4322" s="6"/>
      <c r="S4322" s="6"/>
    </row>
    <row r="4323" spans="16:19" x14ac:dyDescent="0.25">
      <c r="P4323" s="7"/>
      <c r="Q4323" s="8"/>
      <c r="R4323" s="6"/>
      <c r="S4323" s="6"/>
    </row>
    <row r="4324" spans="16:19" x14ac:dyDescent="0.25">
      <c r="P4324" s="7"/>
      <c r="Q4324" s="8"/>
      <c r="R4324" s="6"/>
      <c r="S4324" s="6"/>
    </row>
    <row r="4325" spans="16:19" x14ac:dyDescent="0.25">
      <c r="P4325" s="7"/>
      <c r="Q4325" s="8"/>
      <c r="R4325" s="6"/>
      <c r="S4325" s="6"/>
    </row>
    <row r="4326" spans="16:19" x14ac:dyDescent="0.25">
      <c r="P4326" s="7"/>
      <c r="Q4326" s="8"/>
      <c r="R4326" s="6"/>
      <c r="S4326" s="6"/>
    </row>
    <row r="4327" spans="16:19" x14ac:dyDescent="0.25">
      <c r="P4327" s="7"/>
      <c r="Q4327" s="8"/>
      <c r="R4327" s="6"/>
      <c r="S4327" s="6"/>
    </row>
    <row r="4328" spans="16:19" x14ac:dyDescent="0.25">
      <c r="P4328" s="7"/>
      <c r="Q4328" s="8"/>
      <c r="R4328" s="6"/>
      <c r="S4328" s="6"/>
    </row>
    <row r="4329" spans="16:19" x14ac:dyDescent="0.25">
      <c r="P4329" s="7"/>
      <c r="Q4329" s="8"/>
      <c r="R4329" s="6"/>
      <c r="S4329" s="6"/>
    </row>
    <row r="4330" spans="16:19" x14ac:dyDescent="0.25">
      <c r="P4330" s="7"/>
      <c r="Q4330" s="8"/>
      <c r="R4330" s="6"/>
      <c r="S4330" s="6"/>
    </row>
    <row r="4331" spans="16:19" x14ac:dyDescent="0.25">
      <c r="P4331" s="7"/>
      <c r="Q4331" s="8"/>
      <c r="R4331" s="6"/>
      <c r="S4331" s="6"/>
    </row>
    <row r="4332" spans="16:19" x14ac:dyDescent="0.25">
      <c r="P4332" s="7"/>
      <c r="Q4332" s="8"/>
      <c r="R4332" s="6"/>
      <c r="S4332" s="6"/>
    </row>
    <row r="4333" spans="16:19" x14ac:dyDescent="0.25">
      <c r="P4333" s="7"/>
      <c r="Q4333" s="8"/>
      <c r="R4333" s="6"/>
      <c r="S4333" s="6"/>
    </row>
    <row r="4334" spans="16:19" x14ac:dyDescent="0.25">
      <c r="P4334" s="7"/>
      <c r="Q4334" s="8"/>
      <c r="R4334" s="6"/>
      <c r="S4334" s="6"/>
    </row>
    <row r="4335" spans="16:19" x14ac:dyDescent="0.25">
      <c r="P4335" s="7"/>
      <c r="Q4335" s="8"/>
      <c r="R4335" s="6"/>
      <c r="S4335" s="6"/>
    </row>
    <row r="4336" spans="16:19" x14ac:dyDescent="0.25">
      <c r="P4336" s="7"/>
      <c r="Q4336" s="8"/>
      <c r="R4336" s="6"/>
      <c r="S4336" s="6"/>
    </row>
    <row r="4337" spans="16:19" x14ac:dyDescent="0.25">
      <c r="P4337" s="7"/>
      <c r="Q4337" s="8"/>
      <c r="R4337" s="6"/>
      <c r="S4337" s="6"/>
    </row>
    <row r="4338" spans="16:19" x14ac:dyDescent="0.25">
      <c r="P4338" s="7"/>
      <c r="Q4338" s="8"/>
      <c r="R4338" s="6"/>
      <c r="S4338" s="6"/>
    </row>
    <row r="4339" spans="16:19" x14ac:dyDescent="0.25">
      <c r="P4339" s="7"/>
      <c r="Q4339" s="8"/>
      <c r="R4339" s="6"/>
      <c r="S4339" s="6"/>
    </row>
    <row r="4340" spans="16:19" x14ac:dyDescent="0.25">
      <c r="P4340" s="7"/>
      <c r="Q4340" s="8"/>
      <c r="R4340" s="6"/>
      <c r="S4340" s="6"/>
    </row>
    <row r="4341" spans="16:19" x14ac:dyDescent="0.25">
      <c r="P4341" s="7"/>
      <c r="Q4341" s="8"/>
      <c r="R4341" s="6"/>
      <c r="S4341" s="6"/>
    </row>
    <row r="4342" spans="16:19" x14ac:dyDescent="0.25">
      <c r="P4342" s="7"/>
      <c r="Q4342" s="8"/>
      <c r="R4342" s="6"/>
      <c r="S4342" s="6"/>
    </row>
    <row r="4343" spans="16:19" x14ac:dyDescent="0.25">
      <c r="P4343" s="7"/>
      <c r="Q4343" s="8"/>
      <c r="R4343" s="6"/>
      <c r="S4343" s="6"/>
    </row>
    <row r="4344" spans="16:19" x14ac:dyDescent="0.25">
      <c r="P4344" s="7"/>
      <c r="Q4344" s="8"/>
      <c r="R4344" s="6"/>
      <c r="S4344" s="6"/>
    </row>
    <row r="4345" spans="16:19" x14ac:dyDescent="0.25">
      <c r="P4345" s="7"/>
      <c r="Q4345" s="8"/>
      <c r="R4345" s="6"/>
      <c r="S4345" s="6"/>
    </row>
    <row r="4346" spans="16:19" x14ac:dyDescent="0.25">
      <c r="P4346" s="7"/>
      <c r="Q4346" s="8"/>
      <c r="R4346" s="6"/>
      <c r="S4346" s="6"/>
    </row>
    <row r="4347" spans="16:19" x14ac:dyDescent="0.25">
      <c r="P4347" s="7"/>
      <c r="Q4347" s="8"/>
      <c r="R4347" s="6"/>
      <c r="S4347" s="6"/>
    </row>
    <row r="4348" spans="16:19" x14ac:dyDescent="0.25">
      <c r="P4348" s="7"/>
      <c r="Q4348" s="8"/>
      <c r="R4348" s="6"/>
      <c r="S4348" s="6"/>
    </row>
    <row r="4349" spans="16:19" x14ac:dyDescent="0.25">
      <c r="P4349" s="7"/>
      <c r="Q4349" s="8"/>
      <c r="R4349" s="6"/>
      <c r="S4349" s="6"/>
    </row>
    <row r="4350" spans="16:19" x14ac:dyDescent="0.25">
      <c r="P4350" s="7"/>
      <c r="Q4350" s="8"/>
      <c r="R4350" s="6"/>
      <c r="S4350" s="6"/>
    </row>
    <row r="4351" spans="16:19" x14ac:dyDescent="0.25">
      <c r="P4351" s="7"/>
      <c r="Q4351" s="8"/>
      <c r="R4351" s="6"/>
      <c r="S4351" s="6"/>
    </row>
    <row r="4352" spans="16:19" x14ac:dyDescent="0.25">
      <c r="P4352" s="7"/>
      <c r="Q4352" s="8"/>
      <c r="R4352" s="6"/>
      <c r="S4352" s="6"/>
    </row>
    <row r="4353" spans="16:19" x14ac:dyDescent="0.25">
      <c r="P4353" s="7"/>
      <c r="Q4353" s="8"/>
      <c r="R4353" s="6"/>
      <c r="S4353" s="6"/>
    </row>
    <row r="4354" spans="16:19" x14ac:dyDescent="0.25">
      <c r="P4354" s="7"/>
      <c r="Q4354" s="8"/>
      <c r="R4354" s="6"/>
      <c r="S4354" s="6"/>
    </row>
    <row r="4355" spans="16:19" x14ac:dyDescent="0.25">
      <c r="P4355" s="7"/>
      <c r="Q4355" s="8"/>
      <c r="R4355" s="6"/>
      <c r="S4355" s="6"/>
    </row>
    <row r="4356" spans="16:19" x14ac:dyDescent="0.25">
      <c r="P4356" s="7"/>
      <c r="Q4356" s="8"/>
      <c r="R4356" s="6"/>
      <c r="S4356" s="6"/>
    </row>
    <row r="4357" spans="16:19" x14ac:dyDescent="0.25">
      <c r="P4357" s="7"/>
      <c r="Q4357" s="8"/>
      <c r="R4357" s="6"/>
      <c r="S4357" s="6"/>
    </row>
    <row r="4358" spans="16:19" x14ac:dyDescent="0.25">
      <c r="P4358" s="7"/>
      <c r="Q4358" s="8"/>
      <c r="R4358" s="6"/>
      <c r="S4358" s="6"/>
    </row>
    <row r="4359" spans="16:19" x14ac:dyDescent="0.25">
      <c r="P4359" s="7"/>
      <c r="Q4359" s="8"/>
      <c r="R4359" s="6"/>
      <c r="S4359" s="6"/>
    </row>
    <row r="4360" spans="16:19" x14ac:dyDescent="0.25">
      <c r="P4360" s="7"/>
      <c r="Q4360" s="8"/>
      <c r="R4360" s="6"/>
      <c r="S4360" s="6"/>
    </row>
    <row r="4361" spans="16:19" x14ac:dyDescent="0.25">
      <c r="P4361" s="7"/>
      <c r="Q4361" s="8"/>
      <c r="R4361" s="6"/>
      <c r="S4361" s="6"/>
    </row>
    <row r="4362" spans="16:19" x14ac:dyDescent="0.25">
      <c r="P4362" s="7"/>
      <c r="Q4362" s="8"/>
      <c r="R4362" s="6"/>
      <c r="S4362" s="6"/>
    </row>
    <row r="4363" spans="16:19" x14ac:dyDescent="0.25">
      <c r="P4363" s="7"/>
      <c r="Q4363" s="8"/>
      <c r="R4363" s="6"/>
      <c r="S4363" s="6"/>
    </row>
    <row r="4364" spans="16:19" x14ac:dyDescent="0.25">
      <c r="P4364" s="7"/>
      <c r="Q4364" s="8"/>
      <c r="R4364" s="6"/>
      <c r="S4364" s="6"/>
    </row>
    <row r="4365" spans="16:19" x14ac:dyDescent="0.25">
      <c r="P4365" s="7"/>
      <c r="Q4365" s="8"/>
      <c r="R4365" s="6"/>
      <c r="S4365" s="6"/>
    </row>
    <row r="4366" spans="16:19" x14ac:dyDescent="0.25">
      <c r="P4366" s="7"/>
      <c r="Q4366" s="8"/>
      <c r="R4366" s="6"/>
      <c r="S4366" s="6"/>
    </row>
    <row r="4367" spans="16:19" x14ac:dyDescent="0.25">
      <c r="P4367" s="7"/>
      <c r="Q4367" s="8"/>
      <c r="R4367" s="6"/>
      <c r="S4367" s="6"/>
    </row>
    <row r="4368" spans="16:19" x14ac:dyDescent="0.25">
      <c r="P4368" s="7"/>
      <c r="Q4368" s="8"/>
      <c r="R4368" s="6"/>
      <c r="S4368" s="6"/>
    </row>
    <row r="4369" spans="16:19" x14ac:dyDescent="0.25">
      <c r="P4369" s="7"/>
      <c r="Q4369" s="8"/>
      <c r="R4369" s="6"/>
      <c r="S4369" s="6"/>
    </row>
    <row r="4370" spans="16:19" x14ac:dyDescent="0.25">
      <c r="P4370" s="7"/>
      <c r="Q4370" s="8"/>
      <c r="R4370" s="6"/>
      <c r="S4370" s="6"/>
    </row>
    <row r="4371" spans="16:19" x14ac:dyDescent="0.25">
      <c r="P4371" s="7"/>
      <c r="Q4371" s="8"/>
      <c r="R4371" s="6"/>
      <c r="S4371" s="6"/>
    </row>
    <row r="4372" spans="16:19" x14ac:dyDescent="0.25">
      <c r="P4372" s="7"/>
      <c r="Q4372" s="8"/>
      <c r="R4372" s="6"/>
      <c r="S4372" s="6"/>
    </row>
    <row r="4373" spans="16:19" x14ac:dyDescent="0.25">
      <c r="P4373" s="7"/>
      <c r="Q4373" s="8"/>
      <c r="R4373" s="6"/>
      <c r="S4373" s="6"/>
    </row>
    <row r="4374" spans="16:19" x14ac:dyDescent="0.25">
      <c r="P4374" s="7"/>
      <c r="Q4374" s="8"/>
      <c r="R4374" s="6"/>
      <c r="S4374" s="6"/>
    </row>
    <row r="4375" spans="16:19" x14ac:dyDescent="0.25">
      <c r="P4375" s="7"/>
      <c r="Q4375" s="8"/>
      <c r="R4375" s="6"/>
      <c r="S4375" s="6"/>
    </row>
    <row r="4376" spans="16:19" x14ac:dyDescent="0.25">
      <c r="P4376" s="7"/>
      <c r="Q4376" s="8"/>
      <c r="R4376" s="6"/>
      <c r="S4376" s="6"/>
    </row>
    <row r="4377" spans="16:19" x14ac:dyDescent="0.25">
      <c r="P4377" s="7"/>
      <c r="Q4377" s="8"/>
      <c r="R4377" s="6"/>
      <c r="S4377" s="6"/>
    </row>
    <row r="4378" spans="16:19" x14ac:dyDescent="0.25">
      <c r="P4378" s="7"/>
      <c r="Q4378" s="8"/>
      <c r="R4378" s="6"/>
      <c r="S4378" s="6"/>
    </row>
    <row r="4379" spans="16:19" x14ac:dyDescent="0.25">
      <c r="P4379" s="7"/>
      <c r="Q4379" s="8"/>
      <c r="R4379" s="6"/>
      <c r="S4379" s="6"/>
    </row>
    <row r="4380" spans="16:19" x14ac:dyDescent="0.25">
      <c r="P4380" s="7"/>
      <c r="Q4380" s="8"/>
      <c r="R4380" s="6"/>
      <c r="S4380" s="6"/>
    </row>
    <row r="4381" spans="16:19" x14ac:dyDescent="0.25">
      <c r="P4381" s="7"/>
      <c r="Q4381" s="8"/>
      <c r="R4381" s="6"/>
      <c r="S4381" s="6"/>
    </row>
    <row r="4382" spans="16:19" x14ac:dyDescent="0.25">
      <c r="P4382" s="7"/>
      <c r="Q4382" s="8"/>
      <c r="R4382" s="6"/>
      <c r="S4382" s="6"/>
    </row>
    <row r="4383" spans="16:19" x14ac:dyDescent="0.25">
      <c r="P4383" s="7"/>
      <c r="Q4383" s="8"/>
      <c r="R4383" s="6"/>
      <c r="S4383" s="6"/>
    </row>
    <row r="4384" spans="16:19" x14ac:dyDescent="0.25">
      <c r="P4384" s="7"/>
      <c r="Q4384" s="8"/>
      <c r="R4384" s="6"/>
      <c r="S4384" s="6"/>
    </row>
    <row r="4385" spans="16:19" x14ac:dyDescent="0.25">
      <c r="P4385" s="7"/>
      <c r="Q4385" s="8"/>
      <c r="R4385" s="6"/>
      <c r="S4385" s="6"/>
    </row>
    <row r="4386" spans="16:19" x14ac:dyDescent="0.25">
      <c r="P4386" s="7"/>
      <c r="Q4386" s="8"/>
      <c r="R4386" s="6"/>
      <c r="S4386" s="6"/>
    </row>
    <row r="4387" spans="16:19" x14ac:dyDescent="0.25">
      <c r="P4387" s="7"/>
      <c r="Q4387" s="8"/>
      <c r="R4387" s="6"/>
      <c r="S4387" s="6"/>
    </row>
    <row r="4388" spans="16:19" x14ac:dyDescent="0.25">
      <c r="P4388" s="7"/>
      <c r="Q4388" s="8"/>
      <c r="R4388" s="6"/>
      <c r="S4388" s="6"/>
    </row>
    <row r="4389" spans="16:19" x14ac:dyDescent="0.25">
      <c r="P4389" s="7"/>
      <c r="Q4389" s="8"/>
      <c r="R4389" s="6"/>
      <c r="S4389" s="6"/>
    </row>
    <row r="4390" spans="16:19" x14ac:dyDescent="0.25">
      <c r="P4390" s="7"/>
      <c r="Q4390" s="8"/>
      <c r="R4390" s="6"/>
      <c r="S4390" s="6"/>
    </row>
    <row r="4391" spans="16:19" x14ac:dyDescent="0.25">
      <c r="P4391" s="7"/>
      <c r="Q4391" s="8"/>
      <c r="R4391" s="6"/>
      <c r="S4391" s="6"/>
    </row>
    <row r="4392" spans="16:19" x14ac:dyDescent="0.25">
      <c r="P4392" s="7"/>
      <c r="Q4392" s="8"/>
      <c r="R4392" s="6"/>
      <c r="S4392" s="6"/>
    </row>
    <row r="4393" spans="16:19" x14ac:dyDescent="0.25">
      <c r="P4393" s="7"/>
      <c r="Q4393" s="8"/>
      <c r="R4393" s="6"/>
      <c r="S4393" s="6"/>
    </row>
    <row r="4394" spans="16:19" x14ac:dyDescent="0.25">
      <c r="P4394" s="7"/>
      <c r="Q4394" s="8"/>
      <c r="R4394" s="6"/>
      <c r="S4394" s="6"/>
    </row>
    <row r="4395" spans="16:19" x14ac:dyDescent="0.25">
      <c r="P4395" s="7"/>
      <c r="Q4395" s="8"/>
      <c r="R4395" s="6"/>
      <c r="S4395" s="6"/>
    </row>
    <row r="4396" spans="16:19" x14ac:dyDescent="0.25">
      <c r="P4396" s="7"/>
      <c r="Q4396" s="8"/>
      <c r="R4396" s="6"/>
      <c r="S4396" s="6"/>
    </row>
    <row r="4397" spans="16:19" x14ac:dyDescent="0.25">
      <c r="P4397" s="7"/>
      <c r="Q4397" s="8"/>
      <c r="R4397" s="6"/>
      <c r="S4397" s="6"/>
    </row>
    <row r="4398" spans="16:19" x14ac:dyDescent="0.25">
      <c r="P4398" s="7"/>
      <c r="Q4398" s="8"/>
      <c r="R4398" s="6"/>
      <c r="S4398" s="6"/>
    </row>
    <row r="4399" spans="16:19" x14ac:dyDescent="0.25">
      <c r="P4399" s="7"/>
      <c r="Q4399" s="8"/>
      <c r="R4399" s="6"/>
      <c r="S4399" s="6"/>
    </row>
    <row r="4400" spans="16:19" x14ac:dyDescent="0.25">
      <c r="P4400" s="7"/>
      <c r="Q4400" s="8"/>
      <c r="R4400" s="6"/>
      <c r="S4400" s="6"/>
    </row>
    <row r="4401" spans="16:19" x14ac:dyDescent="0.25">
      <c r="P4401" s="7"/>
      <c r="Q4401" s="8"/>
      <c r="R4401" s="6"/>
      <c r="S4401" s="6"/>
    </row>
    <row r="4402" spans="16:19" x14ac:dyDescent="0.25">
      <c r="P4402" s="7"/>
      <c r="Q4402" s="8"/>
      <c r="R4402" s="6"/>
      <c r="S4402" s="6"/>
    </row>
    <row r="4403" spans="16:19" x14ac:dyDescent="0.25">
      <c r="P4403" s="7"/>
      <c r="Q4403" s="8"/>
      <c r="R4403" s="6"/>
      <c r="S4403" s="6"/>
    </row>
    <row r="4404" spans="16:19" x14ac:dyDescent="0.25">
      <c r="P4404" s="7"/>
      <c r="Q4404" s="8"/>
      <c r="R4404" s="6"/>
      <c r="S4404" s="6"/>
    </row>
    <row r="4405" spans="16:19" x14ac:dyDescent="0.25">
      <c r="P4405" s="7"/>
      <c r="Q4405" s="8"/>
      <c r="R4405" s="6"/>
      <c r="S4405" s="6"/>
    </row>
    <row r="4406" spans="16:19" x14ac:dyDescent="0.25">
      <c r="P4406" s="7"/>
      <c r="Q4406" s="8"/>
      <c r="R4406" s="6"/>
      <c r="S4406" s="6"/>
    </row>
    <row r="4407" spans="16:19" x14ac:dyDescent="0.25">
      <c r="P4407" s="7"/>
      <c r="Q4407" s="8"/>
      <c r="R4407" s="6"/>
      <c r="S4407" s="6"/>
    </row>
    <row r="4408" spans="16:19" x14ac:dyDescent="0.25">
      <c r="P4408" s="7"/>
      <c r="Q4408" s="8"/>
      <c r="R4408" s="6"/>
      <c r="S4408" s="6"/>
    </row>
    <row r="4409" spans="16:19" x14ac:dyDescent="0.25">
      <c r="P4409" s="7"/>
      <c r="Q4409" s="8"/>
      <c r="R4409" s="6"/>
      <c r="S4409" s="6"/>
    </row>
    <row r="4410" spans="16:19" x14ac:dyDescent="0.25">
      <c r="P4410" s="7"/>
      <c r="Q4410" s="8"/>
      <c r="R4410" s="6"/>
      <c r="S4410" s="6"/>
    </row>
    <row r="4411" spans="16:19" x14ac:dyDescent="0.25">
      <c r="P4411" s="7"/>
      <c r="Q4411" s="8"/>
      <c r="R4411" s="6"/>
      <c r="S4411" s="6"/>
    </row>
    <row r="4412" spans="16:19" x14ac:dyDescent="0.25">
      <c r="P4412" s="7"/>
      <c r="Q4412" s="8"/>
      <c r="R4412" s="6"/>
      <c r="S4412" s="6"/>
    </row>
    <row r="4413" spans="16:19" x14ac:dyDescent="0.25">
      <c r="P4413" s="7"/>
      <c r="Q4413" s="8"/>
      <c r="R4413" s="6"/>
      <c r="S4413" s="6"/>
    </row>
    <row r="4414" spans="16:19" x14ac:dyDescent="0.25">
      <c r="P4414" s="7"/>
      <c r="Q4414" s="8"/>
      <c r="R4414" s="6"/>
      <c r="S4414" s="6"/>
    </row>
    <row r="4415" spans="16:19" x14ac:dyDescent="0.25">
      <c r="P4415" s="7"/>
      <c r="Q4415" s="8"/>
      <c r="R4415" s="6"/>
      <c r="S4415" s="6"/>
    </row>
    <row r="4416" spans="16:19" x14ac:dyDescent="0.25">
      <c r="P4416" s="7"/>
      <c r="Q4416" s="8"/>
      <c r="R4416" s="6"/>
      <c r="S4416" s="6"/>
    </row>
    <row r="4417" spans="16:19" x14ac:dyDescent="0.25">
      <c r="P4417" s="7"/>
      <c r="Q4417" s="8"/>
      <c r="R4417" s="6"/>
      <c r="S4417" s="6"/>
    </row>
    <row r="4418" spans="16:19" x14ac:dyDescent="0.25">
      <c r="P4418" s="7"/>
      <c r="Q4418" s="8"/>
      <c r="R4418" s="6"/>
      <c r="S4418" s="6"/>
    </row>
    <row r="4419" spans="16:19" x14ac:dyDescent="0.25">
      <c r="P4419" s="7"/>
      <c r="Q4419" s="8"/>
      <c r="R4419" s="6"/>
      <c r="S4419" s="6"/>
    </row>
    <row r="4420" spans="16:19" x14ac:dyDescent="0.25">
      <c r="P4420" s="7"/>
      <c r="Q4420" s="8"/>
      <c r="R4420" s="6"/>
      <c r="S4420" s="6"/>
    </row>
    <row r="4421" spans="16:19" x14ac:dyDescent="0.25">
      <c r="P4421" s="7"/>
      <c r="Q4421" s="8"/>
      <c r="R4421" s="6"/>
      <c r="S4421" s="6"/>
    </row>
    <row r="4422" spans="16:19" x14ac:dyDescent="0.25">
      <c r="P4422" s="7"/>
      <c r="Q4422" s="8"/>
      <c r="R4422" s="6"/>
      <c r="S4422" s="6"/>
    </row>
    <row r="4423" spans="16:19" x14ac:dyDescent="0.25">
      <c r="P4423" s="7"/>
      <c r="Q4423" s="8"/>
      <c r="R4423" s="6"/>
      <c r="S4423" s="6"/>
    </row>
    <row r="4424" spans="16:19" x14ac:dyDescent="0.25">
      <c r="P4424" s="7"/>
      <c r="Q4424" s="8"/>
      <c r="R4424" s="6"/>
      <c r="S4424" s="6"/>
    </row>
    <row r="4425" spans="16:19" x14ac:dyDescent="0.25">
      <c r="P4425" s="7"/>
      <c r="Q4425" s="8"/>
      <c r="R4425" s="6"/>
      <c r="S4425" s="6"/>
    </row>
    <row r="4426" spans="16:19" x14ac:dyDescent="0.25">
      <c r="P4426" s="7"/>
      <c r="Q4426" s="8"/>
      <c r="R4426" s="6"/>
      <c r="S4426" s="6"/>
    </row>
    <row r="4427" spans="16:19" x14ac:dyDescent="0.25">
      <c r="P4427" s="7"/>
      <c r="Q4427" s="8"/>
      <c r="R4427" s="6"/>
      <c r="S4427" s="6"/>
    </row>
    <row r="4428" spans="16:19" x14ac:dyDescent="0.25">
      <c r="P4428" s="7"/>
      <c r="Q4428" s="8"/>
      <c r="R4428" s="6"/>
      <c r="S4428" s="6"/>
    </row>
    <row r="4429" spans="16:19" x14ac:dyDescent="0.25">
      <c r="P4429" s="7"/>
      <c r="Q4429" s="8"/>
      <c r="R4429" s="6"/>
      <c r="S4429" s="6"/>
    </row>
    <row r="4430" spans="16:19" x14ac:dyDescent="0.25">
      <c r="P4430" s="7"/>
      <c r="Q4430" s="8"/>
      <c r="R4430" s="6"/>
      <c r="S4430" s="6"/>
    </row>
    <row r="4431" spans="16:19" x14ac:dyDescent="0.25">
      <c r="P4431" s="7"/>
      <c r="Q4431" s="8"/>
      <c r="R4431" s="6"/>
      <c r="S4431" s="6"/>
    </row>
    <row r="4432" spans="16:19" x14ac:dyDescent="0.25">
      <c r="P4432" s="7"/>
      <c r="Q4432" s="8"/>
      <c r="R4432" s="6"/>
      <c r="S4432" s="6"/>
    </row>
    <row r="4433" spans="16:19" x14ac:dyDescent="0.25">
      <c r="P4433" s="7"/>
      <c r="Q4433" s="8"/>
      <c r="R4433" s="6"/>
      <c r="S4433" s="6"/>
    </row>
    <row r="4434" spans="16:19" x14ac:dyDescent="0.25">
      <c r="P4434" s="7"/>
      <c r="Q4434" s="8"/>
      <c r="R4434" s="6"/>
      <c r="S4434" s="6"/>
    </row>
    <row r="4435" spans="16:19" x14ac:dyDescent="0.25">
      <c r="P4435" s="7"/>
      <c r="Q4435" s="8"/>
      <c r="R4435" s="6"/>
      <c r="S4435" s="6"/>
    </row>
    <row r="4436" spans="16:19" x14ac:dyDescent="0.25">
      <c r="P4436" s="7"/>
      <c r="Q4436" s="8"/>
      <c r="R4436" s="6"/>
      <c r="S4436" s="6"/>
    </row>
    <row r="4437" spans="16:19" x14ac:dyDescent="0.25">
      <c r="P4437" s="7"/>
      <c r="Q4437" s="8"/>
      <c r="R4437" s="6"/>
      <c r="S4437" s="6"/>
    </row>
    <row r="4438" spans="16:19" x14ac:dyDescent="0.25">
      <c r="P4438" s="7"/>
      <c r="Q4438" s="8"/>
      <c r="R4438" s="6"/>
      <c r="S4438" s="6"/>
    </row>
    <row r="4439" spans="16:19" x14ac:dyDescent="0.25">
      <c r="P4439" s="7"/>
      <c r="Q4439" s="8"/>
      <c r="R4439" s="6"/>
      <c r="S4439" s="6"/>
    </row>
    <row r="4440" spans="16:19" x14ac:dyDescent="0.25">
      <c r="P4440" s="7"/>
      <c r="Q4440" s="8"/>
      <c r="R4440" s="6"/>
      <c r="S4440" s="6"/>
    </row>
    <row r="4441" spans="16:19" x14ac:dyDescent="0.25">
      <c r="P4441" s="7"/>
      <c r="Q4441" s="8"/>
      <c r="R4441" s="6"/>
      <c r="S4441" s="6"/>
    </row>
    <row r="4442" spans="16:19" x14ac:dyDescent="0.25">
      <c r="P4442" s="7"/>
      <c r="Q4442" s="8"/>
      <c r="R4442" s="6"/>
      <c r="S4442" s="6"/>
    </row>
    <row r="4443" spans="16:19" x14ac:dyDescent="0.25">
      <c r="P4443" s="7"/>
      <c r="Q4443" s="8"/>
      <c r="R4443" s="6"/>
      <c r="S4443" s="6"/>
    </row>
    <row r="4444" spans="16:19" x14ac:dyDescent="0.25">
      <c r="P4444" s="7"/>
      <c r="Q4444" s="8"/>
      <c r="R4444" s="6"/>
      <c r="S4444" s="6"/>
    </row>
    <row r="4445" spans="16:19" x14ac:dyDescent="0.25">
      <c r="P4445" s="7"/>
      <c r="Q4445" s="8"/>
      <c r="R4445" s="6"/>
      <c r="S4445" s="6"/>
    </row>
    <row r="4446" spans="16:19" x14ac:dyDescent="0.25">
      <c r="P4446" s="7"/>
      <c r="Q4446" s="8"/>
      <c r="R4446" s="6"/>
      <c r="S4446" s="6"/>
    </row>
    <row r="4447" spans="16:19" x14ac:dyDescent="0.25">
      <c r="P4447" s="6"/>
      <c r="Q4447" s="6"/>
      <c r="R4447" s="6"/>
      <c r="S4447" s="6"/>
    </row>
    <row r="4448" spans="16:19" x14ac:dyDescent="0.25">
      <c r="P4448" s="7"/>
      <c r="Q4448" s="8"/>
      <c r="R4448" s="6"/>
      <c r="S4448" s="6"/>
    </row>
    <row r="4449" spans="16:19" x14ac:dyDescent="0.25">
      <c r="P4449" s="7"/>
      <c r="Q4449" s="8"/>
      <c r="R4449" s="6"/>
      <c r="S4449" s="6"/>
    </row>
    <row r="4450" spans="16:19" x14ac:dyDescent="0.25">
      <c r="P4450" s="7"/>
      <c r="Q4450" s="8"/>
      <c r="R4450" s="6"/>
      <c r="S4450" s="6"/>
    </row>
    <row r="4451" spans="16:19" x14ac:dyDescent="0.25">
      <c r="P4451" s="7"/>
      <c r="Q4451" s="8"/>
      <c r="R4451" s="6"/>
      <c r="S4451" s="6"/>
    </row>
    <row r="4452" spans="16:19" x14ac:dyDescent="0.25">
      <c r="P4452" s="7"/>
      <c r="Q4452" s="8"/>
      <c r="R4452" s="6"/>
      <c r="S4452" s="6"/>
    </row>
    <row r="4453" spans="16:19" x14ac:dyDescent="0.25">
      <c r="P4453" s="7"/>
      <c r="Q4453" s="8"/>
      <c r="R4453" s="6"/>
      <c r="S4453" s="6"/>
    </row>
    <row r="4454" spans="16:19" x14ac:dyDescent="0.25">
      <c r="P4454" s="7"/>
      <c r="Q4454" s="8"/>
      <c r="R4454" s="6"/>
      <c r="S4454" s="6"/>
    </row>
    <row r="4455" spans="16:19" x14ac:dyDescent="0.25">
      <c r="P4455" s="7"/>
      <c r="Q4455" s="8"/>
      <c r="R4455" s="6"/>
      <c r="S4455" s="6"/>
    </row>
    <row r="4456" spans="16:19" x14ac:dyDescent="0.25">
      <c r="P4456" s="7"/>
      <c r="Q4456" s="8"/>
      <c r="R4456" s="6"/>
      <c r="S4456" s="6"/>
    </row>
    <row r="4457" spans="16:19" x14ac:dyDescent="0.25">
      <c r="P4457" s="7"/>
      <c r="Q4457" s="8"/>
      <c r="R4457" s="6"/>
      <c r="S4457" s="6"/>
    </row>
    <row r="4458" spans="16:19" x14ac:dyDescent="0.25">
      <c r="P4458" s="7"/>
      <c r="Q4458" s="8"/>
      <c r="R4458" s="6"/>
      <c r="S4458" s="6"/>
    </row>
    <row r="4459" spans="16:19" x14ac:dyDescent="0.25">
      <c r="P4459" s="7"/>
      <c r="Q4459" s="8"/>
      <c r="R4459" s="6"/>
      <c r="S4459" s="6"/>
    </row>
    <row r="4460" spans="16:19" x14ac:dyDescent="0.25">
      <c r="P4460" s="7"/>
      <c r="Q4460" s="8"/>
      <c r="R4460" s="6"/>
      <c r="S4460" s="6"/>
    </row>
    <row r="4461" spans="16:19" x14ac:dyDescent="0.25">
      <c r="P4461" s="7"/>
      <c r="Q4461" s="8"/>
      <c r="R4461" s="6"/>
      <c r="S4461" s="6"/>
    </row>
    <row r="4462" spans="16:19" x14ac:dyDescent="0.25">
      <c r="P4462" s="7"/>
      <c r="Q4462" s="8"/>
      <c r="R4462" s="6"/>
      <c r="S4462" s="6"/>
    </row>
    <row r="4463" spans="16:19" x14ac:dyDescent="0.25">
      <c r="P4463" s="7"/>
      <c r="Q4463" s="8"/>
      <c r="R4463" s="6"/>
      <c r="S4463" s="6"/>
    </row>
    <row r="4464" spans="16:19" x14ac:dyDescent="0.25">
      <c r="P4464" s="7"/>
      <c r="Q4464" s="8"/>
      <c r="R4464" s="6"/>
      <c r="S4464" s="6"/>
    </row>
    <row r="10001" spans="1:1" x14ac:dyDescent="0.25">
      <c r="A10001" t="str">
        <f t="shared" ref="A10001:A10036" si="0">B9999&amp;D9999</f>
        <v/>
      </c>
    </row>
    <row r="10002" spans="1:1" x14ac:dyDescent="0.25">
      <c r="A10002" t="str">
        <f t="shared" si="0"/>
        <v/>
      </c>
    </row>
    <row r="10003" spans="1:1" x14ac:dyDescent="0.25">
      <c r="A10003" t="str">
        <f t="shared" si="0"/>
        <v/>
      </c>
    </row>
    <row r="10004" spans="1:1" x14ac:dyDescent="0.25">
      <c r="A10004" t="str">
        <f t="shared" si="0"/>
        <v/>
      </c>
    </row>
    <row r="10005" spans="1:1" x14ac:dyDescent="0.25">
      <c r="A10005" t="str">
        <f t="shared" si="0"/>
        <v/>
      </c>
    </row>
    <row r="10006" spans="1:1" x14ac:dyDescent="0.25">
      <c r="A10006" t="str">
        <f t="shared" si="0"/>
        <v/>
      </c>
    </row>
    <row r="10007" spans="1:1" x14ac:dyDescent="0.25">
      <c r="A10007" t="str">
        <f t="shared" si="0"/>
        <v/>
      </c>
    </row>
    <row r="10008" spans="1:1" x14ac:dyDescent="0.25">
      <c r="A10008" t="str">
        <f t="shared" si="0"/>
        <v/>
      </c>
    </row>
    <row r="10009" spans="1:1" x14ac:dyDescent="0.25">
      <c r="A10009" t="str">
        <f t="shared" si="0"/>
        <v/>
      </c>
    </row>
    <row r="10010" spans="1:1" x14ac:dyDescent="0.25">
      <c r="A10010" t="str">
        <f t="shared" si="0"/>
        <v/>
      </c>
    </row>
    <row r="10011" spans="1:1" x14ac:dyDescent="0.25">
      <c r="A10011" t="str">
        <f t="shared" si="0"/>
        <v/>
      </c>
    </row>
    <row r="10012" spans="1:1" x14ac:dyDescent="0.25">
      <c r="A10012" t="str">
        <f t="shared" si="0"/>
        <v/>
      </c>
    </row>
    <row r="10013" spans="1:1" x14ac:dyDescent="0.25">
      <c r="A10013" t="str">
        <f t="shared" si="0"/>
        <v/>
      </c>
    </row>
    <row r="10014" spans="1:1" x14ac:dyDescent="0.25">
      <c r="A10014" t="str">
        <f t="shared" si="0"/>
        <v/>
      </c>
    </row>
    <row r="10015" spans="1:1" x14ac:dyDescent="0.25">
      <c r="A10015" t="str">
        <f t="shared" si="0"/>
        <v/>
      </c>
    </row>
    <row r="10016" spans="1:1" x14ac:dyDescent="0.25">
      <c r="A10016" t="str">
        <f t="shared" si="0"/>
        <v/>
      </c>
    </row>
    <row r="10017" spans="1:1" x14ac:dyDescent="0.25">
      <c r="A10017" t="str">
        <f t="shared" si="0"/>
        <v/>
      </c>
    </row>
    <row r="10018" spans="1:1" x14ac:dyDescent="0.25">
      <c r="A10018" t="str">
        <f t="shared" si="0"/>
        <v/>
      </c>
    </row>
    <row r="10019" spans="1:1" x14ac:dyDescent="0.25">
      <c r="A10019" t="str">
        <f t="shared" si="0"/>
        <v/>
      </c>
    </row>
    <row r="10020" spans="1:1" x14ac:dyDescent="0.25">
      <c r="A10020" t="str">
        <f t="shared" si="0"/>
        <v/>
      </c>
    </row>
    <row r="10021" spans="1:1" x14ac:dyDescent="0.25">
      <c r="A10021" t="str">
        <f t="shared" si="0"/>
        <v/>
      </c>
    </row>
    <row r="10022" spans="1:1" x14ac:dyDescent="0.25">
      <c r="A10022" t="str">
        <f t="shared" si="0"/>
        <v/>
      </c>
    </row>
    <row r="10023" spans="1:1" x14ac:dyDescent="0.25">
      <c r="A10023" t="str">
        <f t="shared" si="0"/>
        <v/>
      </c>
    </row>
    <row r="10024" spans="1:1" x14ac:dyDescent="0.25">
      <c r="A10024" t="str">
        <f t="shared" si="0"/>
        <v/>
      </c>
    </row>
    <row r="10025" spans="1:1" x14ac:dyDescent="0.25">
      <c r="A10025" t="str">
        <f t="shared" si="0"/>
        <v/>
      </c>
    </row>
    <row r="10026" spans="1:1" x14ac:dyDescent="0.25">
      <c r="A10026" t="str">
        <f t="shared" si="0"/>
        <v/>
      </c>
    </row>
    <row r="10027" spans="1:1" x14ac:dyDescent="0.25">
      <c r="A10027" t="str">
        <f t="shared" si="0"/>
        <v/>
      </c>
    </row>
    <row r="10028" spans="1:1" x14ac:dyDescent="0.25">
      <c r="A10028" t="str">
        <f t="shared" si="0"/>
        <v/>
      </c>
    </row>
    <row r="10029" spans="1:1" x14ac:dyDescent="0.25">
      <c r="A10029" t="str">
        <f t="shared" si="0"/>
        <v/>
      </c>
    </row>
    <row r="10030" spans="1:1" x14ac:dyDescent="0.25">
      <c r="A10030" t="str">
        <f t="shared" si="0"/>
        <v/>
      </c>
    </row>
    <row r="10031" spans="1:1" x14ac:dyDescent="0.25">
      <c r="A10031" t="str">
        <f t="shared" si="0"/>
        <v/>
      </c>
    </row>
    <row r="10032" spans="1:1" x14ac:dyDescent="0.25">
      <c r="A10032" t="str">
        <f t="shared" si="0"/>
        <v/>
      </c>
    </row>
    <row r="10033" spans="1:1" x14ac:dyDescent="0.25">
      <c r="A10033" t="str">
        <f t="shared" si="0"/>
        <v/>
      </c>
    </row>
    <row r="10034" spans="1:1" x14ac:dyDescent="0.25">
      <c r="A10034" t="str">
        <f t="shared" si="0"/>
        <v/>
      </c>
    </row>
    <row r="10035" spans="1:1" x14ac:dyDescent="0.25">
      <c r="A10035" t="str">
        <f t="shared" si="0"/>
        <v/>
      </c>
    </row>
    <row r="10036" spans="1:1" x14ac:dyDescent="0.25">
      <c r="A10036" t="str">
        <f t="shared" si="0"/>
        <v/>
      </c>
    </row>
    <row r="10037" spans="1:1" x14ac:dyDescent="0.25">
      <c r="A10037" t="str">
        <f t="shared" ref="A10037:A10100" si="1">B10035&amp;D10035</f>
        <v/>
      </c>
    </row>
    <row r="10038" spans="1:1" x14ac:dyDescent="0.25">
      <c r="A10038" t="str">
        <f t="shared" si="1"/>
        <v/>
      </c>
    </row>
    <row r="10039" spans="1:1" x14ac:dyDescent="0.25">
      <c r="A10039" t="str">
        <f t="shared" si="1"/>
        <v/>
      </c>
    </row>
    <row r="10040" spans="1:1" x14ac:dyDescent="0.25">
      <c r="A10040" t="str">
        <f t="shared" si="1"/>
        <v/>
      </c>
    </row>
    <row r="10041" spans="1:1" x14ac:dyDescent="0.25">
      <c r="A10041" t="str">
        <f t="shared" si="1"/>
        <v/>
      </c>
    </row>
    <row r="10042" spans="1:1" x14ac:dyDescent="0.25">
      <c r="A10042" t="str">
        <f t="shared" si="1"/>
        <v/>
      </c>
    </row>
    <row r="10043" spans="1:1" x14ac:dyDescent="0.25">
      <c r="A10043" t="str">
        <f t="shared" si="1"/>
        <v/>
      </c>
    </row>
    <row r="10044" spans="1:1" x14ac:dyDescent="0.25">
      <c r="A10044" t="str">
        <f t="shared" si="1"/>
        <v/>
      </c>
    </row>
    <row r="10045" spans="1:1" x14ac:dyDescent="0.25">
      <c r="A10045" t="str">
        <f t="shared" si="1"/>
        <v/>
      </c>
    </row>
    <row r="10046" spans="1:1" x14ac:dyDescent="0.25">
      <c r="A10046" t="str">
        <f t="shared" si="1"/>
        <v/>
      </c>
    </row>
    <row r="10047" spans="1:1" x14ac:dyDescent="0.25">
      <c r="A10047" t="str">
        <f t="shared" si="1"/>
        <v/>
      </c>
    </row>
    <row r="10048" spans="1:1" x14ac:dyDescent="0.25">
      <c r="A10048" t="str">
        <f t="shared" si="1"/>
        <v/>
      </c>
    </row>
    <row r="10049" spans="1:1" x14ac:dyDescent="0.25">
      <c r="A10049" t="str">
        <f t="shared" si="1"/>
        <v/>
      </c>
    </row>
    <row r="10050" spans="1:1" x14ac:dyDescent="0.25">
      <c r="A10050" t="str">
        <f t="shared" si="1"/>
        <v/>
      </c>
    </row>
    <row r="10051" spans="1:1" x14ac:dyDescent="0.25">
      <c r="A10051" t="str">
        <f t="shared" si="1"/>
        <v/>
      </c>
    </row>
    <row r="10052" spans="1:1" x14ac:dyDescent="0.25">
      <c r="A10052" t="str">
        <f t="shared" si="1"/>
        <v/>
      </c>
    </row>
    <row r="10053" spans="1:1" x14ac:dyDescent="0.25">
      <c r="A10053" t="str">
        <f t="shared" si="1"/>
        <v/>
      </c>
    </row>
    <row r="10054" spans="1:1" x14ac:dyDescent="0.25">
      <c r="A10054" t="str">
        <f t="shared" si="1"/>
        <v/>
      </c>
    </row>
    <row r="10055" spans="1:1" x14ac:dyDescent="0.25">
      <c r="A10055" t="str">
        <f t="shared" si="1"/>
        <v/>
      </c>
    </row>
    <row r="10056" spans="1:1" x14ac:dyDescent="0.25">
      <c r="A10056" t="str">
        <f t="shared" si="1"/>
        <v/>
      </c>
    </row>
    <row r="10057" spans="1:1" x14ac:dyDescent="0.25">
      <c r="A10057" t="str">
        <f t="shared" si="1"/>
        <v/>
      </c>
    </row>
    <row r="10058" spans="1:1" x14ac:dyDescent="0.25">
      <c r="A10058" t="str">
        <f t="shared" si="1"/>
        <v/>
      </c>
    </row>
    <row r="10059" spans="1:1" x14ac:dyDescent="0.25">
      <c r="A10059" t="str">
        <f t="shared" si="1"/>
        <v/>
      </c>
    </row>
    <row r="10060" spans="1:1" x14ac:dyDescent="0.25">
      <c r="A10060" t="str">
        <f t="shared" si="1"/>
        <v/>
      </c>
    </row>
    <row r="10061" spans="1:1" x14ac:dyDescent="0.25">
      <c r="A10061" t="str">
        <f t="shared" si="1"/>
        <v/>
      </c>
    </row>
    <row r="10062" spans="1:1" x14ac:dyDescent="0.25">
      <c r="A10062" t="str">
        <f t="shared" si="1"/>
        <v/>
      </c>
    </row>
    <row r="10063" spans="1:1" x14ac:dyDescent="0.25">
      <c r="A10063" t="str">
        <f t="shared" si="1"/>
        <v/>
      </c>
    </row>
    <row r="10064" spans="1:1" x14ac:dyDescent="0.25">
      <c r="A10064" t="str">
        <f t="shared" si="1"/>
        <v/>
      </c>
    </row>
    <row r="10065" spans="1:1" x14ac:dyDescent="0.25">
      <c r="A10065" t="str">
        <f t="shared" si="1"/>
        <v/>
      </c>
    </row>
    <row r="10066" spans="1:1" x14ac:dyDescent="0.25">
      <c r="A10066" t="str">
        <f t="shared" si="1"/>
        <v/>
      </c>
    </row>
    <row r="10067" spans="1:1" x14ac:dyDescent="0.25">
      <c r="A10067" t="str">
        <f t="shared" si="1"/>
        <v/>
      </c>
    </row>
    <row r="10068" spans="1:1" x14ac:dyDescent="0.25">
      <c r="A10068" t="str">
        <f t="shared" si="1"/>
        <v/>
      </c>
    </row>
    <row r="10069" spans="1:1" x14ac:dyDescent="0.25">
      <c r="A10069" t="str">
        <f t="shared" si="1"/>
        <v/>
      </c>
    </row>
    <row r="10070" spans="1:1" x14ac:dyDescent="0.25">
      <c r="A10070" t="str">
        <f t="shared" si="1"/>
        <v/>
      </c>
    </row>
    <row r="10071" spans="1:1" x14ac:dyDescent="0.25">
      <c r="A10071" t="str">
        <f t="shared" si="1"/>
        <v/>
      </c>
    </row>
    <row r="10072" spans="1:1" x14ac:dyDescent="0.25">
      <c r="A10072" t="str">
        <f t="shared" si="1"/>
        <v/>
      </c>
    </row>
    <row r="10073" spans="1:1" x14ac:dyDescent="0.25">
      <c r="A10073" t="str">
        <f t="shared" si="1"/>
        <v/>
      </c>
    </row>
    <row r="10074" spans="1:1" x14ac:dyDescent="0.25">
      <c r="A10074" t="str">
        <f t="shared" si="1"/>
        <v/>
      </c>
    </row>
    <row r="10075" spans="1:1" x14ac:dyDescent="0.25">
      <c r="A10075" t="str">
        <f t="shared" si="1"/>
        <v/>
      </c>
    </row>
    <row r="10076" spans="1:1" x14ac:dyDescent="0.25">
      <c r="A10076" t="str">
        <f t="shared" si="1"/>
        <v/>
      </c>
    </row>
    <row r="10077" spans="1:1" x14ac:dyDescent="0.25">
      <c r="A10077" t="str">
        <f t="shared" si="1"/>
        <v/>
      </c>
    </row>
    <row r="10078" spans="1:1" x14ac:dyDescent="0.25">
      <c r="A10078" t="str">
        <f t="shared" si="1"/>
        <v/>
      </c>
    </row>
    <row r="10079" spans="1:1" x14ac:dyDescent="0.25">
      <c r="A10079" t="str">
        <f t="shared" si="1"/>
        <v/>
      </c>
    </row>
    <row r="10080" spans="1:1" x14ac:dyDescent="0.25">
      <c r="A10080" t="str">
        <f t="shared" si="1"/>
        <v/>
      </c>
    </row>
    <row r="10081" spans="1:1" x14ac:dyDescent="0.25">
      <c r="A10081" t="str">
        <f t="shared" si="1"/>
        <v/>
      </c>
    </row>
    <row r="10082" spans="1:1" x14ac:dyDescent="0.25">
      <c r="A10082" t="str">
        <f t="shared" si="1"/>
        <v/>
      </c>
    </row>
    <row r="10083" spans="1:1" x14ac:dyDescent="0.25">
      <c r="A10083" t="str">
        <f t="shared" si="1"/>
        <v/>
      </c>
    </row>
    <row r="10084" spans="1:1" x14ac:dyDescent="0.25">
      <c r="A10084" t="str">
        <f t="shared" si="1"/>
        <v/>
      </c>
    </row>
    <row r="10085" spans="1:1" x14ac:dyDescent="0.25">
      <c r="A10085" t="str">
        <f t="shared" si="1"/>
        <v/>
      </c>
    </row>
    <row r="10086" spans="1:1" x14ac:dyDescent="0.25">
      <c r="A10086" t="str">
        <f t="shared" si="1"/>
        <v/>
      </c>
    </row>
    <row r="10087" spans="1:1" x14ac:dyDescent="0.25">
      <c r="A10087" t="str">
        <f t="shared" si="1"/>
        <v/>
      </c>
    </row>
    <row r="10088" spans="1:1" x14ac:dyDescent="0.25">
      <c r="A10088" t="str">
        <f t="shared" si="1"/>
        <v/>
      </c>
    </row>
    <row r="10089" spans="1:1" x14ac:dyDescent="0.25">
      <c r="A10089" t="str">
        <f t="shared" si="1"/>
        <v/>
      </c>
    </row>
    <row r="10090" spans="1:1" x14ac:dyDescent="0.25">
      <c r="A10090" t="str">
        <f t="shared" si="1"/>
        <v/>
      </c>
    </row>
    <row r="10091" spans="1:1" x14ac:dyDescent="0.25">
      <c r="A10091" t="str">
        <f t="shared" si="1"/>
        <v/>
      </c>
    </row>
    <row r="10092" spans="1:1" x14ac:dyDescent="0.25">
      <c r="A10092" t="str">
        <f t="shared" si="1"/>
        <v/>
      </c>
    </row>
    <row r="10093" spans="1:1" x14ac:dyDescent="0.25">
      <c r="A10093" t="str">
        <f t="shared" si="1"/>
        <v/>
      </c>
    </row>
    <row r="10094" spans="1:1" x14ac:dyDescent="0.25">
      <c r="A10094" t="str">
        <f t="shared" si="1"/>
        <v/>
      </c>
    </row>
    <row r="10095" spans="1:1" x14ac:dyDescent="0.25">
      <c r="A10095" t="str">
        <f t="shared" si="1"/>
        <v/>
      </c>
    </row>
    <row r="10096" spans="1:1" x14ac:dyDescent="0.25">
      <c r="A10096" t="str">
        <f t="shared" si="1"/>
        <v/>
      </c>
    </row>
    <row r="10097" spans="1:1" x14ac:dyDescent="0.25">
      <c r="A10097" t="str">
        <f t="shared" si="1"/>
        <v/>
      </c>
    </row>
    <row r="10098" spans="1:1" x14ac:dyDescent="0.25">
      <c r="A10098" t="str">
        <f t="shared" si="1"/>
        <v/>
      </c>
    </row>
    <row r="10099" spans="1:1" x14ac:dyDescent="0.25">
      <c r="A10099" t="str">
        <f t="shared" si="1"/>
        <v/>
      </c>
    </row>
    <row r="10100" spans="1:1" x14ac:dyDescent="0.25">
      <c r="A10100" t="str">
        <f t="shared" si="1"/>
        <v/>
      </c>
    </row>
    <row r="10101" spans="1:1" x14ac:dyDescent="0.25">
      <c r="A10101" t="str">
        <f t="shared" ref="A10101:A10164" si="2">B10099&amp;D10099</f>
        <v/>
      </c>
    </row>
    <row r="10102" spans="1:1" x14ac:dyDescent="0.25">
      <c r="A10102" t="str">
        <f t="shared" si="2"/>
        <v/>
      </c>
    </row>
    <row r="10103" spans="1:1" x14ac:dyDescent="0.25">
      <c r="A10103" t="str">
        <f t="shared" si="2"/>
        <v/>
      </c>
    </row>
    <row r="10104" spans="1:1" x14ac:dyDescent="0.25">
      <c r="A10104" t="str">
        <f t="shared" si="2"/>
        <v/>
      </c>
    </row>
    <row r="10105" spans="1:1" x14ac:dyDescent="0.25">
      <c r="A10105" t="str">
        <f t="shared" si="2"/>
        <v/>
      </c>
    </row>
    <row r="10106" spans="1:1" x14ac:dyDescent="0.25">
      <c r="A10106" t="str">
        <f t="shared" si="2"/>
        <v/>
      </c>
    </row>
    <row r="10107" spans="1:1" x14ac:dyDescent="0.25">
      <c r="A10107" t="str">
        <f t="shared" si="2"/>
        <v/>
      </c>
    </row>
    <row r="10108" spans="1:1" x14ac:dyDescent="0.25">
      <c r="A10108" t="str">
        <f t="shared" si="2"/>
        <v/>
      </c>
    </row>
    <row r="10109" spans="1:1" x14ac:dyDescent="0.25">
      <c r="A10109" t="str">
        <f t="shared" si="2"/>
        <v/>
      </c>
    </row>
    <row r="10110" spans="1:1" x14ac:dyDescent="0.25">
      <c r="A10110" t="str">
        <f t="shared" si="2"/>
        <v/>
      </c>
    </row>
    <row r="10111" spans="1:1" x14ac:dyDescent="0.25">
      <c r="A10111" t="str">
        <f t="shared" si="2"/>
        <v/>
      </c>
    </row>
    <row r="10112" spans="1:1" x14ac:dyDescent="0.25">
      <c r="A10112" t="str">
        <f t="shared" si="2"/>
        <v/>
      </c>
    </row>
    <row r="10113" spans="1:1" x14ac:dyDescent="0.25">
      <c r="A10113" t="str">
        <f t="shared" si="2"/>
        <v/>
      </c>
    </row>
    <row r="10114" spans="1:1" x14ac:dyDescent="0.25">
      <c r="A10114" t="str">
        <f t="shared" si="2"/>
        <v/>
      </c>
    </row>
    <row r="10115" spans="1:1" x14ac:dyDescent="0.25">
      <c r="A10115" t="str">
        <f t="shared" si="2"/>
        <v/>
      </c>
    </row>
    <row r="10116" spans="1:1" x14ac:dyDescent="0.25">
      <c r="A10116" t="str">
        <f t="shared" si="2"/>
        <v/>
      </c>
    </row>
    <row r="10117" spans="1:1" x14ac:dyDescent="0.25">
      <c r="A10117" t="str">
        <f t="shared" si="2"/>
        <v/>
      </c>
    </row>
    <row r="10118" spans="1:1" x14ac:dyDescent="0.25">
      <c r="A10118" t="str">
        <f t="shared" si="2"/>
        <v/>
      </c>
    </row>
    <row r="10119" spans="1:1" x14ac:dyDescent="0.25">
      <c r="A10119" t="str">
        <f t="shared" si="2"/>
        <v/>
      </c>
    </row>
    <row r="10120" spans="1:1" x14ac:dyDescent="0.25">
      <c r="A10120" t="str">
        <f t="shared" si="2"/>
        <v/>
      </c>
    </row>
    <row r="10121" spans="1:1" x14ac:dyDescent="0.25">
      <c r="A10121" t="str">
        <f t="shared" si="2"/>
        <v/>
      </c>
    </row>
    <row r="10122" spans="1:1" x14ac:dyDescent="0.25">
      <c r="A10122" t="str">
        <f t="shared" si="2"/>
        <v/>
      </c>
    </row>
    <row r="10123" spans="1:1" x14ac:dyDescent="0.25">
      <c r="A10123" t="str">
        <f t="shared" si="2"/>
        <v/>
      </c>
    </row>
    <row r="10124" spans="1:1" x14ac:dyDescent="0.25">
      <c r="A10124" t="str">
        <f t="shared" si="2"/>
        <v/>
      </c>
    </row>
    <row r="10125" spans="1:1" x14ac:dyDescent="0.25">
      <c r="A10125" t="str">
        <f t="shared" si="2"/>
        <v/>
      </c>
    </row>
    <row r="10126" spans="1:1" x14ac:dyDescent="0.25">
      <c r="A10126" t="str">
        <f t="shared" si="2"/>
        <v/>
      </c>
    </row>
    <row r="10127" spans="1:1" x14ac:dyDescent="0.25">
      <c r="A10127" t="str">
        <f t="shared" si="2"/>
        <v/>
      </c>
    </row>
    <row r="10128" spans="1:1" x14ac:dyDescent="0.25">
      <c r="A10128" t="str">
        <f t="shared" si="2"/>
        <v/>
      </c>
    </row>
    <row r="10129" spans="1:1" x14ac:dyDescent="0.25">
      <c r="A10129" t="str">
        <f t="shared" si="2"/>
        <v/>
      </c>
    </row>
    <row r="10130" spans="1:1" x14ac:dyDescent="0.25">
      <c r="A10130" t="str">
        <f t="shared" si="2"/>
        <v/>
      </c>
    </row>
    <row r="10131" spans="1:1" x14ac:dyDescent="0.25">
      <c r="A10131" t="str">
        <f t="shared" si="2"/>
        <v/>
      </c>
    </row>
    <row r="10132" spans="1:1" x14ac:dyDescent="0.25">
      <c r="A10132" t="str">
        <f t="shared" si="2"/>
        <v/>
      </c>
    </row>
    <row r="10133" spans="1:1" x14ac:dyDescent="0.25">
      <c r="A10133" t="str">
        <f t="shared" si="2"/>
        <v/>
      </c>
    </row>
    <row r="10134" spans="1:1" x14ac:dyDescent="0.25">
      <c r="A10134" t="str">
        <f t="shared" si="2"/>
        <v/>
      </c>
    </row>
    <row r="10135" spans="1:1" x14ac:dyDescent="0.25">
      <c r="A10135" t="str">
        <f t="shared" si="2"/>
        <v/>
      </c>
    </row>
    <row r="10136" spans="1:1" x14ac:dyDescent="0.25">
      <c r="A10136" t="str">
        <f t="shared" si="2"/>
        <v/>
      </c>
    </row>
    <row r="10137" spans="1:1" x14ac:dyDescent="0.25">
      <c r="A10137" t="str">
        <f t="shared" si="2"/>
        <v/>
      </c>
    </row>
    <row r="10138" spans="1:1" x14ac:dyDescent="0.25">
      <c r="A10138" t="str">
        <f t="shared" si="2"/>
        <v/>
      </c>
    </row>
    <row r="10139" spans="1:1" x14ac:dyDescent="0.25">
      <c r="A10139" t="str">
        <f t="shared" si="2"/>
        <v/>
      </c>
    </row>
    <row r="10140" spans="1:1" x14ac:dyDescent="0.25">
      <c r="A10140" t="str">
        <f t="shared" si="2"/>
        <v/>
      </c>
    </row>
    <row r="10141" spans="1:1" x14ac:dyDescent="0.25">
      <c r="A10141" t="str">
        <f t="shared" si="2"/>
        <v/>
      </c>
    </row>
    <row r="10142" spans="1:1" x14ac:dyDescent="0.25">
      <c r="A10142" t="str">
        <f t="shared" si="2"/>
        <v/>
      </c>
    </row>
    <row r="10143" spans="1:1" x14ac:dyDescent="0.25">
      <c r="A10143" t="str">
        <f t="shared" si="2"/>
        <v/>
      </c>
    </row>
    <row r="10144" spans="1:1" x14ac:dyDescent="0.25">
      <c r="A10144" t="str">
        <f t="shared" si="2"/>
        <v/>
      </c>
    </row>
    <row r="10145" spans="1:1" x14ac:dyDescent="0.25">
      <c r="A10145" t="str">
        <f t="shared" si="2"/>
        <v/>
      </c>
    </row>
    <row r="10146" spans="1:1" x14ac:dyDescent="0.25">
      <c r="A10146" t="str">
        <f t="shared" si="2"/>
        <v/>
      </c>
    </row>
    <row r="10147" spans="1:1" x14ac:dyDescent="0.25">
      <c r="A10147" t="str">
        <f t="shared" si="2"/>
        <v/>
      </c>
    </row>
    <row r="10148" spans="1:1" x14ac:dyDescent="0.25">
      <c r="A10148" t="str">
        <f t="shared" si="2"/>
        <v/>
      </c>
    </row>
    <row r="10149" spans="1:1" x14ac:dyDescent="0.25">
      <c r="A10149" t="str">
        <f t="shared" si="2"/>
        <v/>
      </c>
    </row>
    <row r="10150" spans="1:1" x14ac:dyDescent="0.25">
      <c r="A10150" t="str">
        <f t="shared" si="2"/>
        <v/>
      </c>
    </row>
    <row r="10151" spans="1:1" x14ac:dyDescent="0.25">
      <c r="A10151" t="str">
        <f t="shared" si="2"/>
        <v/>
      </c>
    </row>
    <row r="10152" spans="1:1" x14ac:dyDescent="0.25">
      <c r="A10152" t="str">
        <f t="shared" si="2"/>
        <v/>
      </c>
    </row>
    <row r="10153" spans="1:1" x14ac:dyDescent="0.25">
      <c r="A10153" t="str">
        <f t="shared" si="2"/>
        <v/>
      </c>
    </row>
    <row r="10154" spans="1:1" x14ac:dyDescent="0.25">
      <c r="A10154" t="str">
        <f t="shared" si="2"/>
        <v/>
      </c>
    </row>
    <row r="10155" spans="1:1" x14ac:dyDescent="0.25">
      <c r="A10155" t="str">
        <f t="shared" si="2"/>
        <v/>
      </c>
    </row>
    <row r="10156" spans="1:1" x14ac:dyDescent="0.25">
      <c r="A10156" t="str">
        <f t="shared" si="2"/>
        <v/>
      </c>
    </row>
    <row r="10157" spans="1:1" x14ac:dyDescent="0.25">
      <c r="A10157" t="str">
        <f t="shared" si="2"/>
        <v/>
      </c>
    </row>
    <row r="10158" spans="1:1" x14ac:dyDescent="0.25">
      <c r="A10158" t="str">
        <f t="shared" si="2"/>
        <v/>
      </c>
    </row>
    <row r="10159" spans="1:1" x14ac:dyDescent="0.25">
      <c r="A10159" t="str">
        <f t="shared" si="2"/>
        <v/>
      </c>
    </row>
    <row r="10160" spans="1:1" x14ac:dyDescent="0.25">
      <c r="A10160" t="str">
        <f t="shared" si="2"/>
        <v/>
      </c>
    </row>
    <row r="10161" spans="1:1" x14ac:dyDescent="0.25">
      <c r="A10161" t="str">
        <f t="shared" si="2"/>
        <v/>
      </c>
    </row>
    <row r="10162" spans="1:1" x14ac:dyDescent="0.25">
      <c r="A10162" t="str">
        <f t="shared" si="2"/>
        <v/>
      </c>
    </row>
    <row r="10163" spans="1:1" x14ac:dyDescent="0.25">
      <c r="A10163" t="str">
        <f t="shared" si="2"/>
        <v/>
      </c>
    </row>
    <row r="10164" spans="1:1" x14ac:dyDescent="0.25">
      <c r="A10164" t="str">
        <f t="shared" si="2"/>
        <v/>
      </c>
    </row>
    <row r="10165" spans="1:1" x14ac:dyDescent="0.25">
      <c r="A10165" t="str">
        <f t="shared" ref="A10165:A10228" si="3">B10163&amp;D10163</f>
        <v/>
      </c>
    </row>
    <row r="10166" spans="1:1" x14ac:dyDescent="0.25">
      <c r="A10166" t="str">
        <f t="shared" si="3"/>
        <v/>
      </c>
    </row>
    <row r="10167" spans="1:1" x14ac:dyDescent="0.25">
      <c r="A10167" t="str">
        <f t="shared" si="3"/>
        <v/>
      </c>
    </row>
    <row r="10168" spans="1:1" x14ac:dyDescent="0.25">
      <c r="A10168" t="str">
        <f t="shared" si="3"/>
        <v/>
      </c>
    </row>
    <row r="10169" spans="1:1" x14ac:dyDescent="0.25">
      <c r="A10169" t="str">
        <f t="shared" si="3"/>
        <v/>
      </c>
    </row>
    <row r="10170" spans="1:1" x14ac:dyDescent="0.25">
      <c r="A10170" t="str">
        <f t="shared" si="3"/>
        <v/>
      </c>
    </row>
    <row r="10171" spans="1:1" x14ac:dyDescent="0.25">
      <c r="A10171" t="str">
        <f t="shared" si="3"/>
        <v/>
      </c>
    </row>
    <row r="10172" spans="1:1" x14ac:dyDescent="0.25">
      <c r="A10172" t="str">
        <f t="shared" si="3"/>
        <v/>
      </c>
    </row>
    <row r="10173" spans="1:1" x14ac:dyDescent="0.25">
      <c r="A10173" t="str">
        <f t="shared" si="3"/>
        <v/>
      </c>
    </row>
    <row r="10174" spans="1:1" x14ac:dyDescent="0.25">
      <c r="A10174" t="str">
        <f t="shared" si="3"/>
        <v/>
      </c>
    </row>
    <row r="10175" spans="1:1" x14ac:dyDescent="0.25">
      <c r="A10175" t="str">
        <f t="shared" si="3"/>
        <v/>
      </c>
    </row>
    <row r="10176" spans="1:1" x14ac:dyDescent="0.25">
      <c r="A10176" t="str">
        <f t="shared" si="3"/>
        <v/>
      </c>
    </row>
    <row r="10177" spans="1:1" x14ac:dyDescent="0.25">
      <c r="A10177" t="str">
        <f t="shared" si="3"/>
        <v/>
      </c>
    </row>
    <row r="10178" spans="1:1" x14ac:dyDescent="0.25">
      <c r="A10178" t="str">
        <f t="shared" si="3"/>
        <v/>
      </c>
    </row>
    <row r="10179" spans="1:1" x14ac:dyDescent="0.25">
      <c r="A10179" t="str">
        <f t="shared" si="3"/>
        <v/>
      </c>
    </row>
    <row r="10180" spans="1:1" x14ac:dyDescent="0.25">
      <c r="A10180" t="str">
        <f t="shared" si="3"/>
        <v/>
      </c>
    </row>
    <row r="10181" spans="1:1" x14ac:dyDescent="0.25">
      <c r="A10181" t="str">
        <f t="shared" si="3"/>
        <v/>
      </c>
    </row>
    <row r="10182" spans="1:1" x14ac:dyDescent="0.25">
      <c r="A10182" t="str">
        <f t="shared" si="3"/>
        <v/>
      </c>
    </row>
    <row r="10183" spans="1:1" x14ac:dyDescent="0.25">
      <c r="A10183" t="str">
        <f t="shared" si="3"/>
        <v/>
      </c>
    </row>
    <row r="10184" spans="1:1" x14ac:dyDescent="0.25">
      <c r="A10184" t="str">
        <f t="shared" si="3"/>
        <v/>
      </c>
    </row>
    <row r="10185" spans="1:1" x14ac:dyDescent="0.25">
      <c r="A10185" t="str">
        <f t="shared" si="3"/>
        <v/>
      </c>
    </row>
    <row r="10186" spans="1:1" x14ac:dyDescent="0.25">
      <c r="A10186" t="str">
        <f t="shared" si="3"/>
        <v/>
      </c>
    </row>
    <row r="10187" spans="1:1" x14ac:dyDescent="0.25">
      <c r="A10187" t="str">
        <f t="shared" si="3"/>
        <v/>
      </c>
    </row>
    <row r="10188" spans="1:1" x14ac:dyDescent="0.25">
      <c r="A10188" t="str">
        <f t="shared" si="3"/>
        <v/>
      </c>
    </row>
    <row r="10189" spans="1:1" x14ac:dyDescent="0.25">
      <c r="A10189" t="str">
        <f t="shared" si="3"/>
        <v/>
      </c>
    </row>
    <row r="10190" spans="1:1" x14ac:dyDescent="0.25">
      <c r="A10190" t="str">
        <f t="shared" si="3"/>
        <v/>
      </c>
    </row>
    <row r="10191" spans="1:1" x14ac:dyDescent="0.25">
      <c r="A10191" t="str">
        <f t="shared" si="3"/>
        <v/>
      </c>
    </row>
    <row r="10192" spans="1:1" x14ac:dyDescent="0.25">
      <c r="A10192" t="str">
        <f t="shared" si="3"/>
        <v/>
      </c>
    </row>
    <row r="10193" spans="1:1" x14ac:dyDescent="0.25">
      <c r="A10193" t="str">
        <f t="shared" si="3"/>
        <v/>
      </c>
    </row>
    <row r="10194" spans="1:1" x14ac:dyDescent="0.25">
      <c r="A10194" t="str">
        <f t="shared" si="3"/>
        <v/>
      </c>
    </row>
    <row r="10195" spans="1:1" x14ac:dyDescent="0.25">
      <c r="A10195" t="str">
        <f t="shared" si="3"/>
        <v/>
      </c>
    </row>
    <row r="10196" spans="1:1" x14ac:dyDescent="0.25">
      <c r="A10196" t="str">
        <f t="shared" si="3"/>
        <v/>
      </c>
    </row>
    <row r="10197" spans="1:1" x14ac:dyDescent="0.25">
      <c r="A10197" t="str">
        <f t="shared" si="3"/>
        <v/>
      </c>
    </row>
    <row r="10198" spans="1:1" x14ac:dyDescent="0.25">
      <c r="A10198" t="str">
        <f t="shared" si="3"/>
        <v/>
      </c>
    </row>
    <row r="10199" spans="1:1" x14ac:dyDescent="0.25">
      <c r="A10199" t="str">
        <f t="shared" si="3"/>
        <v/>
      </c>
    </row>
    <row r="10200" spans="1:1" x14ac:dyDescent="0.25">
      <c r="A10200" t="str">
        <f t="shared" si="3"/>
        <v/>
      </c>
    </row>
    <row r="10201" spans="1:1" x14ac:dyDescent="0.25">
      <c r="A10201" t="str">
        <f t="shared" si="3"/>
        <v/>
      </c>
    </row>
    <row r="10202" spans="1:1" x14ac:dyDescent="0.25">
      <c r="A10202" t="str">
        <f t="shared" si="3"/>
        <v/>
      </c>
    </row>
    <row r="10203" spans="1:1" x14ac:dyDescent="0.25">
      <c r="A10203" t="str">
        <f t="shared" si="3"/>
        <v/>
      </c>
    </row>
    <row r="10204" spans="1:1" x14ac:dyDescent="0.25">
      <c r="A10204" t="str">
        <f t="shared" si="3"/>
        <v/>
      </c>
    </row>
    <row r="10205" spans="1:1" x14ac:dyDescent="0.25">
      <c r="A10205" t="str">
        <f t="shared" si="3"/>
        <v/>
      </c>
    </row>
    <row r="10206" spans="1:1" x14ac:dyDescent="0.25">
      <c r="A10206" t="str">
        <f t="shared" si="3"/>
        <v/>
      </c>
    </row>
    <row r="10207" spans="1:1" x14ac:dyDescent="0.25">
      <c r="A10207" t="str">
        <f t="shared" si="3"/>
        <v/>
      </c>
    </row>
    <row r="10208" spans="1:1" x14ac:dyDescent="0.25">
      <c r="A10208" t="str">
        <f t="shared" si="3"/>
        <v/>
      </c>
    </row>
    <row r="10209" spans="1:1" x14ac:dyDescent="0.25">
      <c r="A10209" t="str">
        <f t="shared" si="3"/>
        <v/>
      </c>
    </row>
    <row r="10210" spans="1:1" x14ac:dyDescent="0.25">
      <c r="A10210" t="str">
        <f t="shared" si="3"/>
        <v/>
      </c>
    </row>
    <row r="10211" spans="1:1" x14ac:dyDescent="0.25">
      <c r="A10211" t="str">
        <f t="shared" si="3"/>
        <v/>
      </c>
    </row>
    <row r="10212" spans="1:1" x14ac:dyDescent="0.25">
      <c r="A10212" t="str">
        <f t="shared" si="3"/>
        <v/>
      </c>
    </row>
    <row r="10213" spans="1:1" x14ac:dyDescent="0.25">
      <c r="A10213" t="str">
        <f t="shared" si="3"/>
        <v/>
      </c>
    </row>
    <row r="10214" spans="1:1" x14ac:dyDescent="0.25">
      <c r="A10214" t="str">
        <f t="shared" si="3"/>
        <v/>
      </c>
    </row>
    <row r="10215" spans="1:1" x14ac:dyDescent="0.25">
      <c r="A10215" t="str">
        <f t="shared" si="3"/>
        <v/>
      </c>
    </row>
    <row r="10216" spans="1:1" x14ac:dyDescent="0.25">
      <c r="A10216" t="str">
        <f t="shared" si="3"/>
        <v/>
      </c>
    </row>
    <row r="10217" spans="1:1" x14ac:dyDescent="0.25">
      <c r="A10217" t="str">
        <f t="shared" si="3"/>
        <v/>
      </c>
    </row>
    <row r="10218" spans="1:1" x14ac:dyDescent="0.25">
      <c r="A10218" t="str">
        <f t="shared" si="3"/>
        <v/>
      </c>
    </row>
    <row r="10219" spans="1:1" x14ac:dyDescent="0.25">
      <c r="A10219" t="str">
        <f t="shared" si="3"/>
        <v/>
      </c>
    </row>
    <row r="10220" spans="1:1" x14ac:dyDescent="0.25">
      <c r="A10220" t="str">
        <f t="shared" si="3"/>
        <v/>
      </c>
    </row>
    <row r="10221" spans="1:1" x14ac:dyDescent="0.25">
      <c r="A10221" t="str">
        <f t="shared" si="3"/>
        <v/>
      </c>
    </row>
    <row r="10222" spans="1:1" x14ac:dyDescent="0.25">
      <c r="A10222" t="str">
        <f t="shared" si="3"/>
        <v/>
      </c>
    </row>
    <row r="10223" spans="1:1" x14ac:dyDescent="0.25">
      <c r="A10223" t="str">
        <f t="shared" si="3"/>
        <v/>
      </c>
    </row>
    <row r="10224" spans="1:1" x14ac:dyDescent="0.25">
      <c r="A10224" t="str">
        <f t="shared" si="3"/>
        <v/>
      </c>
    </row>
    <row r="10225" spans="1:1" x14ac:dyDescent="0.25">
      <c r="A10225" t="str">
        <f t="shared" si="3"/>
        <v/>
      </c>
    </row>
    <row r="10226" spans="1:1" x14ac:dyDescent="0.25">
      <c r="A10226" t="str">
        <f t="shared" si="3"/>
        <v/>
      </c>
    </row>
    <row r="10227" spans="1:1" x14ac:dyDescent="0.25">
      <c r="A10227" t="str">
        <f t="shared" si="3"/>
        <v/>
      </c>
    </row>
    <row r="10228" spans="1:1" x14ac:dyDescent="0.25">
      <c r="A10228" t="str">
        <f t="shared" si="3"/>
        <v/>
      </c>
    </row>
    <row r="10229" spans="1:1" x14ac:dyDescent="0.25">
      <c r="A10229" t="str">
        <f t="shared" ref="A10229:A10292" si="4">B10227&amp;D10227</f>
        <v/>
      </c>
    </row>
    <row r="10230" spans="1:1" x14ac:dyDescent="0.25">
      <c r="A10230" t="str">
        <f t="shared" si="4"/>
        <v/>
      </c>
    </row>
    <row r="10231" spans="1:1" x14ac:dyDescent="0.25">
      <c r="A10231" t="str">
        <f t="shared" si="4"/>
        <v/>
      </c>
    </row>
    <row r="10232" spans="1:1" x14ac:dyDescent="0.25">
      <c r="A10232" t="str">
        <f t="shared" si="4"/>
        <v/>
      </c>
    </row>
    <row r="10233" spans="1:1" x14ac:dyDescent="0.25">
      <c r="A10233" t="str">
        <f t="shared" si="4"/>
        <v/>
      </c>
    </row>
    <row r="10234" spans="1:1" x14ac:dyDescent="0.25">
      <c r="A10234" t="str">
        <f t="shared" si="4"/>
        <v/>
      </c>
    </row>
    <row r="10235" spans="1:1" x14ac:dyDescent="0.25">
      <c r="A10235" t="str">
        <f t="shared" si="4"/>
        <v/>
      </c>
    </row>
    <row r="10236" spans="1:1" x14ac:dyDescent="0.25">
      <c r="A10236" t="str">
        <f t="shared" si="4"/>
        <v/>
      </c>
    </row>
    <row r="10237" spans="1:1" x14ac:dyDescent="0.25">
      <c r="A10237" t="str">
        <f t="shared" si="4"/>
        <v/>
      </c>
    </row>
    <row r="10238" spans="1:1" x14ac:dyDescent="0.25">
      <c r="A10238" t="str">
        <f t="shared" si="4"/>
        <v/>
      </c>
    </row>
    <row r="10239" spans="1:1" x14ac:dyDescent="0.25">
      <c r="A10239" t="str">
        <f t="shared" si="4"/>
        <v/>
      </c>
    </row>
    <row r="10240" spans="1:1" x14ac:dyDescent="0.25">
      <c r="A10240" t="str">
        <f t="shared" si="4"/>
        <v/>
      </c>
    </row>
    <row r="10241" spans="1:1" x14ac:dyDescent="0.25">
      <c r="A10241" t="str">
        <f t="shared" si="4"/>
        <v/>
      </c>
    </row>
    <row r="10242" spans="1:1" x14ac:dyDescent="0.25">
      <c r="A10242" t="str">
        <f t="shared" si="4"/>
        <v/>
      </c>
    </row>
    <row r="10243" spans="1:1" x14ac:dyDescent="0.25">
      <c r="A10243" t="str">
        <f t="shared" si="4"/>
        <v/>
      </c>
    </row>
    <row r="10244" spans="1:1" x14ac:dyDescent="0.25">
      <c r="A10244" t="str">
        <f t="shared" si="4"/>
        <v/>
      </c>
    </row>
    <row r="10245" spans="1:1" x14ac:dyDescent="0.25">
      <c r="A10245" t="str">
        <f t="shared" si="4"/>
        <v/>
      </c>
    </row>
    <row r="10246" spans="1:1" x14ac:dyDescent="0.25">
      <c r="A10246" t="str">
        <f t="shared" si="4"/>
        <v/>
      </c>
    </row>
    <row r="10247" spans="1:1" x14ac:dyDescent="0.25">
      <c r="A10247" t="str">
        <f t="shared" si="4"/>
        <v/>
      </c>
    </row>
    <row r="10248" spans="1:1" x14ac:dyDescent="0.25">
      <c r="A10248" t="str">
        <f t="shared" si="4"/>
        <v/>
      </c>
    </row>
    <row r="10249" spans="1:1" x14ac:dyDescent="0.25">
      <c r="A10249" t="str">
        <f t="shared" si="4"/>
        <v/>
      </c>
    </row>
    <row r="10250" spans="1:1" x14ac:dyDescent="0.25">
      <c r="A10250" t="str">
        <f t="shared" si="4"/>
        <v/>
      </c>
    </row>
    <row r="10251" spans="1:1" x14ac:dyDescent="0.25">
      <c r="A10251" t="str">
        <f t="shared" si="4"/>
        <v/>
      </c>
    </row>
    <row r="10252" spans="1:1" x14ac:dyDescent="0.25">
      <c r="A10252" t="str">
        <f t="shared" si="4"/>
        <v/>
      </c>
    </row>
    <row r="10253" spans="1:1" x14ac:dyDescent="0.25">
      <c r="A10253" t="str">
        <f t="shared" si="4"/>
        <v/>
      </c>
    </row>
    <row r="10254" spans="1:1" x14ac:dyDescent="0.25">
      <c r="A10254" t="str">
        <f t="shared" si="4"/>
        <v/>
      </c>
    </row>
    <row r="10255" spans="1:1" x14ac:dyDescent="0.25">
      <c r="A10255" t="str">
        <f t="shared" si="4"/>
        <v/>
      </c>
    </row>
    <row r="10256" spans="1:1" x14ac:dyDescent="0.25">
      <c r="A10256" t="str">
        <f t="shared" si="4"/>
        <v/>
      </c>
    </row>
    <row r="10257" spans="1:1" x14ac:dyDescent="0.25">
      <c r="A10257" t="str">
        <f t="shared" si="4"/>
        <v/>
      </c>
    </row>
    <row r="10258" spans="1:1" x14ac:dyDescent="0.25">
      <c r="A10258" t="str">
        <f t="shared" si="4"/>
        <v/>
      </c>
    </row>
    <row r="10259" spans="1:1" x14ac:dyDescent="0.25">
      <c r="A10259" t="str">
        <f t="shared" si="4"/>
        <v/>
      </c>
    </row>
    <row r="10260" spans="1:1" x14ac:dyDescent="0.25">
      <c r="A10260" t="str">
        <f t="shared" si="4"/>
        <v/>
      </c>
    </row>
    <row r="10261" spans="1:1" x14ac:dyDescent="0.25">
      <c r="A10261" t="str">
        <f t="shared" si="4"/>
        <v/>
      </c>
    </row>
    <row r="10262" spans="1:1" x14ac:dyDescent="0.25">
      <c r="A10262" t="str">
        <f t="shared" si="4"/>
        <v/>
      </c>
    </row>
    <row r="10263" spans="1:1" x14ac:dyDescent="0.25">
      <c r="A10263" t="str">
        <f t="shared" si="4"/>
        <v/>
      </c>
    </row>
    <row r="10264" spans="1:1" x14ac:dyDescent="0.25">
      <c r="A10264" t="str">
        <f t="shared" si="4"/>
        <v/>
      </c>
    </row>
    <row r="10265" spans="1:1" x14ac:dyDescent="0.25">
      <c r="A10265" t="str">
        <f t="shared" si="4"/>
        <v/>
      </c>
    </row>
    <row r="10266" spans="1:1" x14ac:dyDescent="0.25">
      <c r="A10266" t="str">
        <f t="shared" si="4"/>
        <v/>
      </c>
    </row>
    <row r="10267" spans="1:1" x14ac:dyDescent="0.25">
      <c r="A10267" t="str">
        <f t="shared" si="4"/>
        <v/>
      </c>
    </row>
    <row r="10268" spans="1:1" x14ac:dyDescent="0.25">
      <c r="A10268" t="str">
        <f t="shared" si="4"/>
        <v/>
      </c>
    </row>
    <row r="10269" spans="1:1" x14ac:dyDescent="0.25">
      <c r="A10269" t="str">
        <f t="shared" si="4"/>
        <v/>
      </c>
    </row>
    <row r="10270" spans="1:1" x14ac:dyDescent="0.25">
      <c r="A10270" t="str">
        <f t="shared" si="4"/>
        <v/>
      </c>
    </row>
    <row r="10271" spans="1:1" x14ac:dyDescent="0.25">
      <c r="A10271" t="str">
        <f t="shared" si="4"/>
        <v/>
      </c>
    </row>
    <row r="10272" spans="1:1" x14ac:dyDescent="0.25">
      <c r="A10272" t="str">
        <f t="shared" si="4"/>
        <v/>
      </c>
    </row>
    <row r="10273" spans="1:1" x14ac:dyDescent="0.25">
      <c r="A10273" t="str">
        <f t="shared" si="4"/>
        <v/>
      </c>
    </row>
    <row r="10274" spans="1:1" x14ac:dyDescent="0.25">
      <c r="A10274" t="str">
        <f t="shared" si="4"/>
        <v/>
      </c>
    </row>
    <row r="10275" spans="1:1" x14ac:dyDescent="0.25">
      <c r="A10275" t="str">
        <f t="shared" si="4"/>
        <v/>
      </c>
    </row>
    <row r="10276" spans="1:1" x14ac:dyDescent="0.25">
      <c r="A10276" t="str">
        <f t="shared" si="4"/>
        <v/>
      </c>
    </row>
    <row r="10277" spans="1:1" x14ac:dyDescent="0.25">
      <c r="A10277" t="str">
        <f t="shared" si="4"/>
        <v/>
      </c>
    </row>
    <row r="10278" spans="1:1" x14ac:dyDescent="0.25">
      <c r="A10278" t="str">
        <f t="shared" si="4"/>
        <v/>
      </c>
    </row>
    <row r="10279" spans="1:1" x14ac:dyDescent="0.25">
      <c r="A10279" t="str">
        <f t="shared" si="4"/>
        <v/>
      </c>
    </row>
    <row r="10280" spans="1:1" x14ac:dyDescent="0.25">
      <c r="A10280" t="str">
        <f t="shared" si="4"/>
        <v/>
      </c>
    </row>
    <row r="10281" spans="1:1" x14ac:dyDescent="0.25">
      <c r="A10281" t="str">
        <f t="shared" si="4"/>
        <v/>
      </c>
    </row>
    <row r="10282" spans="1:1" x14ac:dyDescent="0.25">
      <c r="A10282" t="str">
        <f t="shared" si="4"/>
        <v/>
      </c>
    </row>
    <row r="10283" spans="1:1" x14ac:dyDescent="0.25">
      <c r="A10283" t="str">
        <f t="shared" si="4"/>
        <v/>
      </c>
    </row>
    <row r="10284" spans="1:1" x14ac:dyDescent="0.25">
      <c r="A10284" t="str">
        <f t="shared" si="4"/>
        <v/>
      </c>
    </row>
    <row r="10285" spans="1:1" x14ac:dyDescent="0.25">
      <c r="A10285" t="str">
        <f t="shared" si="4"/>
        <v/>
      </c>
    </row>
    <row r="10286" spans="1:1" x14ac:dyDescent="0.25">
      <c r="A10286" t="str">
        <f t="shared" si="4"/>
        <v/>
      </c>
    </row>
    <row r="10287" spans="1:1" x14ac:dyDescent="0.25">
      <c r="A10287" t="str">
        <f t="shared" si="4"/>
        <v/>
      </c>
    </row>
    <row r="10288" spans="1:1" x14ac:dyDescent="0.25">
      <c r="A10288" t="str">
        <f t="shared" si="4"/>
        <v/>
      </c>
    </row>
    <row r="10289" spans="1:1" x14ac:dyDescent="0.25">
      <c r="A10289" t="str">
        <f t="shared" si="4"/>
        <v/>
      </c>
    </row>
    <row r="10290" spans="1:1" x14ac:dyDescent="0.25">
      <c r="A10290" t="str">
        <f t="shared" si="4"/>
        <v/>
      </c>
    </row>
    <row r="10291" spans="1:1" x14ac:dyDescent="0.25">
      <c r="A10291" t="str">
        <f t="shared" si="4"/>
        <v/>
      </c>
    </row>
    <row r="10292" spans="1:1" x14ac:dyDescent="0.25">
      <c r="A10292" t="str">
        <f t="shared" si="4"/>
        <v/>
      </c>
    </row>
    <row r="10293" spans="1:1" x14ac:dyDescent="0.25">
      <c r="A10293" t="str">
        <f t="shared" ref="A10293:A10356" si="5">B10291&amp;D10291</f>
        <v/>
      </c>
    </row>
    <row r="10294" spans="1:1" x14ac:dyDescent="0.25">
      <c r="A10294" t="str">
        <f t="shared" si="5"/>
        <v/>
      </c>
    </row>
    <row r="10295" spans="1:1" x14ac:dyDescent="0.25">
      <c r="A10295" t="str">
        <f t="shared" si="5"/>
        <v/>
      </c>
    </row>
    <row r="10296" spans="1:1" x14ac:dyDescent="0.25">
      <c r="A10296" t="str">
        <f t="shared" si="5"/>
        <v/>
      </c>
    </row>
    <row r="10297" spans="1:1" x14ac:dyDescent="0.25">
      <c r="A10297" t="str">
        <f t="shared" si="5"/>
        <v/>
      </c>
    </row>
    <row r="10298" spans="1:1" x14ac:dyDescent="0.25">
      <c r="A10298" t="str">
        <f t="shared" si="5"/>
        <v/>
      </c>
    </row>
    <row r="10299" spans="1:1" x14ac:dyDescent="0.25">
      <c r="A10299" t="str">
        <f t="shared" si="5"/>
        <v/>
      </c>
    </row>
    <row r="10300" spans="1:1" x14ac:dyDescent="0.25">
      <c r="A10300" t="str">
        <f t="shared" si="5"/>
        <v/>
      </c>
    </row>
    <row r="10301" spans="1:1" x14ac:dyDescent="0.25">
      <c r="A10301" t="str">
        <f t="shared" si="5"/>
        <v/>
      </c>
    </row>
    <row r="10302" spans="1:1" x14ac:dyDescent="0.25">
      <c r="A10302" t="str">
        <f t="shared" si="5"/>
        <v/>
      </c>
    </row>
    <row r="10303" spans="1:1" x14ac:dyDescent="0.25">
      <c r="A10303" t="str">
        <f t="shared" si="5"/>
        <v/>
      </c>
    </row>
    <row r="10304" spans="1:1" x14ac:dyDescent="0.25">
      <c r="A10304" t="str">
        <f t="shared" si="5"/>
        <v/>
      </c>
    </row>
    <row r="10305" spans="1:1" x14ac:dyDescent="0.25">
      <c r="A10305" t="str">
        <f t="shared" si="5"/>
        <v/>
      </c>
    </row>
    <row r="10306" spans="1:1" x14ac:dyDescent="0.25">
      <c r="A10306" t="str">
        <f t="shared" si="5"/>
        <v/>
      </c>
    </row>
    <row r="10307" spans="1:1" x14ac:dyDescent="0.25">
      <c r="A10307" t="str">
        <f t="shared" si="5"/>
        <v/>
      </c>
    </row>
    <row r="10308" spans="1:1" x14ac:dyDescent="0.25">
      <c r="A10308" t="str">
        <f t="shared" si="5"/>
        <v/>
      </c>
    </row>
    <row r="10309" spans="1:1" x14ac:dyDescent="0.25">
      <c r="A10309" t="str">
        <f t="shared" si="5"/>
        <v/>
      </c>
    </row>
    <row r="10310" spans="1:1" x14ac:dyDescent="0.25">
      <c r="A10310" t="str">
        <f t="shared" si="5"/>
        <v/>
      </c>
    </row>
    <row r="10311" spans="1:1" x14ac:dyDescent="0.25">
      <c r="A10311" t="str">
        <f t="shared" si="5"/>
        <v/>
      </c>
    </row>
    <row r="10312" spans="1:1" x14ac:dyDescent="0.25">
      <c r="A10312" t="str">
        <f t="shared" si="5"/>
        <v/>
      </c>
    </row>
    <row r="10313" spans="1:1" x14ac:dyDescent="0.25">
      <c r="A10313" t="str">
        <f t="shared" si="5"/>
        <v/>
      </c>
    </row>
    <row r="10314" spans="1:1" x14ac:dyDescent="0.25">
      <c r="A10314" t="str">
        <f t="shared" si="5"/>
        <v/>
      </c>
    </row>
    <row r="10315" spans="1:1" x14ac:dyDescent="0.25">
      <c r="A10315" t="str">
        <f t="shared" si="5"/>
        <v/>
      </c>
    </row>
    <row r="10316" spans="1:1" x14ac:dyDescent="0.25">
      <c r="A10316" t="str">
        <f t="shared" si="5"/>
        <v/>
      </c>
    </row>
    <row r="10317" spans="1:1" x14ac:dyDescent="0.25">
      <c r="A10317" t="str">
        <f t="shared" si="5"/>
        <v/>
      </c>
    </row>
    <row r="10318" spans="1:1" x14ac:dyDescent="0.25">
      <c r="A10318" t="str">
        <f t="shared" si="5"/>
        <v/>
      </c>
    </row>
    <row r="10319" spans="1:1" x14ac:dyDescent="0.25">
      <c r="A10319" t="str">
        <f t="shared" si="5"/>
        <v/>
      </c>
    </row>
    <row r="10320" spans="1:1" x14ac:dyDescent="0.25">
      <c r="A10320" t="str">
        <f t="shared" si="5"/>
        <v/>
      </c>
    </row>
    <row r="10321" spans="1:1" x14ac:dyDescent="0.25">
      <c r="A10321" t="str">
        <f t="shared" si="5"/>
        <v/>
      </c>
    </row>
    <row r="10322" spans="1:1" x14ac:dyDescent="0.25">
      <c r="A10322" t="str">
        <f t="shared" si="5"/>
        <v/>
      </c>
    </row>
    <row r="10323" spans="1:1" x14ac:dyDescent="0.25">
      <c r="A10323" t="str">
        <f t="shared" si="5"/>
        <v/>
      </c>
    </row>
    <row r="10324" spans="1:1" x14ac:dyDescent="0.25">
      <c r="A10324" t="str">
        <f t="shared" si="5"/>
        <v/>
      </c>
    </row>
    <row r="10325" spans="1:1" x14ac:dyDescent="0.25">
      <c r="A10325" t="str">
        <f t="shared" si="5"/>
        <v/>
      </c>
    </row>
    <row r="10326" spans="1:1" x14ac:dyDescent="0.25">
      <c r="A10326" t="str">
        <f t="shared" si="5"/>
        <v/>
      </c>
    </row>
    <row r="10327" spans="1:1" x14ac:dyDescent="0.25">
      <c r="A10327" t="str">
        <f t="shared" si="5"/>
        <v/>
      </c>
    </row>
    <row r="10328" spans="1:1" x14ac:dyDescent="0.25">
      <c r="A10328" t="str">
        <f t="shared" si="5"/>
        <v/>
      </c>
    </row>
    <row r="10329" spans="1:1" x14ac:dyDescent="0.25">
      <c r="A10329" t="str">
        <f t="shared" si="5"/>
        <v/>
      </c>
    </row>
    <row r="10330" spans="1:1" x14ac:dyDescent="0.25">
      <c r="A10330" t="str">
        <f t="shared" si="5"/>
        <v/>
      </c>
    </row>
    <row r="10331" spans="1:1" x14ac:dyDescent="0.25">
      <c r="A10331" t="str">
        <f t="shared" si="5"/>
        <v/>
      </c>
    </row>
    <row r="10332" spans="1:1" x14ac:dyDescent="0.25">
      <c r="A10332" t="str">
        <f t="shared" si="5"/>
        <v/>
      </c>
    </row>
    <row r="10333" spans="1:1" x14ac:dyDescent="0.25">
      <c r="A10333" t="str">
        <f t="shared" si="5"/>
        <v/>
      </c>
    </row>
    <row r="10334" spans="1:1" x14ac:dyDescent="0.25">
      <c r="A10334" t="str">
        <f t="shared" si="5"/>
        <v/>
      </c>
    </row>
    <row r="10335" spans="1:1" x14ac:dyDescent="0.25">
      <c r="A10335" t="str">
        <f t="shared" si="5"/>
        <v/>
      </c>
    </row>
    <row r="10336" spans="1:1" x14ac:dyDescent="0.25">
      <c r="A10336" t="str">
        <f t="shared" si="5"/>
        <v/>
      </c>
    </row>
    <row r="10337" spans="1:1" x14ac:dyDescent="0.25">
      <c r="A10337" t="str">
        <f t="shared" si="5"/>
        <v/>
      </c>
    </row>
    <row r="10338" spans="1:1" x14ac:dyDescent="0.25">
      <c r="A10338" t="str">
        <f t="shared" si="5"/>
        <v/>
      </c>
    </row>
    <row r="10339" spans="1:1" x14ac:dyDescent="0.25">
      <c r="A10339" t="str">
        <f t="shared" si="5"/>
        <v/>
      </c>
    </row>
    <row r="10340" spans="1:1" x14ac:dyDescent="0.25">
      <c r="A10340" t="str">
        <f t="shared" si="5"/>
        <v/>
      </c>
    </row>
    <row r="10341" spans="1:1" x14ac:dyDescent="0.25">
      <c r="A10341" t="str">
        <f t="shared" si="5"/>
        <v/>
      </c>
    </row>
    <row r="10342" spans="1:1" x14ac:dyDescent="0.25">
      <c r="A10342" t="str">
        <f t="shared" si="5"/>
        <v/>
      </c>
    </row>
    <row r="10343" spans="1:1" x14ac:dyDescent="0.25">
      <c r="A10343" t="str">
        <f t="shared" si="5"/>
        <v/>
      </c>
    </row>
    <row r="10344" spans="1:1" x14ac:dyDescent="0.25">
      <c r="A10344" t="str">
        <f t="shared" si="5"/>
        <v/>
      </c>
    </row>
    <row r="10345" spans="1:1" x14ac:dyDescent="0.25">
      <c r="A10345" t="str">
        <f t="shared" si="5"/>
        <v/>
      </c>
    </row>
    <row r="10346" spans="1:1" x14ac:dyDescent="0.25">
      <c r="A10346" t="str">
        <f t="shared" si="5"/>
        <v/>
      </c>
    </row>
    <row r="10347" spans="1:1" x14ac:dyDescent="0.25">
      <c r="A10347" t="str">
        <f t="shared" si="5"/>
        <v/>
      </c>
    </row>
    <row r="10348" spans="1:1" x14ac:dyDescent="0.25">
      <c r="A10348" t="str">
        <f t="shared" si="5"/>
        <v/>
      </c>
    </row>
    <row r="10349" spans="1:1" x14ac:dyDescent="0.25">
      <c r="A10349" t="str">
        <f t="shared" si="5"/>
        <v/>
      </c>
    </row>
    <row r="10350" spans="1:1" x14ac:dyDescent="0.25">
      <c r="A10350" t="str">
        <f t="shared" si="5"/>
        <v/>
      </c>
    </row>
    <row r="10351" spans="1:1" x14ac:dyDescent="0.25">
      <c r="A10351" t="str">
        <f t="shared" si="5"/>
        <v/>
      </c>
    </row>
    <row r="10352" spans="1:1" x14ac:dyDescent="0.25">
      <c r="A10352" t="str">
        <f t="shared" si="5"/>
        <v/>
      </c>
    </row>
    <row r="10353" spans="1:1" x14ac:dyDescent="0.25">
      <c r="A10353" t="str">
        <f t="shared" si="5"/>
        <v/>
      </c>
    </row>
    <row r="10354" spans="1:1" x14ac:dyDescent="0.25">
      <c r="A10354" t="str">
        <f t="shared" si="5"/>
        <v/>
      </c>
    </row>
    <row r="10355" spans="1:1" x14ac:dyDescent="0.25">
      <c r="A10355" t="str">
        <f t="shared" si="5"/>
        <v/>
      </c>
    </row>
    <row r="10356" spans="1:1" x14ac:dyDescent="0.25">
      <c r="A10356" t="str">
        <f t="shared" si="5"/>
        <v/>
      </c>
    </row>
    <row r="10357" spans="1:1" x14ac:dyDescent="0.25">
      <c r="A10357" t="str">
        <f t="shared" ref="A10357:A10420" si="6">B10355&amp;D10355</f>
        <v/>
      </c>
    </row>
    <row r="10358" spans="1:1" x14ac:dyDescent="0.25">
      <c r="A10358" t="str">
        <f t="shared" si="6"/>
        <v/>
      </c>
    </row>
    <row r="10359" spans="1:1" x14ac:dyDescent="0.25">
      <c r="A10359" t="str">
        <f t="shared" si="6"/>
        <v/>
      </c>
    </row>
    <row r="10360" spans="1:1" x14ac:dyDescent="0.25">
      <c r="A10360" t="str">
        <f t="shared" si="6"/>
        <v/>
      </c>
    </row>
    <row r="10361" spans="1:1" x14ac:dyDescent="0.25">
      <c r="A10361" t="str">
        <f t="shared" si="6"/>
        <v/>
      </c>
    </row>
    <row r="10362" spans="1:1" x14ac:dyDescent="0.25">
      <c r="A10362" t="str">
        <f t="shared" si="6"/>
        <v/>
      </c>
    </row>
    <row r="10363" spans="1:1" x14ac:dyDescent="0.25">
      <c r="A10363" t="str">
        <f t="shared" si="6"/>
        <v/>
      </c>
    </row>
    <row r="10364" spans="1:1" x14ac:dyDescent="0.25">
      <c r="A10364" t="str">
        <f t="shared" si="6"/>
        <v/>
      </c>
    </row>
    <row r="10365" spans="1:1" x14ac:dyDescent="0.25">
      <c r="A10365" t="str">
        <f t="shared" si="6"/>
        <v/>
      </c>
    </row>
    <row r="10366" spans="1:1" x14ac:dyDescent="0.25">
      <c r="A10366" t="str">
        <f t="shared" si="6"/>
        <v/>
      </c>
    </row>
    <row r="10367" spans="1:1" x14ac:dyDescent="0.25">
      <c r="A10367" t="str">
        <f t="shared" si="6"/>
        <v/>
      </c>
    </row>
    <row r="10368" spans="1:1" x14ac:dyDescent="0.25">
      <c r="A10368" t="str">
        <f t="shared" si="6"/>
        <v/>
      </c>
    </row>
    <row r="10369" spans="1:1" x14ac:dyDescent="0.25">
      <c r="A10369" t="str">
        <f t="shared" si="6"/>
        <v/>
      </c>
    </row>
    <row r="10370" spans="1:1" x14ac:dyDescent="0.25">
      <c r="A10370" t="str">
        <f t="shared" si="6"/>
        <v/>
      </c>
    </row>
    <row r="10371" spans="1:1" x14ac:dyDescent="0.25">
      <c r="A10371" t="str">
        <f t="shared" si="6"/>
        <v/>
      </c>
    </row>
    <row r="10372" spans="1:1" x14ac:dyDescent="0.25">
      <c r="A10372" t="str">
        <f t="shared" si="6"/>
        <v/>
      </c>
    </row>
    <row r="10373" spans="1:1" x14ac:dyDescent="0.25">
      <c r="A10373" t="str">
        <f t="shared" si="6"/>
        <v/>
      </c>
    </row>
    <row r="10374" spans="1:1" x14ac:dyDescent="0.25">
      <c r="A10374" t="str">
        <f t="shared" si="6"/>
        <v/>
      </c>
    </row>
    <row r="10375" spans="1:1" x14ac:dyDescent="0.25">
      <c r="A10375" t="str">
        <f t="shared" si="6"/>
        <v/>
      </c>
    </row>
    <row r="10376" spans="1:1" x14ac:dyDescent="0.25">
      <c r="A10376" t="str">
        <f t="shared" si="6"/>
        <v/>
      </c>
    </row>
    <row r="10377" spans="1:1" x14ac:dyDescent="0.25">
      <c r="A10377" t="str">
        <f t="shared" si="6"/>
        <v/>
      </c>
    </row>
    <row r="10378" spans="1:1" x14ac:dyDescent="0.25">
      <c r="A10378" t="str">
        <f t="shared" si="6"/>
        <v/>
      </c>
    </row>
    <row r="10379" spans="1:1" x14ac:dyDescent="0.25">
      <c r="A10379" t="str">
        <f t="shared" si="6"/>
        <v/>
      </c>
    </row>
    <row r="10380" spans="1:1" x14ac:dyDescent="0.25">
      <c r="A10380" t="str">
        <f t="shared" si="6"/>
        <v/>
      </c>
    </row>
    <row r="10381" spans="1:1" x14ac:dyDescent="0.25">
      <c r="A10381" t="str">
        <f t="shared" si="6"/>
        <v/>
      </c>
    </row>
    <row r="10382" spans="1:1" x14ac:dyDescent="0.25">
      <c r="A10382" t="str">
        <f t="shared" si="6"/>
        <v/>
      </c>
    </row>
    <row r="10383" spans="1:1" x14ac:dyDescent="0.25">
      <c r="A10383" t="str">
        <f t="shared" si="6"/>
        <v/>
      </c>
    </row>
    <row r="10384" spans="1:1" x14ac:dyDescent="0.25">
      <c r="A10384" t="str">
        <f t="shared" si="6"/>
        <v/>
      </c>
    </row>
    <row r="10385" spans="1:1" x14ac:dyDescent="0.25">
      <c r="A10385" t="str">
        <f t="shared" si="6"/>
        <v/>
      </c>
    </row>
    <row r="10386" spans="1:1" x14ac:dyDescent="0.25">
      <c r="A10386" t="str">
        <f t="shared" si="6"/>
        <v/>
      </c>
    </row>
    <row r="10387" spans="1:1" x14ac:dyDescent="0.25">
      <c r="A10387" t="str">
        <f t="shared" si="6"/>
        <v/>
      </c>
    </row>
    <row r="10388" spans="1:1" x14ac:dyDescent="0.25">
      <c r="A10388" t="str">
        <f t="shared" si="6"/>
        <v/>
      </c>
    </row>
    <row r="10389" spans="1:1" x14ac:dyDescent="0.25">
      <c r="A10389" t="str">
        <f t="shared" si="6"/>
        <v/>
      </c>
    </row>
    <row r="10390" spans="1:1" x14ac:dyDescent="0.25">
      <c r="A10390" t="str">
        <f t="shared" si="6"/>
        <v/>
      </c>
    </row>
    <row r="10391" spans="1:1" x14ac:dyDescent="0.25">
      <c r="A10391" t="str">
        <f t="shared" si="6"/>
        <v/>
      </c>
    </row>
    <row r="10392" spans="1:1" x14ac:dyDescent="0.25">
      <c r="A10392" t="str">
        <f t="shared" si="6"/>
        <v/>
      </c>
    </row>
    <row r="10393" spans="1:1" x14ac:dyDescent="0.25">
      <c r="A10393" t="str">
        <f t="shared" si="6"/>
        <v/>
      </c>
    </row>
    <row r="10394" spans="1:1" x14ac:dyDescent="0.25">
      <c r="A10394" t="str">
        <f t="shared" si="6"/>
        <v/>
      </c>
    </row>
    <row r="10395" spans="1:1" x14ac:dyDescent="0.25">
      <c r="A10395" t="str">
        <f t="shared" si="6"/>
        <v/>
      </c>
    </row>
    <row r="10396" spans="1:1" x14ac:dyDescent="0.25">
      <c r="A10396" t="str">
        <f t="shared" si="6"/>
        <v/>
      </c>
    </row>
    <row r="10397" spans="1:1" x14ac:dyDescent="0.25">
      <c r="A10397" t="str">
        <f t="shared" si="6"/>
        <v/>
      </c>
    </row>
    <row r="10398" spans="1:1" x14ac:dyDescent="0.25">
      <c r="A10398" t="str">
        <f t="shared" si="6"/>
        <v/>
      </c>
    </row>
    <row r="10399" spans="1:1" x14ac:dyDescent="0.25">
      <c r="A10399" t="str">
        <f t="shared" si="6"/>
        <v/>
      </c>
    </row>
    <row r="10400" spans="1:1" x14ac:dyDescent="0.25">
      <c r="A10400" t="str">
        <f t="shared" si="6"/>
        <v/>
      </c>
    </row>
    <row r="10401" spans="1:1" x14ac:dyDescent="0.25">
      <c r="A10401" t="str">
        <f t="shared" si="6"/>
        <v/>
      </c>
    </row>
    <row r="10402" spans="1:1" x14ac:dyDescent="0.25">
      <c r="A10402" t="str">
        <f t="shared" si="6"/>
        <v/>
      </c>
    </row>
    <row r="10403" spans="1:1" x14ac:dyDescent="0.25">
      <c r="A10403" t="str">
        <f t="shared" si="6"/>
        <v/>
      </c>
    </row>
    <row r="10404" spans="1:1" x14ac:dyDescent="0.25">
      <c r="A10404" t="str">
        <f t="shared" si="6"/>
        <v/>
      </c>
    </row>
    <row r="10405" spans="1:1" x14ac:dyDescent="0.25">
      <c r="A10405" t="str">
        <f t="shared" si="6"/>
        <v/>
      </c>
    </row>
    <row r="10406" spans="1:1" x14ac:dyDescent="0.25">
      <c r="A10406" t="str">
        <f t="shared" si="6"/>
        <v/>
      </c>
    </row>
    <row r="10407" spans="1:1" x14ac:dyDescent="0.25">
      <c r="A10407" t="str">
        <f t="shared" si="6"/>
        <v/>
      </c>
    </row>
    <row r="10408" spans="1:1" x14ac:dyDescent="0.25">
      <c r="A10408" t="str">
        <f t="shared" si="6"/>
        <v/>
      </c>
    </row>
    <row r="10409" spans="1:1" x14ac:dyDescent="0.25">
      <c r="A10409" t="str">
        <f t="shared" si="6"/>
        <v/>
      </c>
    </row>
    <row r="10410" spans="1:1" x14ac:dyDescent="0.25">
      <c r="A10410" t="str">
        <f t="shared" si="6"/>
        <v/>
      </c>
    </row>
    <row r="10411" spans="1:1" x14ac:dyDescent="0.25">
      <c r="A10411" t="str">
        <f t="shared" si="6"/>
        <v/>
      </c>
    </row>
    <row r="10412" spans="1:1" x14ac:dyDescent="0.25">
      <c r="A10412" t="str">
        <f t="shared" si="6"/>
        <v/>
      </c>
    </row>
    <row r="10413" spans="1:1" x14ac:dyDescent="0.25">
      <c r="A10413" t="str">
        <f t="shared" si="6"/>
        <v/>
      </c>
    </row>
    <row r="10414" spans="1:1" x14ac:dyDescent="0.25">
      <c r="A10414" t="str">
        <f t="shared" si="6"/>
        <v/>
      </c>
    </row>
    <row r="10415" spans="1:1" x14ac:dyDescent="0.25">
      <c r="A10415" t="str">
        <f t="shared" si="6"/>
        <v/>
      </c>
    </row>
    <row r="10416" spans="1:1" x14ac:dyDescent="0.25">
      <c r="A10416" t="str">
        <f t="shared" si="6"/>
        <v/>
      </c>
    </row>
    <row r="10417" spans="1:1" x14ac:dyDescent="0.25">
      <c r="A10417" t="str">
        <f t="shared" si="6"/>
        <v/>
      </c>
    </row>
    <row r="10418" spans="1:1" x14ac:dyDescent="0.25">
      <c r="A10418" t="str">
        <f t="shared" si="6"/>
        <v/>
      </c>
    </row>
    <row r="10419" spans="1:1" x14ac:dyDescent="0.25">
      <c r="A10419" t="str">
        <f t="shared" si="6"/>
        <v/>
      </c>
    </row>
    <row r="10420" spans="1:1" x14ac:dyDescent="0.25">
      <c r="A10420" t="str">
        <f t="shared" si="6"/>
        <v/>
      </c>
    </row>
    <row r="10421" spans="1:1" x14ac:dyDescent="0.25">
      <c r="A10421" t="str">
        <f t="shared" ref="A10421:A10484" si="7">B10419&amp;D10419</f>
        <v/>
      </c>
    </row>
    <row r="10422" spans="1:1" x14ac:dyDescent="0.25">
      <c r="A10422" t="str">
        <f t="shared" si="7"/>
        <v/>
      </c>
    </row>
    <row r="10423" spans="1:1" x14ac:dyDescent="0.25">
      <c r="A10423" t="str">
        <f t="shared" si="7"/>
        <v/>
      </c>
    </row>
    <row r="10424" spans="1:1" x14ac:dyDescent="0.25">
      <c r="A10424" t="str">
        <f t="shared" si="7"/>
        <v/>
      </c>
    </row>
    <row r="10425" spans="1:1" x14ac:dyDescent="0.25">
      <c r="A10425" t="str">
        <f t="shared" si="7"/>
        <v/>
      </c>
    </row>
    <row r="10426" spans="1:1" x14ac:dyDescent="0.25">
      <c r="A10426" t="str">
        <f t="shared" si="7"/>
        <v/>
      </c>
    </row>
    <row r="10427" spans="1:1" x14ac:dyDescent="0.25">
      <c r="A10427" t="str">
        <f t="shared" si="7"/>
        <v/>
      </c>
    </row>
    <row r="10428" spans="1:1" x14ac:dyDescent="0.25">
      <c r="A10428" t="str">
        <f t="shared" si="7"/>
        <v/>
      </c>
    </row>
    <row r="10429" spans="1:1" x14ac:dyDescent="0.25">
      <c r="A10429" t="str">
        <f t="shared" si="7"/>
        <v/>
      </c>
    </row>
    <row r="10430" spans="1:1" x14ac:dyDescent="0.25">
      <c r="A10430" t="str">
        <f t="shared" si="7"/>
        <v/>
      </c>
    </row>
    <row r="10431" spans="1:1" x14ac:dyDescent="0.25">
      <c r="A10431" t="str">
        <f t="shared" si="7"/>
        <v/>
      </c>
    </row>
    <row r="10432" spans="1:1" x14ac:dyDescent="0.25">
      <c r="A10432" t="str">
        <f t="shared" si="7"/>
        <v/>
      </c>
    </row>
    <row r="10433" spans="1:1" x14ac:dyDescent="0.25">
      <c r="A10433" t="str">
        <f t="shared" si="7"/>
        <v/>
      </c>
    </row>
    <row r="10434" spans="1:1" x14ac:dyDescent="0.25">
      <c r="A10434" t="str">
        <f t="shared" si="7"/>
        <v/>
      </c>
    </row>
    <row r="10435" spans="1:1" x14ac:dyDescent="0.25">
      <c r="A10435" t="str">
        <f t="shared" si="7"/>
        <v/>
      </c>
    </row>
    <row r="10436" spans="1:1" x14ac:dyDescent="0.25">
      <c r="A10436" t="str">
        <f t="shared" si="7"/>
        <v/>
      </c>
    </row>
    <row r="10437" spans="1:1" x14ac:dyDescent="0.25">
      <c r="A10437" t="str">
        <f t="shared" si="7"/>
        <v/>
      </c>
    </row>
    <row r="10438" spans="1:1" x14ac:dyDescent="0.25">
      <c r="A10438" t="str">
        <f t="shared" si="7"/>
        <v/>
      </c>
    </row>
    <row r="10439" spans="1:1" x14ac:dyDescent="0.25">
      <c r="A10439" t="str">
        <f t="shared" si="7"/>
        <v/>
      </c>
    </row>
    <row r="10440" spans="1:1" x14ac:dyDescent="0.25">
      <c r="A10440" t="str">
        <f t="shared" si="7"/>
        <v/>
      </c>
    </row>
    <row r="10441" spans="1:1" x14ac:dyDescent="0.25">
      <c r="A10441" t="str">
        <f t="shared" si="7"/>
        <v/>
      </c>
    </row>
    <row r="10442" spans="1:1" x14ac:dyDescent="0.25">
      <c r="A10442" t="str">
        <f t="shared" si="7"/>
        <v/>
      </c>
    </row>
    <row r="10443" spans="1:1" x14ac:dyDescent="0.25">
      <c r="A10443" t="str">
        <f t="shared" si="7"/>
        <v/>
      </c>
    </row>
    <row r="10444" spans="1:1" x14ac:dyDescent="0.25">
      <c r="A10444" t="str">
        <f t="shared" si="7"/>
        <v/>
      </c>
    </row>
    <row r="10445" spans="1:1" x14ac:dyDescent="0.25">
      <c r="A10445" t="str">
        <f t="shared" si="7"/>
        <v/>
      </c>
    </row>
    <row r="10446" spans="1:1" x14ac:dyDescent="0.25">
      <c r="A10446" t="str">
        <f t="shared" si="7"/>
        <v/>
      </c>
    </row>
    <row r="10447" spans="1:1" x14ac:dyDescent="0.25">
      <c r="A10447" t="str">
        <f t="shared" si="7"/>
        <v/>
      </c>
    </row>
    <row r="10448" spans="1:1" x14ac:dyDescent="0.25">
      <c r="A10448" t="str">
        <f t="shared" si="7"/>
        <v/>
      </c>
    </row>
    <row r="10449" spans="1:1" x14ac:dyDescent="0.25">
      <c r="A10449" t="str">
        <f t="shared" si="7"/>
        <v/>
      </c>
    </row>
    <row r="10450" spans="1:1" x14ac:dyDescent="0.25">
      <c r="A10450" t="str">
        <f t="shared" si="7"/>
        <v/>
      </c>
    </row>
    <row r="10451" spans="1:1" x14ac:dyDescent="0.25">
      <c r="A10451" t="str">
        <f t="shared" si="7"/>
        <v/>
      </c>
    </row>
    <row r="10452" spans="1:1" x14ac:dyDescent="0.25">
      <c r="A10452" t="str">
        <f t="shared" si="7"/>
        <v/>
      </c>
    </row>
    <row r="10453" spans="1:1" x14ac:dyDescent="0.25">
      <c r="A10453" t="str">
        <f t="shared" si="7"/>
        <v/>
      </c>
    </row>
    <row r="10454" spans="1:1" x14ac:dyDescent="0.25">
      <c r="A10454" t="str">
        <f t="shared" si="7"/>
        <v/>
      </c>
    </row>
    <row r="10455" spans="1:1" x14ac:dyDescent="0.25">
      <c r="A10455" t="str">
        <f t="shared" si="7"/>
        <v/>
      </c>
    </row>
    <row r="10456" spans="1:1" x14ac:dyDescent="0.25">
      <c r="A10456" t="str">
        <f t="shared" si="7"/>
        <v/>
      </c>
    </row>
    <row r="10457" spans="1:1" x14ac:dyDescent="0.25">
      <c r="A10457" t="str">
        <f t="shared" si="7"/>
        <v/>
      </c>
    </row>
    <row r="10458" spans="1:1" x14ac:dyDescent="0.25">
      <c r="A10458" t="str">
        <f t="shared" si="7"/>
        <v/>
      </c>
    </row>
    <row r="10459" spans="1:1" x14ac:dyDescent="0.25">
      <c r="A10459" t="str">
        <f t="shared" si="7"/>
        <v/>
      </c>
    </row>
    <row r="10460" spans="1:1" x14ac:dyDescent="0.25">
      <c r="A10460" t="str">
        <f t="shared" si="7"/>
        <v/>
      </c>
    </row>
    <row r="10461" spans="1:1" x14ac:dyDescent="0.25">
      <c r="A10461" t="str">
        <f t="shared" si="7"/>
        <v/>
      </c>
    </row>
    <row r="10462" spans="1:1" x14ac:dyDescent="0.25">
      <c r="A10462" t="str">
        <f t="shared" si="7"/>
        <v/>
      </c>
    </row>
    <row r="10463" spans="1:1" x14ac:dyDescent="0.25">
      <c r="A10463" t="str">
        <f t="shared" si="7"/>
        <v/>
      </c>
    </row>
    <row r="10464" spans="1:1" x14ac:dyDescent="0.25">
      <c r="A10464" t="str">
        <f t="shared" si="7"/>
        <v/>
      </c>
    </row>
    <row r="10465" spans="1:1" x14ac:dyDescent="0.25">
      <c r="A10465" t="str">
        <f t="shared" si="7"/>
        <v/>
      </c>
    </row>
    <row r="10466" spans="1:1" x14ac:dyDescent="0.25">
      <c r="A10466" t="str">
        <f t="shared" si="7"/>
        <v/>
      </c>
    </row>
    <row r="10467" spans="1:1" x14ac:dyDescent="0.25">
      <c r="A10467" t="str">
        <f t="shared" si="7"/>
        <v/>
      </c>
    </row>
    <row r="10468" spans="1:1" x14ac:dyDescent="0.25">
      <c r="A10468" t="str">
        <f t="shared" si="7"/>
        <v/>
      </c>
    </row>
    <row r="10469" spans="1:1" x14ac:dyDescent="0.25">
      <c r="A10469" t="str">
        <f t="shared" si="7"/>
        <v/>
      </c>
    </row>
    <row r="10470" spans="1:1" x14ac:dyDescent="0.25">
      <c r="A10470" t="str">
        <f t="shared" si="7"/>
        <v/>
      </c>
    </row>
    <row r="10471" spans="1:1" x14ac:dyDescent="0.25">
      <c r="A10471" t="str">
        <f t="shared" si="7"/>
        <v/>
      </c>
    </row>
    <row r="10472" spans="1:1" x14ac:dyDescent="0.25">
      <c r="A10472" t="str">
        <f t="shared" si="7"/>
        <v/>
      </c>
    </row>
    <row r="10473" spans="1:1" x14ac:dyDescent="0.25">
      <c r="A10473" t="str">
        <f t="shared" si="7"/>
        <v/>
      </c>
    </row>
    <row r="10474" spans="1:1" x14ac:dyDescent="0.25">
      <c r="A10474" t="str">
        <f t="shared" si="7"/>
        <v/>
      </c>
    </row>
    <row r="10475" spans="1:1" x14ac:dyDescent="0.25">
      <c r="A10475" t="str">
        <f t="shared" si="7"/>
        <v/>
      </c>
    </row>
    <row r="10476" spans="1:1" x14ac:dyDescent="0.25">
      <c r="A10476" t="str">
        <f t="shared" si="7"/>
        <v/>
      </c>
    </row>
    <row r="10477" spans="1:1" x14ac:dyDescent="0.25">
      <c r="A10477" t="str">
        <f t="shared" si="7"/>
        <v/>
      </c>
    </row>
    <row r="10478" spans="1:1" x14ac:dyDescent="0.25">
      <c r="A10478" t="str">
        <f t="shared" si="7"/>
        <v/>
      </c>
    </row>
    <row r="10479" spans="1:1" x14ac:dyDescent="0.25">
      <c r="A10479" t="str">
        <f t="shared" si="7"/>
        <v/>
      </c>
    </row>
    <row r="10480" spans="1:1" x14ac:dyDescent="0.25">
      <c r="A10480" t="str">
        <f t="shared" si="7"/>
        <v/>
      </c>
    </row>
    <row r="10481" spans="1:1" x14ac:dyDescent="0.25">
      <c r="A10481" t="str">
        <f t="shared" si="7"/>
        <v/>
      </c>
    </row>
    <row r="10482" spans="1:1" x14ac:dyDescent="0.25">
      <c r="A10482" t="str">
        <f t="shared" si="7"/>
        <v/>
      </c>
    </row>
    <row r="10483" spans="1:1" x14ac:dyDescent="0.25">
      <c r="A10483" t="str">
        <f t="shared" si="7"/>
        <v/>
      </c>
    </row>
    <row r="10484" spans="1:1" x14ac:dyDescent="0.25">
      <c r="A10484" t="str">
        <f t="shared" si="7"/>
        <v/>
      </c>
    </row>
    <row r="10485" spans="1:1" x14ac:dyDescent="0.25">
      <c r="A10485" t="str">
        <f t="shared" ref="A10485:A10548" si="8">B10483&amp;D10483</f>
        <v/>
      </c>
    </row>
    <row r="10486" spans="1:1" x14ac:dyDescent="0.25">
      <c r="A10486" t="str">
        <f t="shared" si="8"/>
        <v/>
      </c>
    </row>
    <row r="10487" spans="1:1" x14ac:dyDescent="0.25">
      <c r="A10487" t="str">
        <f t="shared" si="8"/>
        <v/>
      </c>
    </row>
    <row r="10488" spans="1:1" x14ac:dyDescent="0.25">
      <c r="A10488" t="str">
        <f t="shared" si="8"/>
        <v/>
      </c>
    </row>
    <row r="10489" spans="1:1" x14ac:dyDescent="0.25">
      <c r="A10489" t="str">
        <f t="shared" si="8"/>
        <v/>
      </c>
    </row>
    <row r="10490" spans="1:1" x14ac:dyDescent="0.25">
      <c r="A10490" t="str">
        <f t="shared" si="8"/>
        <v/>
      </c>
    </row>
    <row r="10491" spans="1:1" x14ac:dyDescent="0.25">
      <c r="A10491" t="str">
        <f t="shared" si="8"/>
        <v/>
      </c>
    </row>
    <row r="10492" spans="1:1" x14ac:dyDescent="0.25">
      <c r="A10492" t="str">
        <f t="shared" si="8"/>
        <v/>
      </c>
    </row>
    <row r="10493" spans="1:1" x14ac:dyDescent="0.25">
      <c r="A10493" t="str">
        <f t="shared" si="8"/>
        <v/>
      </c>
    </row>
    <row r="10494" spans="1:1" x14ac:dyDescent="0.25">
      <c r="A10494" t="str">
        <f t="shared" si="8"/>
        <v/>
      </c>
    </row>
    <row r="10495" spans="1:1" x14ac:dyDescent="0.25">
      <c r="A10495" t="str">
        <f t="shared" si="8"/>
        <v/>
      </c>
    </row>
    <row r="10496" spans="1:1" x14ac:dyDescent="0.25">
      <c r="A10496" t="str">
        <f t="shared" si="8"/>
        <v/>
      </c>
    </row>
    <row r="10497" spans="1:1" x14ac:dyDescent="0.25">
      <c r="A10497" t="str">
        <f t="shared" si="8"/>
        <v/>
      </c>
    </row>
    <row r="10498" spans="1:1" x14ac:dyDescent="0.25">
      <c r="A10498" t="str">
        <f t="shared" si="8"/>
        <v/>
      </c>
    </row>
    <row r="10499" spans="1:1" x14ac:dyDescent="0.25">
      <c r="A10499" t="str">
        <f t="shared" si="8"/>
        <v/>
      </c>
    </row>
    <row r="10500" spans="1:1" x14ac:dyDescent="0.25">
      <c r="A10500" t="str">
        <f t="shared" si="8"/>
        <v/>
      </c>
    </row>
    <row r="10501" spans="1:1" x14ac:dyDescent="0.25">
      <c r="A10501" t="str">
        <f t="shared" si="8"/>
        <v/>
      </c>
    </row>
    <row r="10502" spans="1:1" x14ac:dyDescent="0.25">
      <c r="A10502" t="str">
        <f t="shared" si="8"/>
        <v/>
      </c>
    </row>
    <row r="10503" spans="1:1" x14ac:dyDescent="0.25">
      <c r="A10503" t="str">
        <f t="shared" si="8"/>
        <v/>
      </c>
    </row>
    <row r="10504" spans="1:1" x14ac:dyDescent="0.25">
      <c r="A10504" t="str">
        <f t="shared" si="8"/>
        <v/>
      </c>
    </row>
    <row r="10505" spans="1:1" x14ac:dyDescent="0.25">
      <c r="A10505" t="str">
        <f t="shared" si="8"/>
        <v/>
      </c>
    </row>
    <row r="10506" spans="1:1" x14ac:dyDescent="0.25">
      <c r="A10506" t="str">
        <f t="shared" si="8"/>
        <v/>
      </c>
    </row>
    <row r="10507" spans="1:1" x14ac:dyDescent="0.25">
      <c r="A10507" t="str">
        <f t="shared" si="8"/>
        <v/>
      </c>
    </row>
    <row r="10508" spans="1:1" x14ac:dyDescent="0.25">
      <c r="A10508" t="str">
        <f t="shared" si="8"/>
        <v/>
      </c>
    </row>
    <row r="10509" spans="1:1" x14ac:dyDescent="0.25">
      <c r="A10509" t="str">
        <f t="shared" si="8"/>
        <v/>
      </c>
    </row>
    <row r="10510" spans="1:1" x14ac:dyDescent="0.25">
      <c r="A10510" t="str">
        <f t="shared" si="8"/>
        <v/>
      </c>
    </row>
    <row r="10511" spans="1:1" x14ac:dyDescent="0.25">
      <c r="A10511" t="str">
        <f t="shared" si="8"/>
        <v/>
      </c>
    </row>
    <row r="10512" spans="1:1" x14ac:dyDescent="0.25">
      <c r="A10512" t="str">
        <f t="shared" si="8"/>
        <v/>
      </c>
    </row>
    <row r="10513" spans="1:1" x14ac:dyDescent="0.25">
      <c r="A10513" t="str">
        <f t="shared" si="8"/>
        <v/>
      </c>
    </row>
    <row r="10514" spans="1:1" x14ac:dyDescent="0.25">
      <c r="A10514" t="str">
        <f t="shared" si="8"/>
        <v/>
      </c>
    </row>
    <row r="10515" spans="1:1" x14ac:dyDescent="0.25">
      <c r="A10515" t="str">
        <f t="shared" si="8"/>
        <v/>
      </c>
    </row>
    <row r="10516" spans="1:1" x14ac:dyDescent="0.25">
      <c r="A10516" t="str">
        <f t="shared" si="8"/>
        <v/>
      </c>
    </row>
    <row r="10517" spans="1:1" x14ac:dyDescent="0.25">
      <c r="A10517" t="str">
        <f t="shared" si="8"/>
        <v/>
      </c>
    </row>
    <row r="10518" spans="1:1" x14ac:dyDescent="0.25">
      <c r="A10518" t="str">
        <f t="shared" si="8"/>
        <v/>
      </c>
    </row>
    <row r="10519" spans="1:1" x14ac:dyDescent="0.25">
      <c r="A10519" t="str">
        <f t="shared" si="8"/>
        <v/>
      </c>
    </row>
    <row r="10520" spans="1:1" x14ac:dyDescent="0.25">
      <c r="A10520" t="str">
        <f t="shared" si="8"/>
        <v/>
      </c>
    </row>
    <row r="10521" spans="1:1" x14ac:dyDescent="0.25">
      <c r="A10521" t="str">
        <f t="shared" si="8"/>
        <v/>
      </c>
    </row>
    <row r="10522" spans="1:1" x14ac:dyDescent="0.25">
      <c r="A10522" t="str">
        <f t="shared" si="8"/>
        <v/>
      </c>
    </row>
    <row r="10523" spans="1:1" x14ac:dyDescent="0.25">
      <c r="A10523" t="str">
        <f t="shared" si="8"/>
        <v/>
      </c>
    </row>
    <row r="10524" spans="1:1" x14ac:dyDescent="0.25">
      <c r="A10524" t="str">
        <f t="shared" si="8"/>
        <v/>
      </c>
    </row>
    <row r="10525" spans="1:1" x14ac:dyDescent="0.25">
      <c r="A10525" t="str">
        <f t="shared" si="8"/>
        <v/>
      </c>
    </row>
    <row r="10526" spans="1:1" x14ac:dyDescent="0.25">
      <c r="A10526" t="str">
        <f t="shared" si="8"/>
        <v/>
      </c>
    </row>
    <row r="10527" spans="1:1" x14ac:dyDescent="0.25">
      <c r="A10527" t="str">
        <f t="shared" si="8"/>
        <v/>
      </c>
    </row>
    <row r="10528" spans="1:1" x14ac:dyDescent="0.25">
      <c r="A10528" t="str">
        <f t="shared" si="8"/>
        <v/>
      </c>
    </row>
    <row r="10529" spans="1:1" x14ac:dyDescent="0.25">
      <c r="A10529" t="str">
        <f t="shared" si="8"/>
        <v/>
      </c>
    </row>
    <row r="10530" spans="1:1" x14ac:dyDescent="0.25">
      <c r="A10530" t="str">
        <f t="shared" si="8"/>
        <v/>
      </c>
    </row>
    <row r="10531" spans="1:1" x14ac:dyDescent="0.25">
      <c r="A10531" t="str">
        <f t="shared" si="8"/>
        <v/>
      </c>
    </row>
    <row r="10532" spans="1:1" x14ac:dyDescent="0.25">
      <c r="A10532" t="str">
        <f t="shared" si="8"/>
        <v/>
      </c>
    </row>
    <row r="10533" spans="1:1" x14ac:dyDescent="0.25">
      <c r="A10533" t="str">
        <f t="shared" si="8"/>
        <v/>
      </c>
    </row>
    <row r="10534" spans="1:1" x14ac:dyDescent="0.25">
      <c r="A10534" t="str">
        <f t="shared" si="8"/>
        <v/>
      </c>
    </row>
    <row r="10535" spans="1:1" x14ac:dyDescent="0.25">
      <c r="A10535" t="str">
        <f t="shared" si="8"/>
        <v/>
      </c>
    </row>
    <row r="10536" spans="1:1" x14ac:dyDescent="0.25">
      <c r="A10536" t="str">
        <f t="shared" si="8"/>
        <v/>
      </c>
    </row>
    <row r="10537" spans="1:1" x14ac:dyDescent="0.25">
      <c r="A10537" t="str">
        <f t="shared" si="8"/>
        <v/>
      </c>
    </row>
    <row r="10538" spans="1:1" x14ac:dyDescent="0.25">
      <c r="A10538" t="str">
        <f t="shared" si="8"/>
        <v/>
      </c>
    </row>
    <row r="10539" spans="1:1" x14ac:dyDescent="0.25">
      <c r="A10539" t="str">
        <f t="shared" si="8"/>
        <v/>
      </c>
    </row>
    <row r="10540" spans="1:1" x14ac:dyDescent="0.25">
      <c r="A10540" t="str">
        <f t="shared" si="8"/>
        <v/>
      </c>
    </row>
    <row r="10541" spans="1:1" x14ac:dyDescent="0.25">
      <c r="A10541" t="str">
        <f t="shared" si="8"/>
        <v/>
      </c>
    </row>
    <row r="10542" spans="1:1" x14ac:dyDescent="0.25">
      <c r="A10542" t="str">
        <f t="shared" si="8"/>
        <v/>
      </c>
    </row>
    <row r="10543" spans="1:1" x14ac:dyDescent="0.25">
      <c r="A10543" t="str">
        <f t="shared" si="8"/>
        <v/>
      </c>
    </row>
    <row r="10544" spans="1:1" x14ac:dyDescent="0.25">
      <c r="A10544" t="str">
        <f t="shared" si="8"/>
        <v/>
      </c>
    </row>
    <row r="10545" spans="1:1" x14ac:dyDescent="0.25">
      <c r="A10545" t="str">
        <f t="shared" si="8"/>
        <v/>
      </c>
    </row>
    <row r="10546" spans="1:1" x14ac:dyDescent="0.25">
      <c r="A10546" t="str">
        <f t="shared" si="8"/>
        <v/>
      </c>
    </row>
    <row r="10547" spans="1:1" x14ac:dyDescent="0.25">
      <c r="A10547" t="str">
        <f t="shared" si="8"/>
        <v/>
      </c>
    </row>
    <row r="10548" spans="1:1" x14ac:dyDescent="0.25">
      <c r="A10548" t="str">
        <f t="shared" si="8"/>
        <v/>
      </c>
    </row>
    <row r="10549" spans="1:1" x14ac:dyDescent="0.25">
      <c r="A10549" t="str">
        <f t="shared" ref="A10549:A10612" si="9">B10547&amp;D10547</f>
        <v/>
      </c>
    </row>
    <row r="10550" spans="1:1" x14ac:dyDescent="0.25">
      <c r="A10550" t="str">
        <f t="shared" si="9"/>
        <v/>
      </c>
    </row>
    <row r="10551" spans="1:1" x14ac:dyDescent="0.25">
      <c r="A10551" t="str">
        <f t="shared" si="9"/>
        <v/>
      </c>
    </row>
    <row r="10552" spans="1:1" x14ac:dyDescent="0.25">
      <c r="A10552" t="str">
        <f t="shared" si="9"/>
        <v/>
      </c>
    </row>
    <row r="10553" spans="1:1" x14ac:dyDescent="0.25">
      <c r="A10553" t="str">
        <f t="shared" si="9"/>
        <v/>
      </c>
    </row>
    <row r="10554" spans="1:1" x14ac:dyDescent="0.25">
      <c r="A10554" t="str">
        <f t="shared" si="9"/>
        <v/>
      </c>
    </row>
    <row r="10555" spans="1:1" x14ac:dyDescent="0.25">
      <c r="A10555" t="str">
        <f t="shared" si="9"/>
        <v/>
      </c>
    </row>
    <row r="10556" spans="1:1" x14ac:dyDescent="0.25">
      <c r="A10556" t="str">
        <f t="shared" si="9"/>
        <v/>
      </c>
    </row>
    <row r="10557" spans="1:1" x14ac:dyDescent="0.25">
      <c r="A10557" t="str">
        <f t="shared" si="9"/>
        <v/>
      </c>
    </row>
    <row r="10558" spans="1:1" x14ac:dyDescent="0.25">
      <c r="A10558" t="str">
        <f t="shared" si="9"/>
        <v/>
      </c>
    </row>
    <row r="10559" spans="1:1" x14ac:dyDescent="0.25">
      <c r="A10559" t="str">
        <f t="shared" si="9"/>
        <v/>
      </c>
    </row>
    <row r="10560" spans="1:1" x14ac:dyDescent="0.25">
      <c r="A10560" t="str">
        <f t="shared" si="9"/>
        <v/>
      </c>
    </row>
    <row r="10561" spans="1:1" x14ac:dyDescent="0.25">
      <c r="A10561" t="str">
        <f t="shared" si="9"/>
        <v/>
      </c>
    </row>
    <row r="10562" spans="1:1" x14ac:dyDescent="0.25">
      <c r="A10562" t="str">
        <f t="shared" si="9"/>
        <v/>
      </c>
    </row>
    <row r="10563" spans="1:1" x14ac:dyDescent="0.25">
      <c r="A10563" t="str">
        <f t="shared" si="9"/>
        <v/>
      </c>
    </row>
    <row r="10564" spans="1:1" x14ac:dyDescent="0.25">
      <c r="A10564" t="str">
        <f t="shared" si="9"/>
        <v/>
      </c>
    </row>
    <row r="10565" spans="1:1" x14ac:dyDescent="0.25">
      <c r="A10565" t="str">
        <f t="shared" si="9"/>
        <v/>
      </c>
    </row>
    <row r="10566" spans="1:1" x14ac:dyDescent="0.25">
      <c r="A10566" t="str">
        <f t="shared" si="9"/>
        <v/>
      </c>
    </row>
    <row r="10567" spans="1:1" x14ac:dyDescent="0.25">
      <c r="A10567" t="str">
        <f t="shared" si="9"/>
        <v/>
      </c>
    </row>
    <row r="10568" spans="1:1" x14ac:dyDescent="0.25">
      <c r="A10568" t="str">
        <f t="shared" si="9"/>
        <v/>
      </c>
    </row>
    <row r="10569" spans="1:1" x14ac:dyDescent="0.25">
      <c r="A10569" t="str">
        <f t="shared" si="9"/>
        <v/>
      </c>
    </row>
    <row r="10570" spans="1:1" x14ac:dyDescent="0.25">
      <c r="A10570" t="str">
        <f t="shared" si="9"/>
        <v/>
      </c>
    </row>
    <row r="10571" spans="1:1" x14ac:dyDescent="0.25">
      <c r="A10571" t="str">
        <f t="shared" si="9"/>
        <v/>
      </c>
    </row>
    <row r="10572" spans="1:1" x14ac:dyDescent="0.25">
      <c r="A10572" t="str">
        <f t="shared" si="9"/>
        <v/>
      </c>
    </row>
    <row r="10573" spans="1:1" x14ac:dyDescent="0.25">
      <c r="A10573" t="str">
        <f t="shared" si="9"/>
        <v/>
      </c>
    </row>
    <row r="10574" spans="1:1" x14ac:dyDescent="0.25">
      <c r="A10574" t="str">
        <f t="shared" si="9"/>
        <v/>
      </c>
    </row>
    <row r="10575" spans="1:1" x14ac:dyDescent="0.25">
      <c r="A10575" t="str">
        <f t="shared" si="9"/>
        <v/>
      </c>
    </row>
    <row r="10576" spans="1:1" x14ac:dyDescent="0.25">
      <c r="A10576" t="str">
        <f t="shared" si="9"/>
        <v/>
      </c>
    </row>
    <row r="10577" spans="1:1" x14ac:dyDescent="0.25">
      <c r="A10577" t="str">
        <f t="shared" si="9"/>
        <v/>
      </c>
    </row>
    <row r="10578" spans="1:1" x14ac:dyDescent="0.25">
      <c r="A10578" t="str">
        <f t="shared" si="9"/>
        <v/>
      </c>
    </row>
    <row r="10579" spans="1:1" x14ac:dyDescent="0.25">
      <c r="A10579" t="str">
        <f t="shared" si="9"/>
        <v/>
      </c>
    </row>
    <row r="10580" spans="1:1" x14ac:dyDescent="0.25">
      <c r="A10580" t="str">
        <f t="shared" si="9"/>
        <v/>
      </c>
    </row>
    <row r="10581" spans="1:1" x14ac:dyDescent="0.25">
      <c r="A10581" t="str">
        <f t="shared" si="9"/>
        <v/>
      </c>
    </row>
    <row r="10582" spans="1:1" x14ac:dyDescent="0.25">
      <c r="A10582" t="str">
        <f t="shared" si="9"/>
        <v/>
      </c>
    </row>
    <row r="10583" spans="1:1" x14ac:dyDescent="0.25">
      <c r="A10583" t="str">
        <f t="shared" si="9"/>
        <v/>
      </c>
    </row>
    <row r="10584" spans="1:1" x14ac:dyDescent="0.25">
      <c r="A10584" t="str">
        <f t="shared" si="9"/>
        <v/>
      </c>
    </row>
    <row r="10585" spans="1:1" x14ac:dyDescent="0.25">
      <c r="A10585" t="str">
        <f t="shared" si="9"/>
        <v/>
      </c>
    </row>
    <row r="10586" spans="1:1" x14ac:dyDescent="0.25">
      <c r="A10586" t="str">
        <f t="shared" si="9"/>
        <v/>
      </c>
    </row>
    <row r="10587" spans="1:1" x14ac:dyDescent="0.25">
      <c r="A10587" t="str">
        <f t="shared" si="9"/>
        <v/>
      </c>
    </row>
    <row r="10588" spans="1:1" x14ac:dyDescent="0.25">
      <c r="A10588" t="str">
        <f t="shared" si="9"/>
        <v/>
      </c>
    </row>
    <row r="10589" spans="1:1" x14ac:dyDescent="0.25">
      <c r="A10589" t="str">
        <f t="shared" si="9"/>
        <v/>
      </c>
    </row>
    <row r="10590" spans="1:1" x14ac:dyDescent="0.25">
      <c r="A10590" t="str">
        <f t="shared" si="9"/>
        <v/>
      </c>
    </row>
    <row r="10591" spans="1:1" x14ac:dyDescent="0.25">
      <c r="A10591" t="str">
        <f t="shared" si="9"/>
        <v/>
      </c>
    </row>
    <row r="10592" spans="1:1" x14ac:dyDescent="0.25">
      <c r="A10592" t="str">
        <f t="shared" si="9"/>
        <v/>
      </c>
    </row>
    <row r="10593" spans="1:1" x14ac:dyDescent="0.25">
      <c r="A10593" t="str">
        <f t="shared" si="9"/>
        <v/>
      </c>
    </row>
    <row r="10594" spans="1:1" x14ac:dyDescent="0.25">
      <c r="A10594" t="str">
        <f t="shared" si="9"/>
        <v/>
      </c>
    </row>
    <row r="10595" spans="1:1" x14ac:dyDescent="0.25">
      <c r="A10595" t="str">
        <f t="shared" si="9"/>
        <v/>
      </c>
    </row>
    <row r="10596" spans="1:1" x14ac:dyDescent="0.25">
      <c r="A10596" t="str">
        <f t="shared" si="9"/>
        <v/>
      </c>
    </row>
    <row r="10597" spans="1:1" x14ac:dyDescent="0.25">
      <c r="A10597" t="str">
        <f t="shared" si="9"/>
        <v/>
      </c>
    </row>
    <row r="10598" spans="1:1" x14ac:dyDescent="0.25">
      <c r="A10598" t="str">
        <f t="shared" si="9"/>
        <v/>
      </c>
    </row>
    <row r="10599" spans="1:1" x14ac:dyDescent="0.25">
      <c r="A10599" t="str">
        <f t="shared" si="9"/>
        <v/>
      </c>
    </row>
    <row r="10600" spans="1:1" x14ac:dyDescent="0.25">
      <c r="A10600" t="str">
        <f t="shared" si="9"/>
        <v/>
      </c>
    </row>
    <row r="10601" spans="1:1" x14ac:dyDescent="0.25">
      <c r="A10601" t="str">
        <f t="shared" si="9"/>
        <v/>
      </c>
    </row>
    <row r="10602" spans="1:1" x14ac:dyDescent="0.25">
      <c r="A10602" t="str">
        <f t="shared" si="9"/>
        <v/>
      </c>
    </row>
    <row r="10603" spans="1:1" x14ac:dyDescent="0.25">
      <c r="A10603" t="str">
        <f t="shared" si="9"/>
        <v/>
      </c>
    </row>
    <row r="10604" spans="1:1" x14ac:dyDescent="0.25">
      <c r="A10604" t="str">
        <f t="shared" si="9"/>
        <v/>
      </c>
    </row>
    <row r="10605" spans="1:1" x14ac:dyDescent="0.25">
      <c r="A10605" t="str">
        <f t="shared" si="9"/>
        <v/>
      </c>
    </row>
    <row r="10606" spans="1:1" x14ac:dyDescent="0.25">
      <c r="A10606" t="str">
        <f t="shared" si="9"/>
        <v/>
      </c>
    </row>
    <row r="10607" spans="1:1" x14ac:dyDescent="0.25">
      <c r="A10607" t="str">
        <f t="shared" si="9"/>
        <v/>
      </c>
    </row>
    <row r="10608" spans="1:1" x14ac:dyDescent="0.25">
      <c r="A10608" t="str">
        <f t="shared" si="9"/>
        <v/>
      </c>
    </row>
    <row r="10609" spans="1:1" x14ac:dyDescent="0.25">
      <c r="A10609" t="str">
        <f t="shared" si="9"/>
        <v/>
      </c>
    </row>
    <row r="10610" spans="1:1" x14ac:dyDescent="0.25">
      <c r="A10610" t="str">
        <f t="shared" si="9"/>
        <v/>
      </c>
    </row>
    <row r="10611" spans="1:1" x14ac:dyDescent="0.25">
      <c r="A10611" t="str">
        <f t="shared" si="9"/>
        <v/>
      </c>
    </row>
    <row r="10612" spans="1:1" x14ac:dyDescent="0.25">
      <c r="A10612" t="str">
        <f t="shared" si="9"/>
        <v/>
      </c>
    </row>
    <row r="10613" spans="1:1" x14ac:dyDescent="0.25">
      <c r="A10613" t="str">
        <f t="shared" ref="A10613:A10676" si="10">B10611&amp;D10611</f>
        <v/>
      </c>
    </row>
    <row r="10614" spans="1:1" x14ac:dyDescent="0.25">
      <c r="A10614" t="str">
        <f t="shared" si="10"/>
        <v/>
      </c>
    </row>
    <row r="10615" spans="1:1" x14ac:dyDescent="0.25">
      <c r="A10615" t="str">
        <f t="shared" si="10"/>
        <v/>
      </c>
    </row>
    <row r="10616" spans="1:1" x14ac:dyDescent="0.25">
      <c r="A10616" t="str">
        <f t="shared" si="10"/>
        <v/>
      </c>
    </row>
    <row r="10617" spans="1:1" x14ac:dyDescent="0.25">
      <c r="A10617" t="str">
        <f t="shared" si="10"/>
        <v/>
      </c>
    </row>
    <row r="10618" spans="1:1" x14ac:dyDescent="0.25">
      <c r="A10618" t="str">
        <f t="shared" si="10"/>
        <v/>
      </c>
    </row>
    <row r="10619" spans="1:1" x14ac:dyDescent="0.25">
      <c r="A10619" t="str">
        <f t="shared" si="10"/>
        <v/>
      </c>
    </row>
    <row r="10620" spans="1:1" x14ac:dyDescent="0.25">
      <c r="A10620" t="str">
        <f t="shared" si="10"/>
        <v/>
      </c>
    </row>
    <row r="10621" spans="1:1" x14ac:dyDescent="0.25">
      <c r="A10621" t="str">
        <f t="shared" si="10"/>
        <v/>
      </c>
    </row>
    <row r="10622" spans="1:1" x14ac:dyDescent="0.25">
      <c r="A10622" t="str">
        <f t="shared" si="10"/>
        <v/>
      </c>
    </row>
    <row r="10623" spans="1:1" x14ac:dyDescent="0.25">
      <c r="A10623" t="str">
        <f t="shared" si="10"/>
        <v/>
      </c>
    </row>
    <row r="10624" spans="1:1" x14ac:dyDescent="0.25">
      <c r="A10624" t="str">
        <f t="shared" si="10"/>
        <v/>
      </c>
    </row>
    <row r="10625" spans="1:1" x14ac:dyDescent="0.25">
      <c r="A10625" t="str">
        <f t="shared" si="10"/>
        <v/>
      </c>
    </row>
    <row r="10626" spans="1:1" x14ac:dyDescent="0.25">
      <c r="A10626" t="str">
        <f t="shared" si="10"/>
        <v/>
      </c>
    </row>
    <row r="10627" spans="1:1" x14ac:dyDescent="0.25">
      <c r="A10627" t="str">
        <f t="shared" si="10"/>
        <v/>
      </c>
    </row>
    <row r="10628" spans="1:1" x14ac:dyDescent="0.25">
      <c r="A10628" t="str">
        <f t="shared" si="10"/>
        <v/>
      </c>
    </row>
    <row r="10629" spans="1:1" x14ac:dyDescent="0.25">
      <c r="A10629" t="str">
        <f t="shared" si="10"/>
        <v/>
      </c>
    </row>
    <row r="10630" spans="1:1" x14ac:dyDescent="0.25">
      <c r="A10630" t="str">
        <f t="shared" si="10"/>
        <v/>
      </c>
    </row>
    <row r="10631" spans="1:1" x14ac:dyDescent="0.25">
      <c r="A10631" t="str">
        <f t="shared" si="10"/>
        <v/>
      </c>
    </row>
    <row r="10632" spans="1:1" x14ac:dyDescent="0.25">
      <c r="A10632" t="str">
        <f t="shared" si="10"/>
        <v/>
      </c>
    </row>
    <row r="10633" spans="1:1" x14ac:dyDescent="0.25">
      <c r="A10633" t="str">
        <f t="shared" si="10"/>
        <v/>
      </c>
    </row>
    <row r="10634" spans="1:1" x14ac:dyDescent="0.25">
      <c r="A10634" t="str">
        <f t="shared" si="10"/>
        <v/>
      </c>
    </row>
    <row r="10635" spans="1:1" x14ac:dyDescent="0.25">
      <c r="A10635" t="str">
        <f t="shared" si="10"/>
        <v/>
      </c>
    </row>
    <row r="10636" spans="1:1" x14ac:dyDescent="0.25">
      <c r="A10636" t="str">
        <f t="shared" si="10"/>
        <v/>
      </c>
    </row>
    <row r="10637" spans="1:1" x14ac:dyDescent="0.25">
      <c r="A10637" t="str">
        <f t="shared" si="10"/>
        <v/>
      </c>
    </row>
    <row r="10638" spans="1:1" x14ac:dyDescent="0.25">
      <c r="A10638" t="str">
        <f t="shared" si="10"/>
        <v/>
      </c>
    </row>
    <row r="10639" spans="1:1" x14ac:dyDescent="0.25">
      <c r="A10639" t="str">
        <f t="shared" si="10"/>
        <v/>
      </c>
    </row>
    <row r="10640" spans="1:1" x14ac:dyDescent="0.25">
      <c r="A10640" t="str">
        <f t="shared" si="10"/>
        <v/>
      </c>
    </row>
    <row r="10641" spans="1:1" x14ac:dyDescent="0.25">
      <c r="A10641" t="str">
        <f t="shared" si="10"/>
        <v/>
      </c>
    </row>
    <row r="10642" spans="1:1" x14ac:dyDescent="0.25">
      <c r="A10642" t="str">
        <f t="shared" si="10"/>
        <v/>
      </c>
    </row>
    <row r="10643" spans="1:1" x14ac:dyDescent="0.25">
      <c r="A10643" t="str">
        <f t="shared" si="10"/>
        <v/>
      </c>
    </row>
    <row r="10644" spans="1:1" x14ac:dyDescent="0.25">
      <c r="A10644" t="str">
        <f t="shared" si="10"/>
        <v/>
      </c>
    </row>
    <row r="10645" spans="1:1" x14ac:dyDescent="0.25">
      <c r="A10645" t="str">
        <f t="shared" si="10"/>
        <v/>
      </c>
    </row>
    <row r="10646" spans="1:1" x14ac:dyDescent="0.25">
      <c r="A10646" t="str">
        <f t="shared" si="10"/>
        <v/>
      </c>
    </row>
    <row r="10647" spans="1:1" x14ac:dyDescent="0.25">
      <c r="A10647" t="str">
        <f t="shared" si="10"/>
        <v/>
      </c>
    </row>
    <row r="10648" spans="1:1" x14ac:dyDescent="0.25">
      <c r="A10648" t="str">
        <f t="shared" si="10"/>
        <v/>
      </c>
    </row>
    <row r="10649" spans="1:1" x14ac:dyDescent="0.25">
      <c r="A10649" t="str">
        <f t="shared" si="10"/>
        <v/>
      </c>
    </row>
    <row r="10650" spans="1:1" x14ac:dyDescent="0.25">
      <c r="A10650" t="str">
        <f t="shared" si="10"/>
        <v/>
      </c>
    </row>
    <row r="10651" spans="1:1" x14ac:dyDescent="0.25">
      <c r="A10651" t="str">
        <f t="shared" si="10"/>
        <v/>
      </c>
    </row>
    <row r="10652" spans="1:1" x14ac:dyDescent="0.25">
      <c r="A10652" t="str">
        <f t="shared" si="10"/>
        <v/>
      </c>
    </row>
    <row r="10653" spans="1:1" x14ac:dyDescent="0.25">
      <c r="A10653" t="str">
        <f t="shared" si="10"/>
        <v/>
      </c>
    </row>
    <row r="10654" spans="1:1" x14ac:dyDescent="0.25">
      <c r="A10654" t="str">
        <f t="shared" si="10"/>
        <v/>
      </c>
    </row>
    <row r="10655" spans="1:1" x14ac:dyDescent="0.25">
      <c r="A10655" t="str">
        <f t="shared" si="10"/>
        <v/>
      </c>
    </row>
    <row r="10656" spans="1:1" x14ac:dyDescent="0.25">
      <c r="A10656" t="str">
        <f t="shared" si="10"/>
        <v/>
      </c>
    </row>
    <row r="10657" spans="1:1" x14ac:dyDescent="0.25">
      <c r="A10657" t="str">
        <f t="shared" si="10"/>
        <v/>
      </c>
    </row>
    <row r="10658" spans="1:1" x14ac:dyDescent="0.25">
      <c r="A10658" t="str">
        <f t="shared" si="10"/>
        <v/>
      </c>
    </row>
    <row r="10659" spans="1:1" x14ac:dyDescent="0.25">
      <c r="A10659" t="str">
        <f t="shared" si="10"/>
        <v/>
      </c>
    </row>
    <row r="10660" spans="1:1" x14ac:dyDescent="0.25">
      <c r="A10660" t="str">
        <f t="shared" si="10"/>
        <v/>
      </c>
    </row>
    <row r="10661" spans="1:1" x14ac:dyDescent="0.25">
      <c r="A10661" t="str">
        <f t="shared" si="10"/>
        <v/>
      </c>
    </row>
    <row r="10662" spans="1:1" x14ac:dyDescent="0.25">
      <c r="A10662" t="str">
        <f t="shared" si="10"/>
        <v/>
      </c>
    </row>
    <row r="10663" spans="1:1" x14ac:dyDescent="0.25">
      <c r="A10663" t="str">
        <f t="shared" si="10"/>
        <v/>
      </c>
    </row>
    <row r="10664" spans="1:1" x14ac:dyDescent="0.25">
      <c r="A10664" t="str">
        <f t="shared" si="10"/>
        <v/>
      </c>
    </row>
    <row r="10665" spans="1:1" x14ac:dyDescent="0.25">
      <c r="A10665" t="str">
        <f t="shared" si="10"/>
        <v/>
      </c>
    </row>
    <row r="10666" spans="1:1" x14ac:dyDescent="0.25">
      <c r="A10666" t="str">
        <f t="shared" si="10"/>
        <v/>
      </c>
    </row>
    <row r="10667" spans="1:1" x14ac:dyDescent="0.25">
      <c r="A10667" t="str">
        <f t="shared" si="10"/>
        <v/>
      </c>
    </row>
    <row r="10668" spans="1:1" x14ac:dyDescent="0.25">
      <c r="A10668" t="str">
        <f t="shared" si="10"/>
        <v/>
      </c>
    </row>
    <row r="10669" spans="1:1" x14ac:dyDescent="0.25">
      <c r="A10669" t="str">
        <f t="shared" si="10"/>
        <v/>
      </c>
    </row>
    <row r="10670" spans="1:1" x14ac:dyDescent="0.25">
      <c r="A10670" t="str">
        <f t="shared" si="10"/>
        <v/>
      </c>
    </row>
    <row r="10671" spans="1:1" x14ac:dyDescent="0.25">
      <c r="A10671" t="str">
        <f t="shared" si="10"/>
        <v/>
      </c>
    </row>
    <row r="10672" spans="1:1" x14ac:dyDescent="0.25">
      <c r="A10672" t="str">
        <f t="shared" si="10"/>
        <v/>
      </c>
    </row>
    <row r="10673" spans="1:1" x14ac:dyDescent="0.25">
      <c r="A10673" t="str">
        <f t="shared" si="10"/>
        <v/>
      </c>
    </row>
    <row r="10674" spans="1:1" x14ac:dyDescent="0.25">
      <c r="A10674" t="str">
        <f t="shared" si="10"/>
        <v/>
      </c>
    </row>
    <row r="10675" spans="1:1" x14ac:dyDescent="0.25">
      <c r="A10675" t="str">
        <f t="shared" si="10"/>
        <v/>
      </c>
    </row>
    <row r="10676" spans="1:1" x14ac:dyDescent="0.25">
      <c r="A10676" t="str">
        <f t="shared" si="10"/>
        <v/>
      </c>
    </row>
    <row r="10677" spans="1:1" x14ac:dyDescent="0.25">
      <c r="A10677" t="str">
        <f t="shared" ref="A10677:A10740" si="11">B10675&amp;D10675</f>
        <v/>
      </c>
    </row>
    <row r="10678" spans="1:1" x14ac:dyDescent="0.25">
      <c r="A10678" t="str">
        <f t="shared" si="11"/>
        <v/>
      </c>
    </row>
    <row r="10679" spans="1:1" x14ac:dyDescent="0.25">
      <c r="A10679" t="str">
        <f t="shared" si="11"/>
        <v/>
      </c>
    </row>
    <row r="10680" spans="1:1" x14ac:dyDescent="0.25">
      <c r="A10680" t="str">
        <f t="shared" si="11"/>
        <v/>
      </c>
    </row>
    <row r="10681" spans="1:1" x14ac:dyDescent="0.25">
      <c r="A10681" t="str">
        <f t="shared" si="11"/>
        <v/>
      </c>
    </row>
    <row r="10682" spans="1:1" x14ac:dyDescent="0.25">
      <c r="A10682" t="str">
        <f t="shared" si="11"/>
        <v/>
      </c>
    </row>
    <row r="10683" spans="1:1" x14ac:dyDescent="0.25">
      <c r="A10683" t="str">
        <f t="shared" si="11"/>
        <v/>
      </c>
    </row>
    <row r="10684" spans="1:1" x14ac:dyDescent="0.25">
      <c r="A10684" t="str">
        <f t="shared" si="11"/>
        <v/>
      </c>
    </row>
    <row r="10685" spans="1:1" x14ac:dyDescent="0.25">
      <c r="A10685" t="str">
        <f t="shared" si="11"/>
        <v/>
      </c>
    </row>
    <row r="10686" spans="1:1" x14ac:dyDescent="0.25">
      <c r="A10686" t="str">
        <f t="shared" si="11"/>
        <v/>
      </c>
    </row>
    <row r="10687" spans="1:1" x14ac:dyDescent="0.25">
      <c r="A10687" t="str">
        <f t="shared" si="11"/>
        <v/>
      </c>
    </row>
    <row r="10688" spans="1:1" x14ac:dyDescent="0.25">
      <c r="A10688" t="str">
        <f t="shared" si="11"/>
        <v/>
      </c>
    </row>
    <row r="10689" spans="1:1" x14ac:dyDescent="0.25">
      <c r="A10689" t="str">
        <f t="shared" si="11"/>
        <v/>
      </c>
    </row>
    <row r="10690" spans="1:1" x14ac:dyDescent="0.25">
      <c r="A10690" t="str">
        <f t="shared" si="11"/>
        <v/>
      </c>
    </row>
    <row r="10691" spans="1:1" x14ac:dyDescent="0.25">
      <c r="A10691" t="str">
        <f t="shared" si="11"/>
        <v/>
      </c>
    </row>
    <row r="10692" spans="1:1" x14ac:dyDescent="0.25">
      <c r="A10692" t="str">
        <f t="shared" si="11"/>
        <v/>
      </c>
    </row>
    <row r="10693" spans="1:1" x14ac:dyDescent="0.25">
      <c r="A10693" t="str">
        <f t="shared" si="11"/>
        <v/>
      </c>
    </row>
    <row r="10694" spans="1:1" x14ac:dyDescent="0.25">
      <c r="A10694" t="str">
        <f t="shared" si="11"/>
        <v/>
      </c>
    </row>
    <row r="10695" spans="1:1" x14ac:dyDescent="0.25">
      <c r="A10695" t="str">
        <f t="shared" si="11"/>
        <v/>
      </c>
    </row>
    <row r="10696" spans="1:1" x14ac:dyDescent="0.25">
      <c r="A10696" t="str">
        <f t="shared" si="11"/>
        <v/>
      </c>
    </row>
    <row r="10697" spans="1:1" x14ac:dyDescent="0.25">
      <c r="A10697" t="str">
        <f t="shared" si="11"/>
        <v/>
      </c>
    </row>
    <row r="10698" spans="1:1" x14ac:dyDescent="0.25">
      <c r="A10698" t="str">
        <f t="shared" si="11"/>
        <v/>
      </c>
    </row>
    <row r="10699" spans="1:1" x14ac:dyDescent="0.25">
      <c r="A10699" t="str">
        <f t="shared" si="11"/>
        <v/>
      </c>
    </row>
    <row r="10700" spans="1:1" x14ac:dyDescent="0.25">
      <c r="A10700" t="str">
        <f t="shared" si="11"/>
        <v/>
      </c>
    </row>
    <row r="10701" spans="1:1" x14ac:dyDescent="0.25">
      <c r="A10701" t="str">
        <f t="shared" si="11"/>
        <v/>
      </c>
    </row>
    <row r="10702" spans="1:1" x14ac:dyDescent="0.25">
      <c r="A10702" t="str">
        <f t="shared" si="11"/>
        <v/>
      </c>
    </row>
    <row r="10703" spans="1:1" x14ac:dyDescent="0.25">
      <c r="A10703" t="str">
        <f t="shared" si="11"/>
        <v/>
      </c>
    </row>
    <row r="10704" spans="1:1" x14ac:dyDescent="0.25">
      <c r="A10704" t="str">
        <f t="shared" si="11"/>
        <v/>
      </c>
    </row>
    <row r="10705" spans="1:1" x14ac:dyDescent="0.25">
      <c r="A10705" t="str">
        <f t="shared" si="11"/>
        <v/>
      </c>
    </row>
    <row r="10706" spans="1:1" x14ac:dyDescent="0.25">
      <c r="A10706" t="str">
        <f t="shared" si="11"/>
        <v/>
      </c>
    </row>
    <row r="10707" spans="1:1" x14ac:dyDescent="0.25">
      <c r="A10707" t="str">
        <f t="shared" si="11"/>
        <v/>
      </c>
    </row>
    <row r="10708" spans="1:1" x14ac:dyDescent="0.25">
      <c r="A10708" t="str">
        <f t="shared" si="11"/>
        <v/>
      </c>
    </row>
    <row r="10709" spans="1:1" x14ac:dyDescent="0.25">
      <c r="A10709" t="str">
        <f t="shared" si="11"/>
        <v/>
      </c>
    </row>
    <row r="10710" spans="1:1" x14ac:dyDescent="0.25">
      <c r="A10710" t="str">
        <f t="shared" si="11"/>
        <v/>
      </c>
    </row>
    <row r="10711" spans="1:1" x14ac:dyDescent="0.25">
      <c r="A10711" t="str">
        <f t="shared" si="11"/>
        <v/>
      </c>
    </row>
    <row r="10712" spans="1:1" x14ac:dyDescent="0.25">
      <c r="A10712" t="str">
        <f t="shared" si="11"/>
        <v/>
      </c>
    </row>
    <row r="10713" spans="1:1" x14ac:dyDescent="0.25">
      <c r="A10713" t="str">
        <f t="shared" si="11"/>
        <v/>
      </c>
    </row>
    <row r="10714" spans="1:1" x14ac:dyDescent="0.25">
      <c r="A10714" t="str">
        <f t="shared" si="11"/>
        <v/>
      </c>
    </row>
    <row r="10715" spans="1:1" x14ac:dyDescent="0.25">
      <c r="A10715" t="str">
        <f t="shared" si="11"/>
        <v/>
      </c>
    </row>
    <row r="10716" spans="1:1" x14ac:dyDescent="0.25">
      <c r="A10716" t="str">
        <f t="shared" si="11"/>
        <v/>
      </c>
    </row>
    <row r="10717" spans="1:1" x14ac:dyDescent="0.25">
      <c r="A10717" t="str">
        <f t="shared" si="11"/>
        <v/>
      </c>
    </row>
    <row r="10718" spans="1:1" x14ac:dyDescent="0.25">
      <c r="A10718" t="str">
        <f t="shared" si="11"/>
        <v/>
      </c>
    </row>
    <row r="10719" spans="1:1" x14ac:dyDescent="0.25">
      <c r="A10719" t="str">
        <f t="shared" si="11"/>
        <v/>
      </c>
    </row>
    <row r="10720" spans="1:1" x14ac:dyDescent="0.25">
      <c r="A10720" t="str">
        <f t="shared" si="11"/>
        <v/>
      </c>
    </row>
    <row r="10721" spans="1:1" x14ac:dyDescent="0.25">
      <c r="A10721" t="str">
        <f t="shared" si="11"/>
        <v/>
      </c>
    </row>
    <row r="10722" spans="1:1" x14ac:dyDescent="0.25">
      <c r="A10722" t="str">
        <f t="shared" si="11"/>
        <v/>
      </c>
    </row>
    <row r="10723" spans="1:1" x14ac:dyDescent="0.25">
      <c r="A10723" t="str">
        <f t="shared" si="11"/>
        <v/>
      </c>
    </row>
    <row r="10724" spans="1:1" x14ac:dyDescent="0.25">
      <c r="A10724" t="str">
        <f t="shared" si="11"/>
        <v/>
      </c>
    </row>
    <row r="10725" spans="1:1" x14ac:dyDescent="0.25">
      <c r="A10725" t="str">
        <f t="shared" si="11"/>
        <v/>
      </c>
    </row>
    <row r="10726" spans="1:1" x14ac:dyDescent="0.25">
      <c r="A10726" t="str">
        <f t="shared" si="11"/>
        <v/>
      </c>
    </row>
    <row r="10727" spans="1:1" x14ac:dyDescent="0.25">
      <c r="A10727" t="str">
        <f t="shared" si="11"/>
        <v/>
      </c>
    </row>
    <row r="10728" spans="1:1" x14ac:dyDescent="0.25">
      <c r="A10728" t="str">
        <f t="shared" si="11"/>
        <v/>
      </c>
    </row>
    <row r="10729" spans="1:1" x14ac:dyDescent="0.25">
      <c r="A10729" t="str">
        <f t="shared" si="11"/>
        <v/>
      </c>
    </row>
    <row r="10730" spans="1:1" x14ac:dyDescent="0.25">
      <c r="A10730" t="str">
        <f t="shared" si="11"/>
        <v/>
      </c>
    </row>
    <row r="10731" spans="1:1" x14ac:dyDescent="0.25">
      <c r="A10731" t="str">
        <f t="shared" si="11"/>
        <v/>
      </c>
    </row>
    <row r="10732" spans="1:1" x14ac:dyDescent="0.25">
      <c r="A10732" t="str">
        <f t="shared" si="11"/>
        <v/>
      </c>
    </row>
    <row r="10733" spans="1:1" x14ac:dyDescent="0.25">
      <c r="A10733" t="str">
        <f t="shared" si="11"/>
        <v/>
      </c>
    </row>
    <row r="10734" spans="1:1" x14ac:dyDescent="0.25">
      <c r="A10734" t="str">
        <f t="shared" si="11"/>
        <v/>
      </c>
    </row>
    <row r="10735" spans="1:1" x14ac:dyDescent="0.25">
      <c r="A10735" t="str">
        <f t="shared" si="11"/>
        <v/>
      </c>
    </row>
    <row r="10736" spans="1:1" x14ac:dyDescent="0.25">
      <c r="A10736" t="str">
        <f t="shared" si="11"/>
        <v/>
      </c>
    </row>
    <row r="10737" spans="1:1" x14ac:dyDescent="0.25">
      <c r="A10737" t="str">
        <f t="shared" si="11"/>
        <v/>
      </c>
    </row>
    <row r="10738" spans="1:1" x14ac:dyDescent="0.25">
      <c r="A10738" t="str">
        <f t="shared" si="11"/>
        <v/>
      </c>
    </row>
    <row r="10739" spans="1:1" x14ac:dyDescent="0.25">
      <c r="A10739" t="str">
        <f t="shared" si="11"/>
        <v/>
      </c>
    </row>
    <row r="10740" spans="1:1" x14ac:dyDescent="0.25">
      <c r="A10740" t="str">
        <f t="shared" si="11"/>
        <v/>
      </c>
    </row>
    <row r="10741" spans="1:1" x14ac:dyDescent="0.25">
      <c r="A10741" t="str">
        <f t="shared" ref="A10741:A10804" si="12">B10739&amp;D10739</f>
        <v/>
      </c>
    </row>
    <row r="10742" spans="1:1" x14ac:dyDescent="0.25">
      <c r="A10742" t="str">
        <f t="shared" si="12"/>
        <v/>
      </c>
    </row>
    <row r="10743" spans="1:1" x14ac:dyDescent="0.25">
      <c r="A10743" t="str">
        <f t="shared" si="12"/>
        <v/>
      </c>
    </row>
    <row r="10744" spans="1:1" x14ac:dyDescent="0.25">
      <c r="A10744" t="str">
        <f t="shared" si="12"/>
        <v/>
      </c>
    </row>
    <row r="10745" spans="1:1" x14ac:dyDescent="0.25">
      <c r="A10745" t="str">
        <f t="shared" si="12"/>
        <v/>
      </c>
    </row>
    <row r="10746" spans="1:1" x14ac:dyDescent="0.25">
      <c r="A10746" t="str">
        <f t="shared" si="12"/>
        <v/>
      </c>
    </row>
    <row r="10747" spans="1:1" x14ac:dyDescent="0.25">
      <c r="A10747" t="str">
        <f t="shared" si="12"/>
        <v/>
      </c>
    </row>
    <row r="10748" spans="1:1" x14ac:dyDescent="0.25">
      <c r="A10748" t="str">
        <f t="shared" si="12"/>
        <v/>
      </c>
    </row>
    <row r="10749" spans="1:1" x14ac:dyDescent="0.25">
      <c r="A10749" t="str">
        <f t="shared" si="12"/>
        <v/>
      </c>
    </row>
    <row r="10750" spans="1:1" x14ac:dyDescent="0.25">
      <c r="A10750" t="str">
        <f t="shared" si="12"/>
        <v/>
      </c>
    </row>
    <row r="10751" spans="1:1" x14ac:dyDescent="0.25">
      <c r="A10751" t="str">
        <f t="shared" si="12"/>
        <v/>
      </c>
    </row>
    <row r="10752" spans="1:1" x14ac:dyDescent="0.25">
      <c r="A10752" t="str">
        <f t="shared" si="12"/>
        <v/>
      </c>
    </row>
    <row r="10753" spans="1:1" x14ac:dyDescent="0.25">
      <c r="A10753" t="str">
        <f t="shared" si="12"/>
        <v/>
      </c>
    </row>
    <row r="10754" spans="1:1" x14ac:dyDescent="0.25">
      <c r="A10754" t="str">
        <f t="shared" si="12"/>
        <v/>
      </c>
    </row>
    <row r="10755" spans="1:1" x14ac:dyDescent="0.25">
      <c r="A10755" t="str">
        <f t="shared" si="12"/>
        <v/>
      </c>
    </row>
    <row r="10756" spans="1:1" x14ac:dyDescent="0.25">
      <c r="A10756" t="str">
        <f t="shared" si="12"/>
        <v/>
      </c>
    </row>
    <row r="10757" spans="1:1" x14ac:dyDescent="0.25">
      <c r="A10757" t="str">
        <f t="shared" si="12"/>
        <v/>
      </c>
    </row>
    <row r="10758" spans="1:1" x14ac:dyDescent="0.25">
      <c r="A10758" t="str">
        <f t="shared" si="12"/>
        <v/>
      </c>
    </row>
    <row r="10759" spans="1:1" x14ac:dyDescent="0.25">
      <c r="A10759" t="str">
        <f t="shared" si="12"/>
        <v/>
      </c>
    </row>
    <row r="10760" spans="1:1" x14ac:dyDescent="0.25">
      <c r="A10760" t="str">
        <f t="shared" si="12"/>
        <v/>
      </c>
    </row>
    <row r="10761" spans="1:1" x14ac:dyDescent="0.25">
      <c r="A10761" t="str">
        <f t="shared" si="12"/>
        <v/>
      </c>
    </row>
    <row r="10762" spans="1:1" x14ac:dyDescent="0.25">
      <c r="A10762" t="str">
        <f t="shared" si="12"/>
        <v/>
      </c>
    </row>
    <row r="10763" spans="1:1" x14ac:dyDescent="0.25">
      <c r="A10763" t="str">
        <f t="shared" si="12"/>
        <v/>
      </c>
    </row>
    <row r="10764" spans="1:1" x14ac:dyDescent="0.25">
      <c r="A10764" t="str">
        <f t="shared" si="12"/>
        <v/>
      </c>
    </row>
    <row r="10765" spans="1:1" x14ac:dyDescent="0.25">
      <c r="A10765" t="str">
        <f t="shared" si="12"/>
        <v/>
      </c>
    </row>
    <row r="10766" spans="1:1" x14ac:dyDescent="0.25">
      <c r="A10766" t="str">
        <f t="shared" si="12"/>
        <v/>
      </c>
    </row>
    <row r="10767" spans="1:1" x14ac:dyDescent="0.25">
      <c r="A10767" t="str">
        <f t="shared" si="12"/>
        <v/>
      </c>
    </row>
    <row r="10768" spans="1:1" x14ac:dyDescent="0.25">
      <c r="A10768" t="str">
        <f t="shared" si="12"/>
        <v/>
      </c>
    </row>
    <row r="10769" spans="1:1" x14ac:dyDescent="0.25">
      <c r="A10769" t="str">
        <f t="shared" si="12"/>
        <v/>
      </c>
    </row>
    <row r="10770" spans="1:1" x14ac:dyDescent="0.25">
      <c r="A10770" t="str">
        <f t="shared" si="12"/>
        <v/>
      </c>
    </row>
    <row r="10771" spans="1:1" x14ac:dyDescent="0.25">
      <c r="A10771" t="str">
        <f t="shared" si="12"/>
        <v/>
      </c>
    </row>
    <row r="10772" spans="1:1" x14ac:dyDescent="0.25">
      <c r="A10772" t="str">
        <f t="shared" si="12"/>
        <v/>
      </c>
    </row>
    <row r="10773" spans="1:1" x14ac:dyDescent="0.25">
      <c r="A10773" t="str">
        <f t="shared" si="12"/>
        <v/>
      </c>
    </row>
    <row r="10774" spans="1:1" x14ac:dyDescent="0.25">
      <c r="A10774" t="str">
        <f t="shared" si="12"/>
        <v/>
      </c>
    </row>
    <row r="10775" spans="1:1" x14ac:dyDescent="0.25">
      <c r="A10775" t="str">
        <f t="shared" si="12"/>
        <v/>
      </c>
    </row>
    <row r="10776" spans="1:1" x14ac:dyDescent="0.25">
      <c r="A10776" t="str">
        <f t="shared" si="12"/>
        <v/>
      </c>
    </row>
    <row r="10777" spans="1:1" x14ac:dyDescent="0.25">
      <c r="A10777" t="str">
        <f t="shared" si="12"/>
        <v/>
      </c>
    </row>
    <row r="10778" spans="1:1" x14ac:dyDescent="0.25">
      <c r="A10778" t="str">
        <f t="shared" si="12"/>
        <v/>
      </c>
    </row>
    <row r="10779" spans="1:1" x14ac:dyDescent="0.25">
      <c r="A10779" t="str">
        <f t="shared" si="12"/>
        <v/>
      </c>
    </row>
    <row r="10780" spans="1:1" x14ac:dyDescent="0.25">
      <c r="A10780" t="str">
        <f t="shared" si="12"/>
        <v/>
      </c>
    </row>
    <row r="10781" spans="1:1" x14ac:dyDescent="0.25">
      <c r="A10781" t="str">
        <f t="shared" si="12"/>
        <v/>
      </c>
    </row>
    <row r="10782" spans="1:1" x14ac:dyDescent="0.25">
      <c r="A10782" t="str">
        <f t="shared" si="12"/>
        <v/>
      </c>
    </row>
    <row r="10783" spans="1:1" x14ac:dyDescent="0.25">
      <c r="A10783" t="str">
        <f t="shared" si="12"/>
        <v/>
      </c>
    </row>
    <row r="10784" spans="1:1" x14ac:dyDescent="0.25">
      <c r="A10784" t="str">
        <f t="shared" si="12"/>
        <v/>
      </c>
    </row>
    <row r="10785" spans="1:1" x14ac:dyDescent="0.25">
      <c r="A10785" t="str">
        <f t="shared" si="12"/>
        <v/>
      </c>
    </row>
    <row r="10786" spans="1:1" x14ac:dyDescent="0.25">
      <c r="A10786" t="str">
        <f t="shared" si="12"/>
        <v/>
      </c>
    </row>
    <row r="10787" spans="1:1" x14ac:dyDescent="0.25">
      <c r="A10787" t="str">
        <f t="shared" si="12"/>
        <v/>
      </c>
    </row>
    <row r="10788" spans="1:1" x14ac:dyDescent="0.25">
      <c r="A10788" t="str">
        <f t="shared" si="12"/>
        <v/>
      </c>
    </row>
    <row r="10789" spans="1:1" x14ac:dyDescent="0.25">
      <c r="A10789" t="str">
        <f t="shared" si="12"/>
        <v/>
      </c>
    </row>
    <row r="10790" spans="1:1" x14ac:dyDescent="0.25">
      <c r="A10790" t="str">
        <f t="shared" si="12"/>
        <v/>
      </c>
    </row>
    <row r="10791" spans="1:1" x14ac:dyDescent="0.25">
      <c r="A10791" t="str">
        <f t="shared" si="12"/>
        <v/>
      </c>
    </row>
    <row r="10792" spans="1:1" x14ac:dyDescent="0.25">
      <c r="A10792" t="str">
        <f t="shared" si="12"/>
        <v/>
      </c>
    </row>
    <row r="10793" spans="1:1" x14ac:dyDescent="0.25">
      <c r="A10793" t="str">
        <f t="shared" si="12"/>
        <v/>
      </c>
    </row>
    <row r="10794" spans="1:1" x14ac:dyDescent="0.25">
      <c r="A10794" t="str">
        <f t="shared" si="12"/>
        <v/>
      </c>
    </row>
    <row r="10795" spans="1:1" x14ac:dyDescent="0.25">
      <c r="A10795" t="str">
        <f t="shared" si="12"/>
        <v/>
      </c>
    </row>
    <row r="10796" spans="1:1" x14ac:dyDescent="0.25">
      <c r="A10796" t="str">
        <f t="shared" si="12"/>
        <v/>
      </c>
    </row>
    <row r="10797" spans="1:1" x14ac:dyDescent="0.25">
      <c r="A10797" t="str">
        <f t="shared" si="12"/>
        <v/>
      </c>
    </row>
    <row r="10798" spans="1:1" x14ac:dyDescent="0.25">
      <c r="A10798" t="str">
        <f t="shared" si="12"/>
        <v/>
      </c>
    </row>
    <row r="10799" spans="1:1" x14ac:dyDescent="0.25">
      <c r="A10799" t="str">
        <f t="shared" si="12"/>
        <v/>
      </c>
    </row>
    <row r="10800" spans="1:1" x14ac:dyDescent="0.25">
      <c r="A10800" t="str">
        <f t="shared" si="12"/>
        <v/>
      </c>
    </row>
    <row r="10801" spans="1:1" x14ac:dyDescent="0.25">
      <c r="A10801" t="str">
        <f t="shared" si="12"/>
        <v/>
      </c>
    </row>
    <row r="10802" spans="1:1" x14ac:dyDescent="0.25">
      <c r="A10802" t="str">
        <f t="shared" si="12"/>
        <v/>
      </c>
    </row>
    <row r="10803" spans="1:1" x14ac:dyDescent="0.25">
      <c r="A10803" t="str">
        <f t="shared" si="12"/>
        <v/>
      </c>
    </row>
    <row r="10804" spans="1:1" x14ac:dyDescent="0.25">
      <c r="A10804" t="str">
        <f t="shared" si="12"/>
        <v/>
      </c>
    </row>
    <row r="10805" spans="1:1" x14ac:dyDescent="0.25">
      <c r="A10805" t="str">
        <f t="shared" ref="A10805:A10868" si="13">B10803&amp;D10803</f>
        <v/>
      </c>
    </row>
    <row r="10806" spans="1:1" x14ac:dyDescent="0.25">
      <c r="A10806" t="str">
        <f t="shared" si="13"/>
        <v/>
      </c>
    </row>
    <row r="10807" spans="1:1" x14ac:dyDescent="0.25">
      <c r="A10807" t="str">
        <f t="shared" si="13"/>
        <v/>
      </c>
    </row>
    <row r="10808" spans="1:1" x14ac:dyDescent="0.25">
      <c r="A10808" t="str">
        <f t="shared" si="13"/>
        <v/>
      </c>
    </row>
    <row r="10809" spans="1:1" x14ac:dyDescent="0.25">
      <c r="A10809" t="str">
        <f t="shared" si="13"/>
        <v/>
      </c>
    </row>
    <row r="10810" spans="1:1" x14ac:dyDescent="0.25">
      <c r="A10810" t="str">
        <f t="shared" si="13"/>
        <v/>
      </c>
    </row>
    <row r="10811" spans="1:1" x14ac:dyDescent="0.25">
      <c r="A10811" t="str">
        <f t="shared" si="13"/>
        <v/>
      </c>
    </row>
    <row r="10812" spans="1:1" x14ac:dyDescent="0.25">
      <c r="A10812" t="str">
        <f t="shared" si="13"/>
        <v/>
      </c>
    </row>
    <row r="10813" spans="1:1" x14ac:dyDescent="0.25">
      <c r="A10813" t="str">
        <f t="shared" si="13"/>
        <v/>
      </c>
    </row>
    <row r="10814" spans="1:1" x14ac:dyDescent="0.25">
      <c r="A10814" t="str">
        <f t="shared" si="13"/>
        <v/>
      </c>
    </row>
    <row r="10815" spans="1:1" x14ac:dyDescent="0.25">
      <c r="A10815" t="str">
        <f t="shared" si="13"/>
        <v/>
      </c>
    </row>
    <row r="10816" spans="1:1" x14ac:dyDescent="0.25">
      <c r="A10816" t="str">
        <f t="shared" si="13"/>
        <v/>
      </c>
    </row>
    <row r="10817" spans="1:1" x14ac:dyDescent="0.25">
      <c r="A10817" t="str">
        <f t="shared" si="13"/>
        <v/>
      </c>
    </row>
    <row r="10818" spans="1:1" x14ac:dyDescent="0.25">
      <c r="A10818" t="str">
        <f t="shared" si="13"/>
        <v/>
      </c>
    </row>
    <row r="10819" spans="1:1" x14ac:dyDescent="0.25">
      <c r="A10819" t="str">
        <f t="shared" si="13"/>
        <v/>
      </c>
    </row>
    <row r="10820" spans="1:1" x14ac:dyDescent="0.25">
      <c r="A10820" t="str">
        <f t="shared" si="13"/>
        <v/>
      </c>
    </row>
    <row r="10821" spans="1:1" x14ac:dyDescent="0.25">
      <c r="A10821" t="str">
        <f t="shared" si="13"/>
        <v/>
      </c>
    </row>
    <row r="10822" spans="1:1" x14ac:dyDescent="0.25">
      <c r="A10822" t="str">
        <f t="shared" si="13"/>
        <v/>
      </c>
    </row>
    <row r="10823" spans="1:1" x14ac:dyDescent="0.25">
      <c r="A10823" t="str">
        <f t="shared" si="13"/>
        <v/>
      </c>
    </row>
    <row r="10824" spans="1:1" x14ac:dyDescent="0.25">
      <c r="A10824" t="str">
        <f t="shared" si="13"/>
        <v/>
      </c>
    </row>
    <row r="10825" spans="1:1" x14ac:dyDescent="0.25">
      <c r="A10825" t="str">
        <f t="shared" si="13"/>
        <v/>
      </c>
    </row>
    <row r="10826" spans="1:1" x14ac:dyDescent="0.25">
      <c r="A10826" t="str">
        <f t="shared" si="13"/>
        <v/>
      </c>
    </row>
    <row r="10827" spans="1:1" x14ac:dyDescent="0.25">
      <c r="A10827" t="str">
        <f t="shared" si="13"/>
        <v/>
      </c>
    </row>
    <row r="10828" spans="1:1" x14ac:dyDescent="0.25">
      <c r="A10828" t="str">
        <f t="shared" si="13"/>
        <v/>
      </c>
    </row>
    <row r="10829" spans="1:1" x14ac:dyDescent="0.25">
      <c r="A10829" t="str">
        <f t="shared" si="13"/>
        <v/>
      </c>
    </row>
    <row r="10830" spans="1:1" x14ac:dyDescent="0.25">
      <c r="A10830" t="str">
        <f t="shared" si="13"/>
        <v/>
      </c>
    </row>
    <row r="10831" spans="1:1" x14ac:dyDescent="0.25">
      <c r="A10831" t="str">
        <f t="shared" si="13"/>
        <v/>
      </c>
    </row>
    <row r="10832" spans="1:1" x14ac:dyDescent="0.25">
      <c r="A10832" t="str">
        <f t="shared" si="13"/>
        <v/>
      </c>
    </row>
    <row r="10833" spans="1:1" x14ac:dyDescent="0.25">
      <c r="A10833" t="str">
        <f t="shared" si="13"/>
        <v/>
      </c>
    </row>
    <row r="10834" spans="1:1" x14ac:dyDescent="0.25">
      <c r="A10834" t="str">
        <f t="shared" si="13"/>
        <v/>
      </c>
    </row>
    <row r="10835" spans="1:1" x14ac:dyDescent="0.25">
      <c r="A10835" t="str">
        <f t="shared" si="13"/>
        <v/>
      </c>
    </row>
    <row r="10836" spans="1:1" x14ac:dyDescent="0.25">
      <c r="A10836" t="str">
        <f t="shared" si="13"/>
        <v/>
      </c>
    </row>
    <row r="10837" spans="1:1" x14ac:dyDescent="0.25">
      <c r="A10837" t="str">
        <f t="shared" si="13"/>
        <v/>
      </c>
    </row>
    <row r="10838" spans="1:1" x14ac:dyDescent="0.25">
      <c r="A10838" t="str">
        <f t="shared" si="13"/>
        <v/>
      </c>
    </row>
    <row r="10839" spans="1:1" x14ac:dyDescent="0.25">
      <c r="A10839" t="str">
        <f t="shared" si="13"/>
        <v/>
      </c>
    </row>
    <row r="10840" spans="1:1" x14ac:dyDescent="0.25">
      <c r="A10840" t="str">
        <f t="shared" si="13"/>
        <v/>
      </c>
    </row>
    <row r="10841" spans="1:1" x14ac:dyDescent="0.25">
      <c r="A10841" t="str">
        <f t="shared" si="13"/>
        <v/>
      </c>
    </row>
    <row r="10842" spans="1:1" x14ac:dyDescent="0.25">
      <c r="A10842" t="str">
        <f t="shared" si="13"/>
        <v/>
      </c>
    </row>
    <row r="10843" spans="1:1" x14ac:dyDescent="0.25">
      <c r="A10843" t="str">
        <f t="shared" si="13"/>
        <v/>
      </c>
    </row>
    <row r="10844" spans="1:1" x14ac:dyDescent="0.25">
      <c r="A10844" t="str">
        <f t="shared" si="13"/>
        <v/>
      </c>
    </row>
    <row r="10845" spans="1:1" x14ac:dyDescent="0.25">
      <c r="A10845" t="str">
        <f t="shared" si="13"/>
        <v/>
      </c>
    </row>
    <row r="10846" spans="1:1" x14ac:dyDescent="0.25">
      <c r="A10846" t="str">
        <f t="shared" si="13"/>
        <v/>
      </c>
    </row>
    <row r="10847" spans="1:1" x14ac:dyDescent="0.25">
      <c r="A10847" t="str">
        <f t="shared" si="13"/>
        <v/>
      </c>
    </row>
    <row r="10848" spans="1:1" x14ac:dyDescent="0.25">
      <c r="A10848" t="str">
        <f t="shared" si="13"/>
        <v/>
      </c>
    </row>
    <row r="10849" spans="1:1" x14ac:dyDescent="0.25">
      <c r="A10849" t="str">
        <f t="shared" si="13"/>
        <v/>
      </c>
    </row>
    <row r="10850" spans="1:1" x14ac:dyDescent="0.25">
      <c r="A10850" t="str">
        <f t="shared" si="13"/>
        <v/>
      </c>
    </row>
    <row r="10851" spans="1:1" x14ac:dyDescent="0.25">
      <c r="A10851" t="str">
        <f t="shared" si="13"/>
        <v/>
      </c>
    </row>
    <row r="10852" spans="1:1" x14ac:dyDescent="0.25">
      <c r="A10852" t="str">
        <f t="shared" si="13"/>
        <v/>
      </c>
    </row>
    <row r="10853" spans="1:1" x14ac:dyDescent="0.25">
      <c r="A10853" t="str">
        <f t="shared" si="13"/>
        <v/>
      </c>
    </row>
    <row r="10854" spans="1:1" x14ac:dyDescent="0.25">
      <c r="A10854" t="str">
        <f t="shared" si="13"/>
        <v/>
      </c>
    </row>
    <row r="10855" spans="1:1" x14ac:dyDescent="0.25">
      <c r="A10855" t="str">
        <f t="shared" si="13"/>
        <v/>
      </c>
    </row>
    <row r="10856" spans="1:1" x14ac:dyDescent="0.25">
      <c r="A10856" t="str">
        <f t="shared" si="13"/>
        <v/>
      </c>
    </row>
    <row r="10857" spans="1:1" x14ac:dyDescent="0.25">
      <c r="A10857" t="str">
        <f t="shared" si="13"/>
        <v/>
      </c>
    </row>
    <row r="10858" spans="1:1" x14ac:dyDescent="0.25">
      <c r="A10858" t="str">
        <f t="shared" si="13"/>
        <v/>
      </c>
    </row>
    <row r="10859" spans="1:1" x14ac:dyDescent="0.25">
      <c r="A10859" t="str">
        <f t="shared" si="13"/>
        <v/>
      </c>
    </row>
    <row r="10860" spans="1:1" x14ac:dyDescent="0.25">
      <c r="A10860" t="str">
        <f t="shared" si="13"/>
        <v/>
      </c>
    </row>
    <row r="10861" spans="1:1" x14ac:dyDescent="0.25">
      <c r="A10861" t="str">
        <f t="shared" si="13"/>
        <v/>
      </c>
    </row>
    <row r="10862" spans="1:1" x14ac:dyDescent="0.25">
      <c r="A10862" t="str">
        <f t="shared" si="13"/>
        <v/>
      </c>
    </row>
    <row r="10863" spans="1:1" x14ac:dyDescent="0.25">
      <c r="A10863" t="str">
        <f t="shared" si="13"/>
        <v/>
      </c>
    </row>
    <row r="10864" spans="1:1" x14ac:dyDescent="0.25">
      <c r="A10864" t="str">
        <f t="shared" si="13"/>
        <v/>
      </c>
    </row>
    <row r="10865" spans="1:1" x14ac:dyDescent="0.25">
      <c r="A10865" t="str">
        <f t="shared" si="13"/>
        <v/>
      </c>
    </row>
    <row r="10866" spans="1:1" x14ac:dyDescent="0.25">
      <c r="A10866" t="str">
        <f t="shared" si="13"/>
        <v/>
      </c>
    </row>
    <row r="10867" spans="1:1" x14ac:dyDescent="0.25">
      <c r="A10867" t="str">
        <f t="shared" si="13"/>
        <v/>
      </c>
    </row>
    <row r="10868" spans="1:1" x14ac:dyDescent="0.25">
      <c r="A10868" t="str">
        <f t="shared" si="13"/>
        <v/>
      </c>
    </row>
    <row r="10869" spans="1:1" x14ac:dyDescent="0.25">
      <c r="A10869" t="str">
        <f t="shared" ref="A10869:A10932" si="14">B10867&amp;D10867</f>
        <v/>
      </c>
    </row>
    <row r="10870" spans="1:1" x14ac:dyDescent="0.25">
      <c r="A10870" t="str">
        <f t="shared" si="14"/>
        <v/>
      </c>
    </row>
    <row r="10871" spans="1:1" x14ac:dyDescent="0.25">
      <c r="A10871" t="str">
        <f t="shared" si="14"/>
        <v/>
      </c>
    </row>
    <row r="10872" spans="1:1" x14ac:dyDescent="0.25">
      <c r="A10872" t="str">
        <f t="shared" si="14"/>
        <v/>
      </c>
    </row>
    <row r="10873" spans="1:1" x14ac:dyDescent="0.25">
      <c r="A10873" t="str">
        <f t="shared" si="14"/>
        <v/>
      </c>
    </row>
    <row r="10874" spans="1:1" x14ac:dyDescent="0.25">
      <c r="A10874" t="str">
        <f t="shared" si="14"/>
        <v/>
      </c>
    </row>
    <row r="10875" spans="1:1" x14ac:dyDescent="0.25">
      <c r="A10875" t="str">
        <f t="shared" si="14"/>
        <v/>
      </c>
    </row>
    <row r="10876" spans="1:1" x14ac:dyDescent="0.25">
      <c r="A10876" t="str">
        <f t="shared" si="14"/>
        <v/>
      </c>
    </row>
    <row r="10877" spans="1:1" x14ac:dyDescent="0.25">
      <c r="A10877" t="str">
        <f t="shared" si="14"/>
        <v/>
      </c>
    </row>
    <row r="10878" spans="1:1" x14ac:dyDescent="0.25">
      <c r="A10878" t="str">
        <f t="shared" si="14"/>
        <v/>
      </c>
    </row>
    <row r="10879" spans="1:1" x14ac:dyDescent="0.25">
      <c r="A10879" t="str">
        <f t="shared" si="14"/>
        <v/>
      </c>
    </row>
    <row r="10880" spans="1:1" x14ac:dyDescent="0.25">
      <c r="A10880" t="str">
        <f t="shared" si="14"/>
        <v/>
      </c>
    </row>
    <row r="10881" spans="1:1" x14ac:dyDescent="0.25">
      <c r="A10881" t="str">
        <f t="shared" si="14"/>
        <v/>
      </c>
    </row>
    <row r="10882" spans="1:1" x14ac:dyDescent="0.25">
      <c r="A10882" t="str">
        <f t="shared" si="14"/>
        <v/>
      </c>
    </row>
    <row r="10883" spans="1:1" x14ac:dyDescent="0.25">
      <c r="A10883" t="str">
        <f t="shared" si="14"/>
        <v/>
      </c>
    </row>
    <row r="10884" spans="1:1" x14ac:dyDescent="0.25">
      <c r="A10884" t="str">
        <f t="shared" si="14"/>
        <v/>
      </c>
    </row>
    <row r="10885" spans="1:1" x14ac:dyDescent="0.25">
      <c r="A10885" t="str">
        <f t="shared" si="14"/>
        <v/>
      </c>
    </row>
    <row r="10886" spans="1:1" x14ac:dyDescent="0.25">
      <c r="A10886" t="str">
        <f t="shared" si="14"/>
        <v/>
      </c>
    </row>
    <row r="10887" spans="1:1" x14ac:dyDescent="0.25">
      <c r="A10887" t="str">
        <f t="shared" si="14"/>
        <v/>
      </c>
    </row>
    <row r="10888" spans="1:1" x14ac:dyDescent="0.25">
      <c r="A10888" t="str">
        <f t="shared" si="14"/>
        <v/>
      </c>
    </row>
    <row r="10889" spans="1:1" x14ac:dyDescent="0.25">
      <c r="A10889" t="str">
        <f t="shared" si="14"/>
        <v/>
      </c>
    </row>
    <row r="10890" spans="1:1" x14ac:dyDescent="0.25">
      <c r="A10890" t="str">
        <f t="shared" si="14"/>
        <v/>
      </c>
    </row>
    <row r="10891" spans="1:1" x14ac:dyDescent="0.25">
      <c r="A10891" t="str">
        <f t="shared" si="14"/>
        <v/>
      </c>
    </row>
    <row r="10892" spans="1:1" x14ac:dyDescent="0.25">
      <c r="A10892" t="str">
        <f t="shared" si="14"/>
        <v/>
      </c>
    </row>
    <row r="10893" spans="1:1" x14ac:dyDescent="0.25">
      <c r="A10893" t="str">
        <f t="shared" si="14"/>
        <v/>
      </c>
    </row>
    <row r="10894" spans="1:1" x14ac:dyDescent="0.25">
      <c r="A10894" t="str">
        <f t="shared" si="14"/>
        <v/>
      </c>
    </row>
    <row r="10895" spans="1:1" x14ac:dyDescent="0.25">
      <c r="A10895" t="str">
        <f t="shared" si="14"/>
        <v/>
      </c>
    </row>
    <row r="10896" spans="1:1" x14ac:dyDescent="0.25">
      <c r="A10896" t="str">
        <f t="shared" si="14"/>
        <v/>
      </c>
    </row>
    <row r="10897" spans="1:1" x14ac:dyDescent="0.25">
      <c r="A10897" t="str">
        <f t="shared" si="14"/>
        <v/>
      </c>
    </row>
    <row r="10898" spans="1:1" x14ac:dyDescent="0.25">
      <c r="A10898" t="str">
        <f t="shared" si="14"/>
        <v/>
      </c>
    </row>
    <row r="10899" spans="1:1" x14ac:dyDescent="0.25">
      <c r="A10899" t="str">
        <f t="shared" si="14"/>
        <v/>
      </c>
    </row>
    <row r="10900" spans="1:1" x14ac:dyDescent="0.25">
      <c r="A10900" t="str">
        <f t="shared" si="14"/>
        <v/>
      </c>
    </row>
    <row r="10901" spans="1:1" x14ac:dyDescent="0.25">
      <c r="A10901" t="str">
        <f t="shared" si="14"/>
        <v/>
      </c>
    </row>
    <row r="10902" spans="1:1" x14ac:dyDescent="0.25">
      <c r="A10902" t="str">
        <f t="shared" si="14"/>
        <v/>
      </c>
    </row>
    <row r="10903" spans="1:1" x14ac:dyDescent="0.25">
      <c r="A10903" t="str">
        <f t="shared" si="14"/>
        <v/>
      </c>
    </row>
    <row r="10904" spans="1:1" x14ac:dyDescent="0.25">
      <c r="A10904" t="str">
        <f t="shared" si="14"/>
        <v/>
      </c>
    </row>
    <row r="10905" spans="1:1" x14ac:dyDescent="0.25">
      <c r="A10905" t="str">
        <f t="shared" si="14"/>
        <v/>
      </c>
    </row>
    <row r="10906" spans="1:1" x14ac:dyDescent="0.25">
      <c r="A10906" t="str">
        <f t="shared" si="14"/>
        <v/>
      </c>
    </row>
    <row r="10907" spans="1:1" x14ac:dyDescent="0.25">
      <c r="A10907" t="str">
        <f t="shared" si="14"/>
        <v/>
      </c>
    </row>
    <row r="10908" spans="1:1" x14ac:dyDescent="0.25">
      <c r="A10908" t="str">
        <f t="shared" si="14"/>
        <v/>
      </c>
    </row>
    <row r="10909" spans="1:1" x14ac:dyDescent="0.25">
      <c r="A10909" t="str">
        <f t="shared" si="14"/>
        <v/>
      </c>
    </row>
    <row r="10910" spans="1:1" x14ac:dyDescent="0.25">
      <c r="A10910" t="str">
        <f t="shared" si="14"/>
        <v/>
      </c>
    </row>
    <row r="10911" spans="1:1" x14ac:dyDescent="0.25">
      <c r="A10911" t="str">
        <f t="shared" si="14"/>
        <v/>
      </c>
    </row>
    <row r="10912" spans="1:1" x14ac:dyDescent="0.25">
      <c r="A10912" t="str">
        <f t="shared" si="14"/>
        <v/>
      </c>
    </row>
    <row r="10913" spans="1:1" x14ac:dyDescent="0.25">
      <c r="A10913" t="str">
        <f t="shared" si="14"/>
        <v/>
      </c>
    </row>
    <row r="10914" spans="1:1" x14ac:dyDescent="0.25">
      <c r="A10914" t="str">
        <f t="shared" si="14"/>
        <v/>
      </c>
    </row>
    <row r="10915" spans="1:1" x14ac:dyDescent="0.25">
      <c r="A10915" t="str">
        <f t="shared" si="14"/>
        <v/>
      </c>
    </row>
    <row r="10916" spans="1:1" x14ac:dyDescent="0.25">
      <c r="A10916" t="str">
        <f t="shared" si="14"/>
        <v/>
      </c>
    </row>
    <row r="10917" spans="1:1" x14ac:dyDescent="0.25">
      <c r="A10917" t="str">
        <f t="shared" si="14"/>
        <v/>
      </c>
    </row>
    <row r="10918" spans="1:1" x14ac:dyDescent="0.25">
      <c r="A10918" t="str">
        <f t="shared" si="14"/>
        <v/>
      </c>
    </row>
    <row r="10919" spans="1:1" x14ac:dyDescent="0.25">
      <c r="A10919" t="str">
        <f t="shared" si="14"/>
        <v/>
      </c>
    </row>
    <row r="10920" spans="1:1" x14ac:dyDescent="0.25">
      <c r="A10920" t="str">
        <f t="shared" si="14"/>
        <v/>
      </c>
    </row>
    <row r="10921" spans="1:1" x14ac:dyDescent="0.25">
      <c r="A10921" t="str">
        <f t="shared" si="14"/>
        <v/>
      </c>
    </row>
    <row r="10922" spans="1:1" x14ac:dyDescent="0.25">
      <c r="A10922" t="str">
        <f t="shared" si="14"/>
        <v/>
      </c>
    </row>
    <row r="10923" spans="1:1" x14ac:dyDescent="0.25">
      <c r="A10923" t="str">
        <f t="shared" si="14"/>
        <v/>
      </c>
    </row>
    <row r="10924" spans="1:1" x14ac:dyDescent="0.25">
      <c r="A10924" t="str">
        <f t="shared" si="14"/>
        <v/>
      </c>
    </row>
    <row r="10925" spans="1:1" x14ac:dyDescent="0.25">
      <c r="A10925" t="str">
        <f t="shared" si="14"/>
        <v/>
      </c>
    </row>
    <row r="10926" spans="1:1" x14ac:dyDescent="0.25">
      <c r="A10926" t="str">
        <f t="shared" si="14"/>
        <v/>
      </c>
    </row>
    <row r="10927" spans="1:1" x14ac:dyDescent="0.25">
      <c r="A10927" t="str">
        <f t="shared" si="14"/>
        <v/>
      </c>
    </row>
    <row r="10928" spans="1:1" x14ac:dyDescent="0.25">
      <c r="A10928" t="str">
        <f t="shared" si="14"/>
        <v/>
      </c>
    </row>
    <row r="10929" spans="1:1" x14ac:dyDescent="0.25">
      <c r="A10929" t="str">
        <f t="shared" si="14"/>
        <v/>
      </c>
    </row>
    <row r="10930" spans="1:1" x14ac:dyDescent="0.25">
      <c r="A10930" t="str">
        <f t="shared" si="14"/>
        <v/>
      </c>
    </row>
    <row r="10931" spans="1:1" x14ac:dyDescent="0.25">
      <c r="A10931" t="str">
        <f t="shared" si="14"/>
        <v/>
      </c>
    </row>
    <row r="10932" spans="1:1" x14ac:dyDescent="0.25">
      <c r="A10932" t="str">
        <f t="shared" si="14"/>
        <v/>
      </c>
    </row>
    <row r="10933" spans="1:1" x14ac:dyDescent="0.25">
      <c r="A10933" t="str">
        <f t="shared" ref="A10933:A10996" si="15">B10931&amp;D10931</f>
        <v/>
      </c>
    </row>
    <row r="10934" spans="1:1" x14ac:dyDescent="0.25">
      <c r="A10934" t="str">
        <f t="shared" si="15"/>
        <v/>
      </c>
    </row>
    <row r="10935" spans="1:1" x14ac:dyDescent="0.25">
      <c r="A10935" t="str">
        <f t="shared" si="15"/>
        <v/>
      </c>
    </row>
    <row r="10936" spans="1:1" x14ac:dyDescent="0.25">
      <c r="A10936" t="str">
        <f t="shared" si="15"/>
        <v/>
      </c>
    </row>
    <row r="10937" spans="1:1" x14ac:dyDescent="0.25">
      <c r="A10937" t="str">
        <f t="shared" si="15"/>
        <v/>
      </c>
    </row>
    <row r="10938" spans="1:1" x14ac:dyDescent="0.25">
      <c r="A10938" t="str">
        <f t="shared" si="15"/>
        <v/>
      </c>
    </row>
    <row r="10939" spans="1:1" x14ac:dyDescent="0.25">
      <c r="A10939" t="str">
        <f t="shared" si="15"/>
        <v/>
      </c>
    </row>
    <row r="10940" spans="1:1" x14ac:dyDescent="0.25">
      <c r="A10940" t="str">
        <f t="shared" si="15"/>
        <v/>
      </c>
    </row>
    <row r="10941" spans="1:1" x14ac:dyDescent="0.25">
      <c r="A10941" t="str">
        <f t="shared" si="15"/>
        <v/>
      </c>
    </row>
    <row r="10942" spans="1:1" x14ac:dyDescent="0.25">
      <c r="A10942" t="str">
        <f t="shared" si="15"/>
        <v/>
      </c>
    </row>
    <row r="10943" spans="1:1" x14ac:dyDescent="0.25">
      <c r="A10943" t="str">
        <f t="shared" si="15"/>
        <v/>
      </c>
    </row>
    <row r="10944" spans="1:1" x14ac:dyDescent="0.25">
      <c r="A10944" t="str">
        <f t="shared" si="15"/>
        <v/>
      </c>
    </row>
    <row r="10945" spans="1:1" x14ac:dyDescent="0.25">
      <c r="A10945" t="str">
        <f t="shared" si="15"/>
        <v/>
      </c>
    </row>
    <row r="10946" spans="1:1" x14ac:dyDescent="0.25">
      <c r="A10946" t="str">
        <f t="shared" si="15"/>
        <v/>
      </c>
    </row>
    <row r="10947" spans="1:1" x14ac:dyDescent="0.25">
      <c r="A10947" t="str">
        <f t="shared" si="15"/>
        <v/>
      </c>
    </row>
    <row r="10948" spans="1:1" x14ac:dyDescent="0.25">
      <c r="A10948" t="str">
        <f t="shared" si="15"/>
        <v/>
      </c>
    </row>
    <row r="10949" spans="1:1" x14ac:dyDescent="0.25">
      <c r="A10949" t="str">
        <f t="shared" si="15"/>
        <v/>
      </c>
    </row>
    <row r="10950" spans="1:1" x14ac:dyDescent="0.25">
      <c r="A10950" t="str">
        <f t="shared" si="15"/>
        <v/>
      </c>
    </row>
    <row r="10951" spans="1:1" x14ac:dyDescent="0.25">
      <c r="A10951" t="str">
        <f t="shared" si="15"/>
        <v/>
      </c>
    </row>
    <row r="10952" spans="1:1" x14ac:dyDescent="0.25">
      <c r="A10952" t="str">
        <f t="shared" si="15"/>
        <v/>
      </c>
    </row>
    <row r="10953" spans="1:1" x14ac:dyDescent="0.25">
      <c r="A10953" t="str">
        <f t="shared" si="15"/>
        <v/>
      </c>
    </row>
    <row r="10954" spans="1:1" x14ac:dyDescent="0.25">
      <c r="A10954" t="str">
        <f t="shared" si="15"/>
        <v/>
      </c>
    </row>
    <row r="10955" spans="1:1" x14ac:dyDescent="0.25">
      <c r="A10955" t="str">
        <f t="shared" si="15"/>
        <v/>
      </c>
    </row>
    <row r="10956" spans="1:1" x14ac:dyDescent="0.25">
      <c r="A10956" t="str">
        <f t="shared" si="15"/>
        <v/>
      </c>
    </row>
    <row r="10957" spans="1:1" x14ac:dyDescent="0.25">
      <c r="A10957" t="str">
        <f t="shared" si="15"/>
        <v/>
      </c>
    </row>
    <row r="10958" spans="1:1" x14ac:dyDescent="0.25">
      <c r="A10958" t="str">
        <f t="shared" si="15"/>
        <v/>
      </c>
    </row>
    <row r="10959" spans="1:1" x14ac:dyDescent="0.25">
      <c r="A10959" t="str">
        <f t="shared" si="15"/>
        <v/>
      </c>
    </row>
    <row r="10960" spans="1:1" x14ac:dyDescent="0.25">
      <c r="A10960" t="str">
        <f t="shared" si="15"/>
        <v/>
      </c>
    </row>
    <row r="10961" spans="1:1" x14ac:dyDescent="0.25">
      <c r="A10961" t="str">
        <f t="shared" si="15"/>
        <v/>
      </c>
    </row>
    <row r="10962" spans="1:1" x14ac:dyDescent="0.25">
      <c r="A10962" t="str">
        <f t="shared" si="15"/>
        <v/>
      </c>
    </row>
    <row r="10963" spans="1:1" x14ac:dyDescent="0.25">
      <c r="A10963" t="str">
        <f t="shared" si="15"/>
        <v/>
      </c>
    </row>
    <row r="10964" spans="1:1" x14ac:dyDescent="0.25">
      <c r="A10964" t="str">
        <f t="shared" si="15"/>
        <v/>
      </c>
    </row>
    <row r="10965" spans="1:1" x14ac:dyDescent="0.25">
      <c r="A10965" t="str">
        <f t="shared" si="15"/>
        <v/>
      </c>
    </row>
    <row r="10966" spans="1:1" x14ac:dyDescent="0.25">
      <c r="A10966" t="str">
        <f t="shared" si="15"/>
        <v/>
      </c>
    </row>
    <row r="10967" spans="1:1" x14ac:dyDescent="0.25">
      <c r="A10967" t="str">
        <f t="shared" si="15"/>
        <v/>
      </c>
    </row>
    <row r="10968" spans="1:1" x14ac:dyDescent="0.25">
      <c r="A10968" t="str">
        <f t="shared" si="15"/>
        <v/>
      </c>
    </row>
    <row r="10969" spans="1:1" x14ac:dyDescent="0.25">
      <c r="A10969" t="str">
        <f t="shared" si="15"/>
        <v/>
      </c>
    </row>
    <row r="10970" spans="1:1" x14ac:dyDescent="0.25">
      <c r="A10970" t="str">
        <f t="shared" si="15"/>
        <v/>
      </c>
    </row>
    <row r="10971" spans="1:1" x14ac:dyDescent="0.25">
      <c r="A10971" t="str">
        <f t="shared" si="15"/>
        <v/>
      </c>
    </row>
    <row r="10972" spans="1:1" x14ac:dyDescent="0.25">
      <c r="A10972" t="str">
        <f t="shared" si="15"/>
        <v/>
      </c>
    </row>
    <row r="10973" spans="1:1" x14ac:dyDescent="0.25">
      <c r="A10973" t="str">
        <f t="shared" si="15"/>
        <v/>
      </c>
    </row>
    <row r="10974" spans="1:1" x14ac:dyDescent="0.25">
      <c r="A10974" t="str">
        <f t="shared" si="15"/>
        <v/>
      </c>
    </row>
    <row r="10975" spans="1:1" x14ac:dyDescent="0.25">
      <c r="A10975" t="str">
        <f t="shared" si="15"/>
        <v/>
      </c>
    </row>
    <row r="10976" spans="1:1" x14ac:dyDescent="0.25">
      <c r="A10976" t="str">
        <f t="shared" si="15"/>
        <v/>
      </c>
    </row>
    <row r="10977" spans="1:1" x14ac:dyDescent="0.25">
      <c r="A10977" t="str">
        <f t="shared" si="15"/>
        <v/>
      </c>
    </row>
    <row r="10978" spans="1:1" x14ac:dyDescent="0.25">
      <c r="A10978" t="str">
        <f t="shared" si="15"/>
        <v/>
      </c>
    </row>
    <row r="10979" spans="1:1" x14ac:dyDescent="0.25">
      <c r="A10979" t="str">
        <f t="shared" si="15"/>
        <v/>
      </c>
    </row>
    <row r="10980" spans="1:1" x14ac:dyDescent="0.25">
      <c r="A10980" t="str">
        <f t="shared" si="15"/>
        <v/>
      </c>
    </row>
    <row r="10981" spans="1:1" x14ac:dyDescent="0.25">
      <c r="A10981" t="str">
        <f t="shared" si="15"/>
        <v/>
      </c>
    </row>
    <row r="10982" spans="1:1" x14ac:dyDescent="0.25">
      <c r="A10982" t="str">
        <f t="shared" si="15"/>
        <v/>
      </c>
    </row>
    <row r="10983" spans="1:1" x14ac:dyDescent="0.25">
      <c r="A10983" t="str">
        <f t="shared" si="15"/>
        <v/>
      </c>
    </row>
    <row r="10984" spans="1:1" x14ac:dyDescent="0.25">
      <c r="A10984" t="str">
        <f t="shared" si="15"/>
        <v/>
      </c>
    </row>
    <row r="10985" spans="1:1" x14ac:dyDescent="0.25">
      <c r="A10985" t="str">
        <f t="shared" si="15"/>
        <v/>
      </c>
    </row>
    <row r="10986" spans="1:1" x14ac:dyDescent="0.25">
      <c r="A10986" t="str">
        <f t="shared" si="15"/>
        <v/>
      </c>
    </row>
    <row r="10987" spans="1:1" x14ac:dyDescent="0.25">
      <c r="A10987" t="str">
        <f t="shared" si="15"/>
        <v/>
      </c>
    </row>
    <row r="10988" spans="1:1" x14ac:dyDescent="0.25">
      <c r="A10988" t="str">
        <f t="shared" si="15"/>
        <v/>
      </c>
    </row>
    <row r="10989" spans="1:1" x14ac:dyDescent="0.25">
      <c r="A10989" t="str">
        <f t="shared" si="15"/>
        <v/>
      </c>
    </row>
    <row r="10990" spans="1:1" x14ac:dyDescent="0.25">
      <c r="A10990" t="str">
        <f t="shared" si="15"/>
        <v/>
      </c>
    </row>
    <row r="10991" spans="1:1" x14ac:dyDescent="0.25">
      <c r="A10991" t="str">
        <f t="shared" si="15"/>
        <v/>
      </c>
    </row>
    <row r="10992" spans="1:1" x14ac:dyDescent="0.25">
      <c r="A10992" t="str">
        <f t="shared" si="15"/>
        <v/>
      </c>
    </row>
    <row r="10993" spans="1:1" x14ac:dyDescent="0.25">
      <c r="A10993" t="str">
        <f t="shared" si="15"/>
        <v/>
      </c>
    </row>
    <row r="10994" spans="1:1" x14ac:dyDescent="0.25">
      <c r="A10994" t="str">
        <f t="shared" si="15"/>
        <v/>
      </c>
    </row>
    <row r="10995" spans="1:1" x14ac:dyDescent="0.25">
      <c r="A10995" t="str">
        <f t="shared" si="15"/>
        <v/>
      </c>
    </row>
    <row r="10996" spans="1:1" x14ac:dyDescent="0.25">
      <c r="A10996" t="str">
        <f t="shared" si="15"/>
        <v/>
      </c>
    </row>
    <row r="10997" spans="1:1" x14ac:dyDescent="0.25">
      <c r="A10997" t="str">
        <f t="shared" ref="A10997:A11060" si="16">B10995&amp;D10995</f>
        <v/>
      </c>
    </row>
    <row r="10998" spans="1:1" x14ac:dyDescent="0.25">
      <c r="A10998" t="str">
        <f t="shared" si="16"/>
        <v/>
      </c>
    </row>
    <row r="10999" spans="1:1" x14ac:dyDescent="0.25">
      <c r="A10999" t="str">
        <f t="shared" si="16"/>
        <v/>
      </c>
    </row>
    <row r="11000" spans="1:1" x14ac:dyDescent="0.25">
      <c r="A11000" t="str">
        <f t="shared" si="16"/>
        <v/>
      </c>
    </row>
    <row r="11001" spans="1:1" x14ac:dyDescent="0.25">
      <c r="A11001" t="str">
        <f t="shared" si="16"/>
        <v/>
      </c>
    </row>
    <row r="11002" spans="1:1" x14ac:dyDescent="0.25">
      <c r="A11002" t="str">
        <f t="shared" si="16"/>
        <v/>
      </c>
    </row>
    <row r="11003" spans="1:1" x14ac:dyDescent="0.25">
      <c r="A11003" t="str">
        <f t="shared" si="16"/>
        <v/>
      </c>
    </row>
    <row r="11004" spans="1:1" x14ac:dyDescent="0.25">
      <c r="A11004" t="str">
        <f t="shared" si="16"/>
        <v/>
      </c>
    </row>
    <row r="11005" spans="1:1" x14ac:dyDescent="0.25">
      <c r="A11005" t="str">
        <f t="shared" si="16"/>
        <v/>
      </c>
    </row>
    <row r="11006" spans="1:1" x14ac:dyDescent="0.25">
      <c r="A11006" t="str">
        <f t="shared" si="16"/>
        <v/>
      </c>
    </row>
    <row r="11007" spans="1:1" x14ac:dyDescent="0.25">
      <c r="A11007" t="str">
        <f t="shared" si="16"/>
        <v/>
      </c>
    </row>
    <row r="11008" spans="1:1" x14ac:dyDescent="0.25">
      <c r="A11008" t="str">
        <f t="shared" si="16"/>
        <v/>
      </c>
    </row>
    <row r="11009" spans="1:1" x14ac:dyDescent="0.25">
      <c r="A11009" t="str">
        <f t="shared" si="16"/>
        <v/>
      </c>
    </row>
    <row r="11010" spans="1:1" x14ac:dyDescent="0.25">
      <c r="A11010" t="str">
        <f t="shared" si="16"/>
        <v/>
      </c>
    </row>
    <row r="11011" spans="1:1" x14ac:dyDescent="0.25">
      <c r="A11011" t="str">
        <f t="shared" si="16"/>
        <v/>
      </c>
    </row>
    <row r="11012" spans="1:1" x14ac:dyDescent="0.25">
      <c r="A11012" t="str">
        <f t="shared" si="16"/>
        <v/>
      </c>
    </row>
    <row r="11013" spans="1:1" x14ac:dyDescent="0.25">
      <c r="A11013" t="str">
        <f t="shared" si="16"/>
        <v/>
      </c>
    </row>
    <row r="11014" spans="1:1" x14ac:dyDescent="0.25">
      <c r="A11014" t="str">
        <f t="shared" si="16"/>
        <v/>
      </c>
    </row>
    <row r="11015" spans="1:1" x14ac:dyDescent="0.25">
      <c r="A11015" t="str">
        <f t="shared" si="16"/>
        <v/>
      </c>
    </row>
    <row r="11016" spans="1:1" x14ac:dyDescent="0.25">
      <c r="A11016" t="str">
        <f t="shared" si="16"/>
        <v/>
      </c>
    </row>
    <row r="11017" spans="1:1" x14ac:dyDescent="0.25">
      <c r="A11017" t="str">
        <f t="shared" si="16"/>
        <v/>
      </c>
    </row>
    <row r="11018" spans="1:1" x14ac:dyDescent="0.25">
      <c r="A11018" t="str">
        <f t="shared" si="16"/>
        <v/>
      </c>
    </row>
    <row r="11019" spans="1:1" x14ac:dyDescent="0.25">
      <c r="A11019" t="str">
        <f t="shared" si="16"/>
        <v/>
      </c>
    </row>
    <row r="11020" spans="1:1" x14ac:dyDescent="0.25">
      <c r="A11020" t="str">
        <f t="shared" si="16"/>
        <v/>
      </c>
    </row>
    <row r="11021" spans="1:1" x14ac:dyDescent="0.25">
      <c r="A11021" t="str">
        <f t="shared" si="16"/>
        <v/>
      </c>
    </row>
    <row r="11022" spans="1:1" x14ac:dyDescent="0.25">
      <c r="A11022" t="str">
        <f t="shared" si="16"/>
        <v/>
      </c>
    </row>
    <row r="11023" spans="1:1" x14ac:dyDescent="0.25">
      <c r="A11023" t="str">
        <f t="shared" si="16"/>
        <v/>
      </c>
    </row>
    <row r="11024" spans="1:1" x14ac:dyDescent="0.25">
      <c r="A11024" t="str">
        <f t="shared" si="16"/>
        <v/>
      </c>
    </row>
    <row r="11025" spans="1:1" x14ac:dyDescent="0.25">
      <c r="A11025" t="str">
        <f t="shared" si="16"/>
        <v/>
      </c>
    </row>
    <row r="11026" spans="1:1" x14ac:dyDescent="0.25">
      <c r="A11026" t="str">
        <f t="shared" si="16"/>
        <v/>
      </c>
    </row>
    <row r="11027" spans="1:1" x14ac:dyDescent="0.25">
      <c r="A11027" t="str">
        <f t="shared" si="16"/>
        <v/>
      </c>
    </row>
    <row r="11028" spans="1:1" x14ac:dyDescent="0.25">
      <c r="A11028" t="str">
        <f t="shared" si="16"/>
        <v/>
      </c>
    </row>
    <row r="11029" spans="1:1" x14ac:dyDescent="0.25">
      <c r="A11029" t="str">
        <f t="shared" si="16"/>
        <v/>
      </c>
    </row>
    <row r="11030" spans="1:1" x14ac:dyDescent="0.25">
      <c r="A11030" t="str">
        <f t="shared" si="16"/>
        <v/>
      </c>
    </row>
    <row r="11031" spans="1:1" x14ac:dyDescent="0.25">
      <c r="A11031" t="str">
        <f t="shared" si="16"/>
        <v/>
      </c>
    </row>
    <row r="11032" spans="1:1" x14ac:dyDescent="0.25">
      <c r="A11032" t="str">
        <f t="shared" si="16"/>
        <v/>
      </c>
    </row>
    <row r="11033" spans="1:1" x14ac:dyDescent="0.25">
      <c r="A11033" t="str">
        <f t="shared" si="16"/>
        <v/>
      </c>
    </row>
    <row r="11034" spans="1:1" x14ac:dyDescent="0.25">
      <c r="A11034" t="str">
        <f t="shared" si="16"/>
        <v/>
      </c>
    </row>
    <row r="11035" spans="1:1" x14ac:dyDescent="0.25">
      <c r="A11035" t="str">
        <f t="shared" si="16"/>
        <v/>
      </c>
    </row>
    <row r="11036" spans="1:1" x14ac:dyDescent="0.25">
      <c r="A11036" t="str">
        <f t="shared" si="16"/>
        <v/>
      </c>
    </row>
    <row r="11037" spans="1:1" x14ac:dyDescent="0.25">
      <c r="A11037" t="str">
        <f t="shared" si="16"/>
        <v/>
      </c>
    </row>
    <row r="11038" spans="1:1" x14ac:dyDescent="0.25">
      <c r="A11038" t="str">
        <f t="shared" si="16"/>
        <v/>
      </c>
    </row>
    <row r="11039" spans="1:1" x14ac:dyDescent="0.25">
      <c r="A11039" t="str">
        <f t="shared" si="16"/>
        <v/>
      </c>
    </row>
    <row r="11040" spans="1:1" x14ac:dyDescent="0.25">
      <c r="A11040" t="str">
        <f t="shared" si="16"/>
        <v/>
      </c>
    </row>
    <row r="11041" spans="1:1" x14ac:dyDescent="0.25">
      <c r="A11041" t="str">
        <f t="shared" si="16"/>
        <v/>
      </c>
    </row>
    <row r="11042" spans="1:1" x14ac:dyDescent="0.25">
      <c r="A11042" t="str">
        <f t="shared" si="16"/>
        <v/>
      </c>
    </row>
    <row r="11043" spans="1:1" x14ac:dyDescent="0.25">
      <c r="A11043" t="str">
        <f t="shared" si="16"/>
        <v/>
      </c>
    </row>
    <row r="11044" spans="1:1" x14ac:dyDescent="0.25">
      <c r="A11044" t="str">
        <f t="shared" si="16"/>
        <v/>
      </c>
    </row>
    <row r="11045" spans="1:1" x14ac:dyDescent="0.25">
      <c r="A11045" t="str">
        <f t="shared" si="16"/>
        <v/>
      </c>
    </row>
    <row r="11046" spans="1:1" x14ac:dyDescent="0.25">
      <c r="A11046" t="str">
        <f t="shared" si="16"/>
        <v/>
      </c>
    </row>
    <row r="11047" spans="1:1" x14ac:dyDescent="0.25">
      <c r="A11047" t="str">
        <f t="shared" si="16"/>
        <v/>
      </c>
    </row>
    <row r="11048" spans="1:1" x14ac:dyDescent="0.25">
      <c r="A11048" t="str">
        <f t="shared" si="16"/>
        <v/>
      </c>
    </row>
    <row r="11049" spans="1:1" x14ac:dyDescent="0.25">
      <c r="A11049" t="str">
        <f t="shared" si="16"/>
        <v/>
      </c>
    </row>
    <row r="11050" spans="1:1" x14ac:dyDescent="0.25">
      <c r="A11050" t="str">
        <f t="shared" si="16"/>
        <v/>
      </c>
    </row>
    <row r="11051" spans="1:1" x14ac:dyDescent="0.25">
      <c r="A11051" t="str">
        <f t="shared" si="16"/>
        <v/>
      </c>
    </row>
    <row r="11052" spans="1:1" x14ac:dyDescent="0.25">
      <c r="A11052" t="str">
        <f t="shared" si="16"/>
        <v/>
      </c>
    </row>
    <row r="11053" spans="1:1" x14ac:dyDescent="0.25">
      <c r="A11053" t="str">
        <f t="shared" si="16"/>
        <v/>
      </c>
    </row>
    <row r="11054" spans="1:1" x14ac:dyDescent="0.25">
      <c r="A11054" t="str">
        <f t="shared" si="16"/>
        <v/>
      </c>
    </row>
    <row r="11055" spans="1:1" x14ac:dyDescent="0.25">
      <c r="A11055" t="str">
        <f t="shared" si="16"/>
        <v/>
      </c>
    </row>
    <row r="11056" spans="1:1" x14ac:dyDescent="0.25">
      <c r="A11056" t="str">
        <f t="shared" si="16"/>
        <v/>
      </c>
    </row>
    <row r="11057" spans="1:1" x14ac:dyDescent="0.25">
      <c r="A11057" t="str">
        <f t="shared" si="16"/>
        <v/>
      </c>
    </row>
    <row r="11058" spans="1:1" x14ac:dyDescent="0.25">
      <c r="A11058" t="str">
        <f t="shared" si="16"/>
        <v/>
      </c>
    </row>
    <row r="11059" spans="1:1" x14ac:dyDescent="0.25">
      <c r="A11059" t="str">
        <f t="shared" si="16"/>
        <v/>
      </c>
    </row>
    <row r="11060" spans="1:1" x14ac:dyDescent="0.25">
      <c r="A11060" t="str">
        <f t="shared" si="16"/>
        <v/>
      </c>
    </row>
    <row r="11061" spans="1:1" x14ac:dyDescent="0.25">
      <c r="A11061" t="str">
        <f t="shared" ref="A11061:A11124" si="17">B11059&amp;D11059</f>
        <v/>
      </c>
    </row>
    <row r="11062" spans="1:1" x14ac:dyDescent="0.25">
      <c r="A11062" t="str">
        <f t="shared" si="17"/>
        <v/>
      </c>
    </row>
    <row r="11063" spans="1:1" x14ac:dyDescent="0.25">
      <c r="A11063" t="str">
        <f t="shared" si="17"/>
        <v/>
      </c>
    </row>
    <row r="11064" spans="1:1" x14ac:dyDescent="0.25">
      <c r="A11064" t="str">
        <f t="shared" si="17"/>
        <v/>
      </c>
    </row>
    <row r="11065" spans="1:1" x14ac:dyDescent="0.25">
      <c r="A11065" t="str">
        <f t="shared" si="17"/>
        <v/>
      </c>
    </row>
    <row r="11066" spans="1:1" x14ac:dyDescent="0.25">
      <c r="A11066" t="str">
        <f t="shared" si="17"/>
        <v/>
      </c>
    </row>
    <row r="11067" spans="1:1" x14ac:dyDescent="0.25">
      <c r="A11067" t="str">
        <f t="shared" si="17"/>
        <v/>
      </c>
    </row>
    <row r="11068" spans="1:1" x14ac:dyDescent="0.25">
      <c r="A11068" t="str">
        <f t="shared" si="17"/>
        <v/>
      </c>
    </row>
    <row r="11069" spans="1:1" x14ac:dyDescent="0.25">
      <c r="A11069" t="str">
        <f t="shared" si="17"/>
        <v/>
      </c>
    </row>
    <row r="11070" spans="1:1" x14ac:dyDescent="0.25">
      <c r="A11070" t="str">
        <f t="shared" si="17"/>
        <v/>
      </c>
    </row>
    <row r="11071" spans="1:1" x14ac:dyDescent="0.25">
      <c r="A11071" t="str">
        <f t="shared" si="17"/>
        <v/>
      </c>
    </row>
    <row r="11072" spans="1:1" x14ac:dyDescent="0.25">
      <c r="A11072" t="str">
        <f t="shared" si="17"/>
        <v/>
      </c>
    </row>
    <row r="11073" spans="1:1" x14ac:dyDescent="0.25">
      <c r="A11073" t="str">
        <f t="shared" si="17"/>
        <v/>
      </c>
    </row>
    <row r="11074" spans="1:1" x14ac:dyDescent="0.25">
      <c r="A11074" t="str">
        <f t="shared" si="17"/>
        <v/>
      </c>
    </row>
    <row r="11075" spans="1:1" x14ac:dyDescent="0.25">
      <c r="A11075" t="str">
        <f t="shared" si="17"/>
        <v/>
      </c>
    </row>
    <row r="11076" spans="1:1" x14ac:dyDescent="0.25">
      <c r="A11076" t="str">
        <f t="shared" si="17"/>
        <v/>
      </c>
    </row>
    <row r="11077" spans="1:1" x14ac:dyDescent="0.25">
      <c r="A11077" t="str">
        <f t="shared" si="17"/>
        <v/>
      </c>
    </row>
    <row r="11078" spans="1:1" x14ac:dyDescent="0.25">
      <c r="A11078" t="str">
        <f t="shared" si="17"/>
        <v/>
      </c>
    </row>
    <row r="11079" spans="1:1" x14ac:dyDescent="0.25">
      <c r="A11079" t="str">
        <f t="shared" si="17"/>
        <v/>
      </c>
    </row>
    <row r="11080" spans="1:1" x14ac:dyDescent="0.25">
      <c r="A11080" t="str">
        <f t="shared" si="17"/>
        <v/>
      </c>
    </row>
    <row r="11081" spans="1:1" x14ac:dyDescent="0.25">
      <c r="A11081" t="str">
        <f t="shared" si="17"/>
        <v/>
      </c>
    </row>
    <row r="11082" spans="1:1" x14ac:dyDescent="0.25">
      <c r="A11082" t="str">
        <f t="shared" si="17"/>
        <v/>
      </c>
    </row>
    <row r="11083" spans="1:1" x14ac:dyDescent="0.25">
      <c r="A11083" t="str">
        <f t="shared" si="17"/>
        <v/>
      </c>
    </row>
    <row r="11084" spans="1:1" x14ac:dyDescent="0.25">
      <c r="A11084" t="str">
        <f t="shared" si="17"/>
        <v/>
      </c>
    </row>
    <row r="11085" spans="1:1" x14ac:dyDescent="0.25">
      <c r="A11085" t="str">
        <f t="shared" si="17"/>
        <v/>
      </c>
    </row>
    <row r="11086" spans="1:1" x14ac:dyDescent="0.25">
      <c r="A11086" t="str">
        <f t="shared" si="17"/>
        <v/>
      </c>
    </row>
    <row r="11087" spans="1:1" x14ac:dyDescent="0.25">
      <c r="A11087" t="str">
        <f t="shared" si="17"/>
        <v/>
      </c>
    </row>
    <row r="11088" spans="1:1" x14ac:dyDescent="0.25">
      <c r="A11088" t="str">
        <f t="shared" si="17"/>
        <v/>
      </c>
    </row>
    <row r="11089" spans="1:1" x14ac:dyDescent="0.25">
      <c r="A11089" t="str">
        <f t="shared" si="17"/>
        <v/>
      </c>
    </row>
    <row r="11090" spans="1:1" x14ac:dyDescent="0.25">
      <c r="A11090" t="str">
        <f t="shared" si="17"/>
        <v/>
      </c>
    </row>
    <row r="11091" spans="1:1" x14ac:dyDescent="0.25">
      <c r="A11091" t="str">
        <f t="shared" si="17"/>
        <v/>
      </c>
    </row>
    <row r="11092" spans="1:1" x14ac:dyDescent="0.25">
      <c r="A11092" t="str">
        <f t="shared" si="17"/>
        <v/>
      </c>
    </row>
    <row r="11093" spans="1:1" x14ac:dyDescent="0.25">
      <c r="A11093" t="str">
        <f t="shared" si="17"/>
        <v/>
      </c>
    </row>
    <row r="11094" spans="1:1" x14ac:dyDescent="0.25">
      <c r="A11094" t="str">
        <f t="shared" si="17"/>
        <v/>
      </c>
    </row>
    <row r="11095" spans="1:1" x14ac:dyDescent="0.25">
      <c r="A11095" t="str">
        <f t="shared" si="17"/>
        <v/>
      </c>
    </row>
    <row r="11096" spans="1:1" x14ac:dyDescent="0.25">
      <c r="A11096" t="str">
        <f t="shared" si="17"/>
        <v/>
      </c>
    </row>
    <row r="11097" spans="1:1" x14ac:dyDescent="0.25">
      <c r="A11097" t="str">
        <f t="shared" si="17"/>
        <v/>
      </c>
    </row>
    <row r="11098" spans="1:1" x14ac:dyDescent="0.25">
      <c r="A11098" t="str">
        <f t="shared" si="17"/>
        <v/>
      </c>
    </row>
    <row r="11099" spans="1:1" x14ac:dyDescent="0.25">
      <c r="A11099" t="str">
        <f t="shared" si="17"/>
        <v/>
      </c>
    </row>
    <row r="11100" spans="1:1" x14ac:dyDescent="0.25">
      <c r="A11100" t="str">
        <f t="shared" si="17"/>
        <v/>
      </c>
    </row>
    <row r="11101" spans="1:1" x14ac:dyDescent="0.25">
      <c r="A11101" t="str">
        <f t="shared" si="17"/>
        <v/>
      </c>
    </row>
    <row r="11102" spans="1:1" x14ac:dyDescent="0.25">
      <c r="A11102" t="str">
        <f t="shared" si="17"/>
        <v/>
      </c>
    </row>
    <row r="11103" spans="1:1" x14ac:dyDescent="0.25">
      <c r="A11103" t="str">
        <f t="shared" si="17"/>
        <v/>
      </c>
    </row>
    <row r="11104" spans="1:1" x14ac:dyDescent="0.25">
      <c r="A11104" t="str">
        <f t="shared" si="17"/>
        <v/>
      </c>
    </row>
    <row r="11105" spans="1:1" x14ac:dyDescent="0.25">
      <c r="A11105" t="str">
        <f t="shared" si="17"/>
        <v/>
      </c>
    </row>
    <row r="11106" spans="1:1" x14ac:dyDescent="0.25">
      <c r="A11106" t="str">
        <f t="shared" si="17"/>
        <v/>
      </c>
    </row>
    <row r="11107" spans="1:1" x14ac:dyDescent="0.25">
      <c r="A11107" t="str">
        <f t="shared" si="17"/>
        <v/>
      </c>
    </row>
    <row r="11108" spans="1:1" x14ac:dyDescent="0.25">
      <c r="A11108" t="str">
        <f t="shared" si="17"/>
        <v/>
      </c>
    </row>
    <row r="11109" spans="1:1" x14ac:dyDescent="0.25">
      <c r="A11109" t="str">
        <f t="shared" si="17"/>
        <v/>
      </c>
    </row>
    <row r="11110" spans="1:1" x14ac:dyDescent="0.25">
      <c r="A11110" t="str">
        <f t="shared" si="17"/>
        <v/>
      </c>
    </row>
    <row r="11111" spans="1:1" x14ac:dyDescent="0.25">
      <c r="A11111" t="str">
        <f t="shared" si="17"/>
        <v/>
      </c>
    </row>
    <row r="11112" spans="1:1" x14ac:dyDescent="0.25">
      <c r="A11112" t="str">
        <f t="shared" si="17"/>
        <v/>
      </c>
    </row>
    <row r="11113" spans="1:1" x14ac:dyDescent="0.25">
      <c r="A11113" t="str">
        <f t="shared" si="17"/>
        <v/>
      </c>
    </row>
    <row r="11114" spans="1:1" x14ac:dyDescent="0.25">
      <c r="A11114" t="str">
        <f t="shared" si="17"/>
        <v/>
      </c>
    </row>
    <row r="11115" spans="1:1" x14ac:dyDescent="0.25">
      <c r="A11115" t="str">
        <f t="shared" si="17"/>
        <v/>
      </c>
    </row>
    <row r="11116" spans="1:1" x14ac:dyDescent="0.25">
      <c r="A11116" t="str">
        <f t="shared" si="17"/>
        <v/>
      </c>
    </row>
    <row r="11117" spans="1:1" x14ac:dyDescent="0.25">
      <c r="A11117" t="str">
        <f t="shared" si="17"/>
        <v/>
      </c>
    </row>
    <row r="11118" spans="1:1" x14ac:dyDescent="0.25">
      <c r="A11118" t="str">
        <f t="shared" si="17"/>
        <v/>
      </c>
    </row>
    <row r="11119" spans="1:1" x14ac:dyDescent="0.25">
      <c r="A11119" t="str">
        <f t="shared" si="17"/>
        <v/>
      </c>
    </row>
    <row r="11120" spans="1:1" x14ac:dyDescent="0.25">
      <c r="A11120" t="str">
        <f t="shared" si="17"/>
        <v/>
      </c>
    </row>
    <row r="11121" spans="1:1" x14ac:dyDescent="0.25">
      <c r="A11121" t="str">
        <f t="shared" si="17"/>
        <v/>
      </c>
    </row>
    <row r="11122" spans="1:1" x14ac:dyDescent="0.25">
      <c r="A11122" t="str">
        <f t="shared" si="17"/>
        <v/>
      </c>
    </row>
    <row r="11123" spans="1:1" x14ac:dyDescent="0.25">
      <c r="A11123" t="str">
        <f t="shared" si="17"/>
        <v/>
      </c>
    </row>
    <row r="11124" spans="1:1" x14ac:dyDescent="0.25">
      <c r="A11124" t="str">
        <f t="shared" si="17"/>
        <v/>
      </c>
    </row>
    <row r="11125" spans="1:1" x14ac:dyDescent="0.25">
      <c r="A11125" t="str">
        <f t="shared" ref="A11125:A11188" si="18">B11123&amp;D11123</f>
        <v/>
      </c>
    </row>
    <row r="11126" spans="1:1" x14ac:dyDescent="0.25">
      <c r="A11126" t="str">
        <f t="shared" si="18"/>
        <v/>
      </c>
    </row>
    <row r="11127" spans="1:1" x14ac:dyDescent="0.25">
      <c r="A11127" t="str">
        <f t="shared" si="18"/>
        <v/>
      </c>
    </row>
    <row r="11128" spans="1:1" x14ac:dyDescent="0.25">
      <c r="A11128" t="str">
        <f t="shared" si="18"/>
        <v/>
      </c>
    </row>
    <row r="11129" spans="1:1" x14ac:dyDescent="0.25">
      <c r="A11129" t="str">
        <f t="shared" si="18"/>
        <v/>
      </c>
    </row>
    <row r="11130" spans="1:1" x14ac:dyDescent="0.25">
      <c r="A11130" t="str">
        <f t="shared" si="18"/>
        <v/>
      </c>
    </row>
    <row r="11131" spans="1:1" x14ac:dyDescent="0.25">
      <c r="A11131" t="str">
        <f t="shared" si="18"/>
        <v/>
      </c>
    </row>
    <row r="11132" spans="1:1" x14ac:dyDescent="0.25">
      <c r="A11132" t="str">
        <f t="shared" si="18"/>
        <v/>
      </c>
    </row>
    <row r="11133" spans="1:1" x14ac:dyDescent="0.25">
      <c r="A11133" t="str">
        <f t="shared" si="18"/>
        <v/>
      </c>
    </row>
    <row r="11134" spans="1:1" x14ac:dyDescent="0.25">
      <c r="A11134" t="str">
        <f t="shared" si="18"/>
        <v/>
      </c>
    </row>
    <row r="11135" spans="1:1" x14ac:dyDescent="0.25">
      <c r="A11135" t="str">
        <f t="shared" si="18"/>
        <v/>
      </c>
    </row>
    <row r="11136" spans="1:1" x14ac:dyDescent="0.25">
      <c r="A11136" t="str">
        <f t="shared" si="18"/>
        <v/>
      </c>
    </row>
    <row r="11137" spans="1:1" x14ac:dyDescent="0.25">
      <c r="A11137" t="str">
        <f t="shared" si="18"/>
        <v/>
      </c>
    </row>
    <row r="11138" spans="1:1" x14ac:dyDescent="0.25">
      <c r="A11138" t="str">
        <f t="shared" si="18"/>
        <v/>
      </c>
    </row>
    <row r="11139" spans="1:1" x14ac:dyDescent="0.25">
      <c r="A11139" t="str">
        <f t="shared" si="18"/>
        <v/>
      </c>
    </row>
    <row r="11140" spans="1:1" x14ac:dyDescent="0.25">
      <c r="A11140" t="str">
        <f t="shared" si="18"/>
        <v/>
      </c>
    </row>
    <row r="11141" spans="1:1" x14ac:dyDescent="0.25">
      <c r="A11141" t="str">
        <f t="shared" si="18"/>
        <v/>
      </c>
    </row>
    <row r="11142" spans="1:1" x14ac:dyDescent="0.25">
      <c r="A11142" t="str">
        <f t="shared" si="18"/>
        <v/>
      </c>
    </row>
    <row r="11143" spans="1:1" x14ac:dyDescent="0.25">
      <c r="A11143" t="str">
        <f t="shared" si="18"/>
        <v/>
      </c>
    </row>
    <row r="11144" spans="1:1" x14ac:dyDescent="0.25">
      <c r="A11144" t="str">
        <f t="shared" si="18"/>
        <v/>
      </c>
    </row>
    <row r="11145" spans="1:1" x14ac:dyDescent="0.25">
      <c r="A11145" t="str">
        <f t="shared" si="18"/>
        <v/>
      </c>
    </row>
    <row r="11146" spans="1:1" x14ac:dyDescent="0.25">
      <c r="A11146" t="str">
        <f t="shared" si="18"/>
        <v/>
      </c>
    </row>
    <row r="11147" spans="1:1" x14ac:dyDescent="0.25">
      <c r="A11147" t="str">
        <f t="shared" si="18"/>
        <v/>
      </c>
    </row>
    <row r="11148" spans="1:1" x14ac:dyDescent="0.25">
      <c r="A11148" t="str">
        <f t="shared" si="18"/>
        <v/>
      </c>
    </row>
    <row r="11149" spans="1:1" x14ac:dyDescent="0.25">
      <c r="A11149" t="str">
        <f t="shared" si="18"/>
        <v/>
      </c>
    </row>
    <row r="11150" spans="1:1" x14ac:dyDescent="0.25">
      <c r="A11150" t="str">
        <f t="shared" si="18"/>
        <v/>
      </c>
    </row>
    <row r="11151" spans="1:1" x14ac:dyDescent="0.25">
      <c r="A11151" t="str">
        <f t="shared" si="18"/>
        <v/>
      </c>
    </row>
    <row r="11152" spans="1:1" x14ac:dyDescent="0.25">
      <c r="A11152" t="str">
        <f t="shared" si="18"/>
        <v/>
      </c>
    </row>
    <row r="11153" spans="1:1" x14ac:dyDescent="0.25">
      <c r="A11153" t="str">
        <f t="shared" si="18"/>
        <v/>
      </c>
    </row>
    <row r="11154" spans="1:1" x14ac:dyDescent="0.25">
      <c r="A11154" t="str">
        <f t="shared" si="18"/>
        <v/>
      </c>
    </row>
    <row r="11155" spans="1:1" x14ac:dyDescent="0.25">
      <c r="A11155" t="str">
        <f t="shared" si="18"/>
        <v/>
      </c>
    </row>
    <row r="11156" spans="1:1" x14ac:dyDescent="0.25">
      <c r="A11156" t="str">
        <f t="shared" si="18"/>
        <v/>
      </c>
    </row>
    <row r="11157" spans="1:1" x14ac:dyDescent="0.25">
      <c r="A11157" t="str">
        <f t="shared" si="18"/>
        <v/>
      </c>
    </row>
    <row r="11158" spans="1:1" x14ac:dyDescent="0.25">
      <c r="A11158" t="str">
        <f t="shared" si="18"/>
        <v/>
      </c>
    </row>
    <row r="11159" spans="1:1" x14ac:dyDescent="0.25">
      <c r="A11159" t="str">
        <f t="shared" si="18"/>
        <v/>
      </c>
    </row>
    <row r="11160" spans="1:1" x14ac:dyDescent="0.25">
      <c r="A11160" t="str">
        <f t="shared" si="18"/>
        <v/>
      </c>
    </row>
    <row r="11161" spans="1:1" x14ac:dyDescent="0.25">
      <c r="A11161" t="str">
        <f t="shared" si="18"/>
        <v/>
      </c>
    </row>
    <row r="11162" spans="1:1" x14ac:dyDescent="0.25">
      <c r="A11162" t="str">
        <f t="shared" si="18"/>
        <v/>
      </c>
    </row>
    <row r="11163" spans="1:1" x14ac:dyDescent="0.25">
      <c r="A11163" t="str">
        <f t="shared" si="18"/>
        <v/>
      </c>
    </row>
    <row r="11164" spans="1:1" x14ac:dyDescent="0.25">
      <c r="A11164" t="str">
        <f t="shared" si="18"/>
        <v/>
      </c>
    </row>
    <row r="11165" spans="1:1" x14ac:dyDescent="0.25">
      <c r="A11165" t="str">
        <f t="shared" si="18"/>
        <v/>
      </c>
    </row>
    <row r="11166" spans="1:1" x14ac:dyDescent="0.25">
      <c r="A11166" t="str">
        <f t="shared" si="18"/>
        <v/>
      </c>
    </row>
    <row r="11167" spans="1:1" x14ac:dyDescent="0.25">
      <c r="A11167" t="str">
        <f t="shared" si="18"/>
        <v/>
      </c>
    </row>
    <row r="11168" spans="1:1" x14ac:dyDescent="0.25">
      <c r="A11168" t="str">
        <f t="shared" si="18"/>
        <v/>
      </c>
    </row>
    <row r="11169" spans="1:1" x14ac:dyDescent="0.25">
      <c r="A11169" t="str">
        <f t="shared" si="18"/>
        <v/>
      </c>
    </row>
    <row r="11170" spans="1:1" x14ac:dyDescent="0.25">
      <c r="A11170" t="str">
        <f t="shared" si="18"/>
        <v/>
      </c>
    </row>
    <row r="11171" spans="1:1" x14ac:dyDescent="0.25">
      <c r="A11171" t="str">
        <f t="shared" si="18"/>
        <v/>
      </c>
    </row>
    <row r="11172" spans="1:1" x14ac:dyDescent="0.25">
      <c r="A11172" t="str">
        <f t="shared" si="18"/>
        <v/>
      </c>
    </row>
    <row r="11173" spans="1:1" x14ac:dyDescent="0.25">
      <c r="A11173" t="str">
        <f t="shared" si="18"/>
        <v/>
      </c>
    </row>
    <row r="11174" spans="1:1" x14ac:dyDescent="0.25">
      <c r="A11174" t="str">
        <f t="shared" si="18"/>
        <v/>
      </c>
    </row>
    <row r="11175" spans="1:1" x14ac:dyDescent="0.25">
      <c r="A11175" t="str">
        <f t="shared" si="18"/>
        <v/>
      </c>
    </row>
    <row r="11176" spans="1:1" x14ac:dyDescent="0.25">
      <c r="A11176" t="str">
        <f t="shared" si="18"/>
        <v/>
      </c>
    </row>
    <row r="11177" spans="1:1" x14ac:dyDescent="0.25">
      <c r="A11177" t="str">
        <f t="shared" si="18"/>
        <v/>
      </c>
    </row>
    <row r="11178" spans="1:1" x14ac:dyDescent="0.25">
      <c r="A11178" t="str">
        <f t="shared" si="18"/>
        <v/>
      </c>
    </row>
    <row r="11179" spans="1:1" x14ac:dyDescent="0.25">
      <c r="A11179" t="str">
        <f t="shared" si="18"/>
        <v/>
      </c>
    </row>
    <row r="11180" spans="1:1" x14ac:dyDescent="0.25">
      <c r="A11180" t="str">
        <f t="shared" si="18"/>
        <v/>
      </c>
    </row>
    <row r="11181" spans="1:1" x14ac:dyDescent="0.25">
      <c r="A11181" t="str">
        <f t="shared" si="18"/>
        <v/>
      </c>
    </row>
    <row r="11182" spans="1:1" x14ac:dyDescent="0.25">
      <c r="A11182" t="str">
        <f t="shared" si="18"/>
        <v/>
      </c>
    </row>
    <row r="11183" spans="1:1" x14ac:dyDescent="0.25">
      <c r="A11183" t="str">
        <f t="shared" si="18"/>
        <v/>
      </c>
    </row>
    <row r="11184" spans="1:1" x14ac:dyDescent="0.25">
      <c r="A11184" t="str">
        <f t="shared" si="18"/>
        <v/>
      </c>
    </row>
    <row r="11185" spans="1:1" x14ac:dyDescent="0.25">
      <c r="A11185" t="str">
        <f t="shared" si="18"/>
        <v/>
      </c>
    </row>
    <row r="11186" spans="1:1" x14ac:dyDescent="0.25">
      <c r="A11186" t="str">
        <f t="shared" si="18"/>
        <v/>
      </c>
    </row>
    <row r="11187" spans="1:1" x14ac:dyDescent="0.25">
      <c r="A11187" t="str">
        <f t="shared" si="18"/>
        <v/>
      </c>
    </row>
    <row r="11188" spans="1:1" x14ac:dyDescent="0.25">
      <c r="A11188" t="str">
        <f t="shared" si="18"/>
        <v/>
      </c>
    </row>
    <row r="11189" spans="1:1" x14ac:dyDescent="0.25">
      <c r="A11189" t="str">
        <f t="shared" ref="A11189:A11252" si="19">B11187&amp;D11187</f>
        <v/>
      </c>
    </row>
    <row r="11190" spans="1:1" x14ac:dyDescent="0.25">
      <c r="A11190" t="str">
        <f t="shared" si="19"/>
        <v/>
      </c>
    </row>
    <row r="11191" spans="1:1" x14ac:dyDescent="0.25">
      <c r="A11191" t="str">
        <f t="shared" si="19"/>
        <v/>
      </c>
    </row>
    <row r="11192" spans="1:1" x14ac:dyDescent="0.25">
      <c r="A11192" t="str">
        <f t="shared" si="19"/>
        <v/>
      </c>
    </row>
    <row r="11193" spans="1:1" x14ac:dyDescent="0.25">
      <c r="A11193" t="str">
        <f t="shared" si="19"/>
        <v/>
      </c>
    </row>
    <row r="11194" spans="1:1" x14ac:dyDescent="0.25">
      <c r="A11194" t="str">
        <f t="shared" si="19"/>
        <v/>
      </c>
    </row>
    <row r="11195" spans="1:1" x14ac:dyDescent="0.25">
      <c r="A11195" t="str">
        <f t="shared" si="19"/>
        <v/>
      </c>
    </row>
    <row r="11196" spans="1:1" x14ac:dyDescent="0.25">
      <c r="A11196" t="str">
        <f t="shared" si="19"/>
        <v/>
      </c>
    </row>
    <row r="11197" spans="1:1" x14ac:dyDescent="0.25">
      <c r="A11197" t="str">
        <f t="shared" si="19"/>
        <v/>
      </c>
    </row>
    <row r="11198" spans="1:1" x14ac:dyDescent="0.25">
      <c r="A11198" t="str">
        <f t="shared" si="19"/>
        <v/>
      </c>
    </row>
    <row r="11199" spans="1:1" x14ac:dyDescent="0.25">
      <c r="A11199" t="str">
        <f t="shared" si="19"/>
        <v/>
      </c>
    </row>
    <row r="11200" spans="1:1" x14ac:dyDescent="0.25">
      <c r="A11200" t="str">
        <f t="shared" si="19"/>
        <v/>
      </c>
    </row>
    <row r="11201" spans="1:1" x14ac:dyDescent="0.25">
      <c r="A11201" t="str">
        <f t="shared" si="19"/>
        <v/>
      </c>
    </row>
    <row r="11202" spans="1:1" x14ac:dyDescent="0.25">
      <c r="A11202" t="str">
        <f t="shared" si="19"/>
        <v/>
      </c>
    </row>
    <row r="11203" spans="1:1" x14ac:dyDescent="0.25">
      <c r="A11203" t="str">
        <f t="shared" si="19"/>
        <v/>
      </c>
    </row>
    <row r="11204" spans="1:1" x14ac:dyDescent="0.25">
      <c r="A11204" t="str">
        <f t="shared" si="19"/>
        <v/>
      </c>
    </row>
    <row r="11205" spans="1:1" x14ac:dyDescent="0.25">
      <c r="A11205" t="str">
        <f t="shared" si="19"/>
        <v/>
      </c>
    </row>
    <row r="11206" spans="1:1" x14ac:dyDescent="0.25">
      <c r="A11206" t="str">
        <f t="shared" si="19"/>
        <v/>
      </c>
    </row>
    <row r="11207" spans="1:1" x14ac:dyDescent="0.25">
      <c r="A11207" t="str">
        <f t="shared" si="19"/>
        <v/>
      </c>
    </row>
    <row r="11208" spans="1:1" x14ac:dyDescent="0.25">
      <c r="A11208" t="str">
        <f t="shared" si="19"/>
        <v/>
      </c>
    </row>
    <row r="11209" spans="1:1" x14ac:dyDescent="0.25">
      <c r="A11209" t="str">
        <f t="shared" si="19"/>
        <v/>
      </c>
    </row>
    <row r="11210" spans="1:1" x14ac:dyDescent="0.25">
      <c r="A11210" t="str">
        <f t="shared" si="19"/>
        <v/>
      </c>
    </row>
    <row r="11211" spans="1:1" x14ac:dyDescent="0.25">
      <c r="A11211" t="str">
        <f t="shared" si="19"/>
        <v/>
      </c>
    </row>
    <row r="11212" spans="1:1" x14ac:dyDescent="0.25">
      <c r="A11212" t="str">
        <f t="shared" si="19"/>
        <v/>
      </c>
    </row>
    <row r="11213" spans="1:1" x14ac:dyDescent="0.25">
      <c r="A11213" t="str">
        <f t="shared" si="19"/>
        <v/>
      </c>
    </row>
    <row r="11214" spans="1:1" x14ac:dyDescent="0.25">
      <c r="A11214" t="str">
        <f t="shared" si="19"/>
        <v/>
      </c>
    </row>
    <row r="11215" spans="1:1" x14ac:dyDescent="0.25">
      <c r="A11215" t="str">
        <f t="shared" si="19"/>
        <v/>
      </c>
    </row>
    <row r="11216" spans="1:1" x14ac:dyDescent="0.25">
      <c r="A11216" t="str">
        <f t="shared" si="19"/>
        <v/>
      </c>
    </row>
    <row r="11217" spans="1:1" x14ac:dyDescent="0.25">
      <c r="A11217" t="str">
        <f t="shared" si="19"/>
        <v/>
      </c>
    </row>
    <row r="11218" spans="1:1" x14ac:dyDescent="0.25">
      <c r="A11218" t="str">
        <f t="shared" si="19"/>
        <v/>
      </c>
    </row>
    <row r="11219" spans="1:1" x14ac:dyDescent="0.25">
      <c r="A11219" t="str">
        <f t="shared" si="19"/>
        <v/>
      </c>
    </row>
    <row r="11220" spans="1:1" x14ac:dyDescent="0.25">
      <c r="A11220" t="str">
        <f t="shared" si="19"/>
        <v/>
      </c>
    </row>
    <row r="11221" spans="1:1" x14ac:dyDescent="0.25">
      <c r="A11221" t="str">
        <f t="shared" si="19"/>
        <v/>
      </c>
    </row>
    <row r="11222" spans="1:1" x14ac:dyDescent="0.25">
      <c r="A11222" t="str">
        <f t="shared" si="19"/>
        <v/>
      </c>
    </row>
    <row r="11223" spans="1:1" x14ac:dyDescent="0.25">
      <c r="A11223" t="str">
        <f t="shared" si="19"/>
        <v/>
      </c>
    </row>
    <row r="11224" spans="1:1" x14ac:dyDescent="0.25">
      <c r="A11224" t="str">
        <f t="shared" si="19"/>
        <v/>
      </c>
    </row>
    <row r="11225" spans="1:1" x14ac:dyDescent="0.25">
      <c r="A11225" t="str">
        <f t="shared" si="19"/>
        <v/>
      </c>
    </row>
    <row r="11226" spans="1:1" x14ac:dyDescent="0.25">
      <c r="A11226" t="str">
        <f t="shared" si="19"/>
        <v/>
      </c>
    </row>
    <row r="11227" spans="1:1" x14ac:dyDescent="0.25">
      <c r="A11227" t="str">
        <f t="shared" si="19"/>
        <v/>
      </c>
    </row>
    <row r="11228" spans="1:1" x14ac:dyDescent="0.25">
      <c r="A11228" t="str">
        <f t="shared" si="19"/>
        <v/>
      </c>
    </row>
    <row r="11229" spans="1:1" x14ac:dyDescent="0.25">
      <c r="A11229" t="str">
        <f t="shared" si="19"/>
        <v/>
      </c>
    </row>
    <row r="11230" spans="1:1" x14ac:dyDescent="0.25">
      <c r="A11230" t="str">
        <f t="shared" si="19"/>
        <v/>
      </c>
    </row>
    <row r="11231" spans="1:1" x14ac:dyDescent="0.25">
      <c r="A11231" t="str">
        <f t="shared" si="19"/>
        <v/>
      </c>
    </row>
    <row r="11232" spans="1:1" x14ac:dyDescent="0.25">
      <c r="A11232" t="str">
        <f t="shared" si="19"/>
        <v/>
      </c>
    </row>
    <row r="11233" spans="1:1" x14ac:dyDescent="0.25">
      <c r="A11233" t="str">
        <f t="shared" si="19"/>
        <v/>
      </c>
    </row>
    <row r="11234" spans="1:1" x14ac:dyDescent="0.25">
      <c r="A11234" t="str">
        <f t="shared" si="19"/>
        <v/>
      </c>
    </row>
    <row r="11235" spans="1:1" x14ac:dyDescent="0.25">
      <c r="A11235" t="str">
        <f t="shared" si="19"/>
        <v/>
      </c>
    </row>
    <row r="11236" spans="1:1" x14ac:dyDescent="0.25">
      <c r="A11236" t="str">
        <f t="shared" si="19"/>
        <v/>
      </c>
    </row>
    <row r="11237" spans="1:1" x14ac:dyDescent="0.25">
      <c r="A11237" t="str">
        <f t="shared" si="19"/>
        <v/>
      </c>
    </row>
    <row r="11238" spans="1:1" x14ac:dyDescent="0.25">
      <c r="A11238" t="str">
        <f t="shared" si="19"/>
        <v/>
      </c>
    </row>
    <row r="11239" spans="1:1" x14ac:dyDescent="0.25">
      <c r="A11239" t="str">
        <f t="shared" si="19"/>
        <v/>
      </c>
    </row>
    <row r="11240" spans="1:1" x14ac:dyDescent="0.25">
      <c r="A11240" t="str">
        <f t="shared" si="19"/>
        <v/>
      </c>
    </row>
    <row r="11241" spans="1:1" x14ac:dyDescent="0.25">
      <c r="A11241" t="str">
        <f t="shared" si="19"/>
        <v/>
      </c>
    </row>
    <row r="11242" spans="1:1" x14ac:dyDescent="0.25">
      <c r="A11242" t="str">
        <f t="shared" si="19"/>
        <v/>
      </c>
    </row>
    <row r="11243" spans="1:1" x14ac:dyDescent="0.25">
      <c r="A11243" t="str">
        <f t="shared" si="19"/>
        <v/>
      </c>
    </row>
    <row r="11244" spans="1:1" x14ac:dyDescent="0.25">
      <c r="A11244" t="str">
        <f t="shared" si="19"/>
        <v/>
      </c>
    </row>
    <row r="11245" spans="1:1" x14ac:dyDescent="0.25">
      <c r="A11245" t="str">
        <f t="shared" si="19"/>
        <v/>
      </c>
    </row>
    <row r="11246" spans="1:1" x14ac:dyDescent="0.25">
      <c r="A11246" t="str">
        <f t="shared" si="19"/>
        <v/>
      </c>
    </row>
    <row r="11247" spans="1:1" x14ac:dyDescent="0.25">
      <c r="A11247" t="str">
        <f t="shared" si="19"/>
        <v/>
      </c>
    </row>
    <row r="11248" spans="1:1" x14ac:dyDescent="0.25">
      <c r="A11248" t="str">
        <f t="shared" si="19"/>
        <v/>
      </c>
    </row>
    <row r="11249" spans="1:1" x14ac:dyDescent="0.25">
      <c r="A11249" t="str">
        <f t="shared" si="19"/>
        <v/>
      </c>
    </row>
    <row r="11250" spans="1:1" x14ac:dyDescent="0.25">
      <c r="A11250" t="str">
        <f t="shared" si="19"/>
        <v/>
      </c>
    </row>
    <row r="11251" spans="1:1" x14ac:dyDescent="0.25">
      <c r="A11251" t="str">
        <f t="shared" si="19"/>
        <v/>
      </c>
    </row>
    <row r="11252" spans="1:1" x14ac:dyDescent="0.25">
      <c r="A11252" t="str">
        <f t="shared" si="19"/>
        <v/>
      </c>
    </row>
    <row r="11253" spans="1:1" x14ac:dyDescent="0.25">
      <c r="A11253" t="str">
        <f t="shared" ref="A11253:A11316" si="20">B11251&amp;D11251</f>
        <v/>
      </c>
    </row>
    <row r="11254" spans="1:1" x14ac:dyDescent="0.25">
      <c r="A11254" t="str">
        <f t="shared" si="20"/>
        <v/>
      </c>
    </row>
    <row r="11255" spans="1:1" x14ac:dyDescent="0.25">
      <c r="A11255" t="str">
        <f t="shared" si="20"/>
        <v/>
      </c>
    </row>
    <row r="11256" spans="1:1" x14ac:dyDescent="0.25">
      <c r="A11256" t="str">
        <f t="shared" si="20"/>
        <v/>
      </c>
    </row>
    <row r="11257" spans="1:1" x14ac:dyDescent="0.25">
      <c r="A11257" t="str">
        <f t="shared" si="20"/>
        <v/>
      </c>
    </row>
    <row r="11258" spans="1:1" x14ac:dyDescent="0.25">
      <c r="A11258" t="str">
        <f t="shared" si="20"/>
        <v/>
      </c>
    </row>
    <row r="11259" spans="1:1" x14ac:dyDescent="0.25">
      <c r="A11259" t="str">
        <f t="shared" si="20"/>
        <v/>
      </c>
    </row>
    <row r="11260" spans="1:1" x14ac:dyDescent="0.25">
      <c r="A11260" t="str">
        <f t="shared" si="20"/>
        <v/>
      </c>
    </row>
    <row r="11261" spans="1:1" x14ac:dyDescent="0.25">
      <c r="A11261" t="str">
        <f t="shared" si="20"/>
        <v/>
      </c>
    </row>
    <row r="11262" spans="1:1" x14ac:dyDescent="0.25">
      <c r="A11262" t="str">
        <f t="shared" si="20"/>
        <v/>
      </c>
    </row>
    <row r="11263" spans="1:1" x14ac:dyDescent="0.25">
      <c r="A11263" t="str">
        <f t="shared" si="20"/>
        <v/>
      </c>
    </row>
    <row r="11264" spans="1:1" x14ac:dyDescent="0.25">
      <c r="A11264" t="str">
        <f t="shared" si="20"/>
        <v/>
      </c>
    </row>
    <row r="11265" spans="1:1" x14ac:dyDescent="0.25">
      <c r="A11265" t="str">
        <f t="shared" si="20"/>
        <v/>
      </c>
    </row>
    <row r="11266" spans="1:1" x14ac:dyDescent="0.25">
      <c r="A11266" t="str">
        <f t="shared" si="20"/>
        <v/>
      </c>
    </row>
    <row r="11267" spans="1:1" x14ac:dyDescent="0.25">
      <c r="A11267" t="str">
        <f t="shared" si="20"/>
        <v/>
      </c>
    </row>
    <row r="11268" spans="1:1" x14ac:dyDescent="0.25">
      <c r="A11268" t="str">
        <f t="shared" si="20"/>
        <v/>
      </c>
    </row>
    <row r="11269" spans="1:1" x14ac:dyDescent="0.25">
      <c r="A11269" t="str">
        <f t="shared" si="20"/>
        <v/>
      </c>
    </row>
    <row r="11270" spans="1:1" x14ac:dyDescent="0.25">
      <c r="A11270" t="str">
        <f t="shared" si="20"/>
        <v/>
      </c>
    </row>
    <row r="11271" spans="1:1" x14ac:dyDescent="0.25">
      <c r="A11271" t="str">
        <f t="shared" si="20"/>
        <v/>
      </c>
    </row>
    <row r="11272" spans="1:1" x14ac:dyDescent="0.25">
      <c r="A11272" t="str">
        <f t="shared" si="20"/>
        <v/>
      </c>
    </row>
    <row r="11273" spans="1:1" x14ac:dyDescent="0.25">
      <c r="A11273" t="str">
        <f t="shared" si="20"/>
        <v/>
      </c>
    </row>
    <row r="11274" spans="1:1" x14ac:dyDescent="0.25">
      <c r="A11274" t="str">
        <f t="shared" si="20"/>
        <v/>
      </c>
    </row>
    <row r="11275" spans="1:1" x14ac:dyDescent="0.25">
      <c r="A11275" t="str">
        <f t="shared" si="20"/>
        <v/>
      </c>
    </row>
    <row r="11276" spans="1:1" x14ac:dyDescent="0.25">
      <c r="A11276" t="str">
        <f t="shared" si="20"/>
        <v/>
      </c>
    </row>
    <row r="11277" spans="1:1" x14ac:dyDescent="0.25">
      <c r="A11277" t="str">
        <f t="shared" si="20"/>
        <v/>
      </c>
    </row>
    <row r="11278" spans="1:1" x14ac:dyDescent="0.25">
      <c r="A11278" t="str">
        <f t="shared" si="20"/>
        <v/>
      </c>
    </row>
    <row r="11279" spans="1:1" x14ac:dyDescent="0.25">
      <c r="A11279" t="str">
        <f t="shared" si="20"/>
        <v/>
      </c>
    </row>
    <row r="11280" spans="1:1" x14ac:dyDescent="0.25">
      <c r="A11280" t="str">
        <f t="shared" si="20"/>
        <v/>
      </c>
    </row>
    <row r="11281" spans="1:1" x14ac:dyDescent="0.25">
      <c r="A11281" t="str">
        <f t="shared" si="20"/>
        <v/>
      </c>
    </row>
    <row r="11282" spans="1:1" x14ac:dyDescent="0.25">
      <c r="A11282" t="str">
        <f t="shared" si="20"/>
        <v/>
      </c>
    </row>
    <row r="11283" spans="1:1" x14ac:dyDescent="0.25">
      <c r="A11283" t="str">
        <f t="shared" si="20"/>
        <v/>
      </c>
    </row>
    <row r="11284" spans="1:1" x14ac:dyDescent="0.25">
      <c r="A11284" t="str">
        <f t="shared" si="20"/>
        <v/>
      </c>
    </row>
    <row r="11285" spans="1:1" x14ac:dyDescent="0.25">
      <c r="A11285" t="str">
        <f t="shared" si="20"/>
        <v/>
      </c>
    </row>
    <row r="11286" spans="1:1" x14ac:dyDescent="0.25">
      <c r="A11286" t="str">
        <f t="shared" si="20"/>
        <v/>
      </c>
    </row>
    <row r="11287" spans="1:1" x14ac:dyDescent="0.25">
      <c r="A11287" t="str">
        <f t="shared" si="20"/>
        <v/>
      </c>
    </row>
    <row r="11288" spans="1:1" x14ac:dyDescent="0.25">
      <c r="A11288" t="str">
        <f t="shared" si="20"/>
        <v/>
      </c>
    </row>
    <row r="11289" spans="1:1" x14ac:dyDescent="0.25">
      <c r="A11289" t="str">
        <f t="shared" si="20"/>
        <v/>
      </c>
    </row>
    <row r="11290" spans="1:1" x14ac:dyDescent="0.25">
      <c r="A11290" t="str">
        <f t="shared" si="20"/>
        <v/>
      </c>
    </row>
    <row r="11291" spans="1:1" x14ac:dyDescent="0.25">
      <c r="A11291" t="str">
        <f t="shared" si="20"/>
        <v/>
      </c>
    </row>
    <row r="11292" spans="1:1" x14ac:dyDescent="0.25">
      <c r="A11292" t="str">
        <f t="shared" si="20"/>
        <v/>
      </c>
    </row>
    <row r="11293" spans="1:1" x14ac:dyDescent="0.25">
      <c r="A11293" t="str">
        <f t="shared" si="20"/>
        <v/>
      </c>
    </row>
    <row r="11294" spans="1:1" x14ac:dyDescent="0.25">
      <c r="A11294" t="str">
        <f t="shared" si="20"/>
        <v/>
      </c>
    </row>
    <row r="11295" spans="1:1" x14ac:dyDescent="0.25">
      <c r="A11295" t="str">
        <f t="shared" si="20"/>
        <v/>
      </c>
    </row>
    <row r="11296" spans="1:1" x14ac:dyDescent="0.25">
      <c r="A11296" t="str">
        <f t="shared" si="20"/>
        <v/>
      </c>
    </row>
    <row r="11297" spans="1:1" x14ac:dyDescent="0.25">
      <c r="A11297" t="str">
        <f t="shared" si="20"/>
        <v/>
      </c>
    </row>
    <row r="11298" spans="1:1" x14ac:dyDescent="0.25">
      <c r="A11298" t="str">
        <f t="shared" si="20"/>
        <v/>
      </c>
    </row>
    <row r="11299" spans="1:1" x14ac:dyDescent="0.25">
      <c r="A11299" t="str">
        <f t="shared" si="20"/>
        <v/>
      </c>
    </row>
    <row r="11300" spans="1:1" x14ac:dyDescent="0.25">
      <c r="A11300" t="str">
        <f t="shared" si="20"/>
        <v/>
      </c>
    </row>
    <row r="11301" spans="1:1" x14ac:dyDescent="0.25">
      <c r="A11301" t="str">
        <f t="shared" si="20"/>
        <v/>
      </c>
    </row>
    <row r="11302" spans="1:1" x14ac:dyDescent="0.25">
      <c r="A11302" t="str">
        <f t="shared" si="20"/>
        <v/>
      </c>
    </row>
    <row r="11303" spans="1:1" x14ac:dyDescent="0.25">
      <c r="A11303" t="str">
        <f t="shared" si="20"/>
        <v/>
      </c>
    </row>
    <row r="11304" spans="1:1" x14ac:dyDescent="0.25">
      <c r="A11304" t="str">
        <f t="shared" si="20"/>
        <v/>
      </c>
    </row>
    <row r="11305" spans="1:1" x14ac:dyDescent="0.25">
      <c r="A11305" t="str">
        <f t="shared" si="20"/>
        <v/>
      </c>
    </row>
    <row r="11306" spans="1:1" x14ac:dyDescent="0.25">
      <c r="A11306" t="str">
        <f t="shared" si="20"/>
        <v/>
      </c>
    </row>
    <row r="11307" spans="1:1" x14ac:dyDescent="0.25">
      <c r="A11307" t="str">
        <f t="shared" si="20"/>
        <v/>
      </c>
    </row>
    <row r="11308" spans="1:1" x14ac:dyDescent="0.25">
      <c r="A11308" t="str">
        <f t="shared" si="20"/>
        <v/>
      </c>
    </row>
    <row r="11309" spans="1:1" x14ac:dyDescent="0.25">
      <c r="A11309" t="str">
        <f t="shared" si="20"/>
        <v/>
      </c>
    </row>
    <row r="11310" spans="1:1" x14ac:dyDescent="0.25">
      <c r="A11310" t="str">
        <f t="shared" si="20"/>
        <v/>
      </c>
    </row>
    <row r="11311" spans="1:1" x14ac:dyDescent="0.25">
      <c r="A11311" t="str">
        <f t="shared" si="20"/>
        <v/>
      </c>
    </row>
    <row r="11312" spans="1:1" x14ac:dyDescent="0.25">
      <c r="A11312" t="str">
        <f t="shared" si="20"/>
        <v/>
      </c>
    </row>
    <row r="11313" spans="1:1" x14ac:dyDescent="0.25">
      <c r="A11313" t="str">
        <f t="shared" si="20"/>
        <v/>
      </c>
    </row>
    <row r="11314" spans="1:1" x14ac:dyDescent="0.25">
      <c r="A11314" t="str">
        <f t="shared" si="20"/>
        <v/>
      </c>
    </row>
    <row r="11315" spans="1:1" x14ac:dyDescent="0.25">
      <c r="A11315" t="str">
        <f t="shared" si="20"/>
        <v/>
      </c>
    </row>
    <row r="11316" spans="1:1" x14ac:dyDescent="0.25">
      <c r="A11316" t="str">
        <f t="shared" si="20"/>
        <v/>
      </c>
    </row>
    <row r="11317" spans="1:1" x14ac:dyDescent="0.25">
      <c r="A11317" t="str">
        <f t="shared" ref="A11317:A11380" si="21">B11315&amp;D11315</f>
        <v/>
      </c>
    </row>
    <row r="11318" spans="1:1" x14ac:dyDescent="0.25">
      <c r="A11318" t="str">
        <f t="shared" si="21"/>
        <v/>
      </c>
    </row>
    <row r="11319" spans="1:1" x14ac:dyDescent="0.25">
      <c r="A11319" t="str">
        <f t="shared" si="21"/>
        <v/>
      </c>
    </row>
    <row r="11320" spans="1:1" x14ac:dyDescent="0.25">
      <c r="A11320" t="str">
        <f t="shared" si="21"/>
        <v/>
      </c>
    </row>
    <row r="11321" spans="1:1" x14ac:dyDescent="0.25">
      <c r="A11321" t="str">
        <f t="shared" si="21"/>
        <v/>
      </c>
    </row>
    <row r="11322" spans="1:1" x14ac:dyDescent="0.25">
      <c r="A11322" t="str">
        <f t="shared" si="21"/>
        <v/>
      </c>
    </row>
    <row r="11323" spans="1:1" x14ac:dyDescent="0.25">
      <c r="A11323" t="str">
        <f t="shared" si="21"/>
        <v/>
      </c>
    </row>
    <row r="11324" spans="1:1" x14ac:dyDescent="0.25">
      <c r="A11324" t="str">
        <f t="shared" si="21"/>
        <v/>
      </c>
    </row>
    <row r="11325" spans="1:1" x14ac:dyDescent="0.25">
      <c r="A11325" t="str">
        <f t="shared" si="21"/>
        <v/>
      </c>
    </row>
    <row r="11326" spans="1:1" x14ac:dyDescent="0.25">
      <c r="A11326" t="str">
        <f t="shared" si="21"/>
        <v/>
      </c>
    </row>
    <row r="11327" spans="1:1" x14ac:dyDescent="0.25">
      <c r="A11327" t="str">
        <f t="shared" si="21"/>
        <v/>
      </c>
    </row>
    <row r="11328" spans="1:1" x14ac:dyDescent="0.25">
      <c r="A11328" t="str">
        <f t="shared" si="21"/>
        <v/>
      </c>
    </row>
    <row r="11329" spans="1:1" x14ac:dyDescent="0.25">
      <c r="A11329" t="str">
        <f t="shared" si="21"/>
        <v/>
      </c>
    </row>
    <row r="11330" spans="1:1" x14ac:dyDescent="0.25">
      <c r="A11330" t="str">
        <f t="shared" si="21"/>
        <v/>
      </c>
    </row>
    <row r="11331" spans="1:1" x14ac:dyDescent="0.25">
      <c r="A11331" t="str">
        <f t="shared" si="21"/>
        <v/>
      </c>
    </row>
    <row r="11332" spans="1:1" x14ac:dyDescent="0.25">
      <c r="A11332" t="str">
        <f t="shared" si="21"/>
        <v/>
      </c>
    </row>
    <row r="11333" spans="1:1" x14ac:dyDescent="0.25">
      <c r="A11333" t="str">
        <f t="shared" si="21"/>
        <v/>
      </c>
    </row>
    <row r="11334" spans="1:1" x14ac:dyDescent="0.25">
      <c r="A11334" t="str">
        <f t="shared" si="21"/>
        <v/>
      </c>
    </row>
    <row r="11335" spans="1:1" x14ac:dyDescent="0.25">
      <c r="A11335" t="str">
        <f t="shared" si="21"/>
        <v/>
      </c>
    </row>
    <row r="11336" spans="1:1" x14ac:dyDescent="0.25">
      <c r="A11336" t="str">
        <f t="shared" si="21"/>
        <v/>
      </c>
    </row>
    <row r="11337" spans="1:1" x14ac:dyDescent="0.25">
      <c r="A11337" t="str">
        <f t="shared" si="21"/>
        <v/>
      </c>
    </row>
    <row r="11338" spans="1:1" x14ac:dyDescent="0.25">
      <c r="A11338" t="str">
        <f t="shared" si="21"/>
        <v/>
      </c>
    </row>
    <row r="11339" spans="1:1" x14ac:dyDescent="0.25">
      <c r="A11339" t="str">
        <f t="shared" si="21"/>
        <v/>
      </c>
    </row>
    <row r="11340" spans="1:1" x14ac:dyDescent="0.25">
      <c r="A11340" t="str">
        <f t="shared" si="21"/>
        <v/>
      </c>
    </row>
    <row r="11341" spans="1:1" x14ac:dyDescent="0.25">
      <c r="A11341" t="str">
        <f t="shared" si="21"/>
        <v/>
      </c>
    </row>
    <row r="11342" spans="1:1" x14ac:dyDescent="0.25">
      <c r="A11342" t="str">
        <f t="shared" si="21"/>
        <v/>
      </c>
    </row>
    <row r="11343" spans="1:1" x14ac:dyDescent="0.25">
      <c r="A11343" t="str">
        <f t="shared" si="21"/>
        <v/>
      </c>
    </row>
    <row r="11344" spans="1:1" x14ac:dyDescent="0.25">
      <c r="A11344" t="str">
        <f t="shared" si="21"/>
        <v/>
      </c>
    </row>
    <row r="11345" spans="1:1" x14ac:dyDescent="0.25">
      <c r="A11345" t="str">
        <f t="shared" si="21"/>
        <v/>
      </c>
    </row>
    <row r="11346" spans="1:1" x14ac:dyDescent="0.25">
      <c r="A11346" t="str">
        <f t="shared" si="21"/>
        <v/>
      </c>
    </row>
    <row r="11347" spans="1:1" x14ac:dyDescent="0.25">
      <c r="A11347" t="str">
        <f t="shared" si="21"/>
        <v/>
      </c>
    </row>
    <row r="11348" spans="1:1" x14ac:dyDescent="0.25">
      <c r="A11348" t="str">
        <f t="shared" si="21"/>
        <v/>
      </c>
    </row>
    <row r="11349" spans="1:1" x14ac:dyDescent="0.25">
      <c r="A11349" t="str">
        <f t="shared" si="21"/>
        <v/>
      </c>
    </row>
    <row r="11350" spans="1:1" x14ac:dyDescent="0.25">
      <c r="A11350" t="str">
        <f t="shared" si="21"/>
        <v/>
      </c>
    </row>
    <row r="11351" spans="1:1" x14ac:dyDescent="0.25">
      <c r="A11351" t="str">
        <f t="shared" si="21"/>
        <v/>
      </c>
    </row>
    <row r="11352" spans="1:1" x14ac:dyDescent="0.25">
      <c r="A11352" t="str">
        <f t="shared" si="21"/>
        <v/>
      </c>
    </row>
    <row r="11353" spans="1:1" x14ac:dyDescent="0.25">
      <c r="A11353" t="str">
        <f t="shared" si="21"/>
        <v/>
      </c>
    </row>
    <row r="11354" spans="1:1" x14ac:dyDescent="0.25">
      <c r="A11354" t="str">
        <f t="shared" si="21"/>
        <v/>
      </c>
    </row>
    <row r="11355" spans="1:1" x14ac:dyDescent="0.25">
      <c r="A11355" t="str">
        <f t="shared" si="21"/>
        <v/>
      </c>
    </row>
    <row r="11356" spans="1:1" x14ac:dyDescent="0.25">
      <c r="A11356" t="str">
        <f t="shared" si="21"/>
        <v/>
      </c>
    </row>
    <row r="11357" spans="1:1" x14ac:dyDescent="0.25">
      <c r="A11357" t="str">
        <f t="shared" si="21"/>
        <v/>
      </c>
    </row>
    <row r="11358" spans="1:1" x14ac:dyDescent="0.25">
      <c r="A11358" t="str">
        <f t="shared" si="21"/>
        <v/>
      </c>
    </row>
    <row r="11359" spans="1:1" x14ac:dyDescent="0.25">
      <c r="A11359" t="str">
        <f t="shared" si="21"/>
        <v/>
      </c>
    </row>
    <row r="11360" spans="1:1" x14ac:dyDescent="0.25">
      <c r="A11360" t="str">
        <f t="shared" si="21"/>
        <v/>
      </c>
    </row>
    <row r="11361" spans="1:1" x14ac:dyDescent="0.25">
      <c r="A11361" t="str">
        <f t="shared" si="21"/>
        <v/>
      </c>
    </row>
    <row r="11362" spans="1:1" x14ac:dyDescent="0.25">
      <c r="A11362" t="str">
        <f t="shared" si="21"/>
        <v/>
      </c>
    </row>
    <row r="11363" spans="1:1" x14ac:dyDescent="0.25">
      <c r="A11363" t="str">
        <f t="shared" si="21"/>
        <v/>
      </c>
    </row>
    <row r="11364" spans="1:1" x14ac:dyDescent="0.25">
      <c r="A11364" t="str">
        <f t="shared" si="21"/>
        <v/>
      </c>
    </row>
    <row r="11365" spans="1:1" x14ac:dyDescent="0.25">
      <c r="A11365" t="str">
        <f t="shared" si="21"/>
        <v/>
      </c>
    </row>
    <row r="11366" spans="1:1" x14ac:dyDescent="0.25">
      <c r="A11366" t="str">
        <f t="shared" si="21"/>
        <v/>
      </c>
    </row>
    <row r="11367" spans="1:1" x14ac:dyDescent="0.25">
      <c r="A11367" t="str">
        <f t="shared" si="21"/>
        <v/>
      </c>
    </row>
    <row r="11368" spans="1:1" x14ac:dyDescent="0.25">
      <c r="A11368" t="str">
        <f t="shared" si="21"/>
        <v/>
      </c>
    </row>
    <row r="11369" spans="1:1" x14ac:dyDescent="0.25">
      <c r="A11369" t="str">
        <f t="shared" si="21"/>
        <v/>
      </c>
    </row>
    <row r="11370" spans="1:1" x14ac:dyDescent="0.25">
      <c r="A11370" t="str">
        <f t="shared" si="21"/>
        <v/>
      </c>
    </row>
    <row r="11371" spans="1:1" x14ac:dyDescent="0.25">
      <c r="A11371" t="str">
        <f t="shared" si="21"/>
        <v/>
      </c>
    </row>
    <row r="11372" spans="1:1" x14ac:dyDescent="0.25">
      <c r="A11372" t="str">
        <f t="shared" si="21"/>
        <v/>
      </c>
    </row>
    <row r="11373" spans="1:1" x14ac:dyDescent="0.25">
      <c r="A11373" t="str">
        <f t="shared" si="21"/>
        <v/>
      </c>
    </row>
    <row r="11374" spans="1:1" x14ac:dyDescent="0.25">
      <c r="A11374" t="str">
        <f t="shared" si="21"/>
        <v/>
      </c>
    </row>
    <row r="11375" spans="1:1" x14ac:dyDescent="0.25">
      <c r="A11375" t="str">
        <f t="shared" si="21"/>
        <v/>
      </c>
    </row>
    <row r="11376" spans="1:1" x14ac:dyDescent="0.25">
      <c r="A11376" t="str">
        <f t="shared" si="21"/>
        <v/>
      </c>
    </row>
    <row r="11377" spans="1:1" x14ac:dyDescent="0.25">
      <c r="A11377" t="str">
        <f t="shared" si="21"/>
        <v/>
      </c>
    </row>
    <row r="11378" spans="1:1" x14ac:dyDescent="0.25">
      <c r="A11378" t="str">
        <f t="shared" si="21"/>
        <v/>
      </c>
    </row>
    <row r="11379" spans="1:1" x14ac:dyDescent="0.25">
      <c r="A11379" t="str">
        <f t="shared" si="21"/>
        <v/>
      </c>
    </row>
    <row r="11380" spans="1:1" x14ac:dyDescent="0.25">
      <c r="A11380" t="str">
        <f t="shared" si="21"/>
        <v/>
      </c>
    </row>
    <row r="11381" spans="1:1" x14ac:dyDescent="0.25">
      <c r="A11381" t="str">
        <f t="shared" ref="A11381:A11444" si="22">B11379&amp;D11379</f>
        <v/>
      </c>
    </row>
    <row r="11382" spans="1:1" x14ac:dyDescent="0.25">
      <c r="A11382" t="str">
        <f t="shared" si="22"/>
        <v/>
      </c>
    </row>
    <row r="11383" spans="1:1" x14ac:dyDescent="0.25">
      <c r="A11383" t="str">
        <f t="shared" si="22"/>
        <v/>
      </c>
    </row>
    <row r="11384" spans="1:1" x14ac:dyDescent="0.25">
      <c r="A11384" t="str">
        <f t="shared" si="22"/>
        <v/>
      </c>
    </row>
    <row r="11385" spans="1:1" x14ac:dyDescent="0.25">
      <c r="A11385" t="str">
        <f t="shared" si="22"/>
        <v/>
      </c>
    </row>
    <row r="11386" spans="1:1" x14ac:dyDescent="0.25">
      <c r="A11386" t="str">
        <f t="shared" si="22"/>
        <v/>
      </c>
    </row>
    <row r="11387" spans="1:1" x14ac:dyDescent="0.25">
      <c r="A11387" t="str">
        <f t="shared" si="22"/>
        <v/>
      </c>
    </row>
    <row r="11388" spans="1:1" x14ac:dyDescent="0.25">
      <c r="A11388" t="str">
        <f t="shared" si="22"/>
        <v/>
      </c>
    </row>
    <row r="11389" spans="1:1" x14ac:dyDescent="0.25">
      <c r="A11389" t="str">
        <f t="shared" si="22"/>
        <v/>
      </c>
    </row>
    <row r="11390" spans="1:1" x14ac:dyDescent="0.25">
      <c r="A11390" t="str">
        <f t="shared" si="22"/>
        <v/>
      </c>
    </row>
    <row r="11391" spans="1:1" x14ac:dyDescent="0.25">
      <c r="A11391" t="str">
        <f t="shared" si="22"/>
        <v/>
      </c>
    </row>
    <row r="11392" spans="1:1" x14ac:dyDescent="0.25">
      <c r="A11392" t="str">
        <f t="shared" si="22"/>
        <v/>
      </c>
    </row>
    <row r="11393" spans="1:1" x14ac:dyDescent="0.25">
      <c r="A11393" t="str">
        <f t="shared" si="22"/>
        <v/>
      </c>
    </row>
    <row r="11394" spans="1:1" x14ac:dyDescent="0.25">
      <c r="A11394" t="str">
        <f t="shared" si="22"/>
        <v/>
      </c>
    </row>
    <row r="11395" spans="1:1" x14ac:dyDescent="0.25">
      <c r="A11395" t="str">
        <f t="shared" si="22"/>
        <v/>
      </c>
    </row>
    <row r="11396" spans="1:1" x14ac:dyDescent="0.25">
      <c r="A11396" t="str">
        <f t="shared" si="22"/>
        <v/>
      </c>
    </row>
    <row r="11397" spans="1:1" x14ac:dyDescent="0.25">
      <c r="A11397" t="str">
        <f t="shared" si="22"/>
        <v/>
      </c>
    </row>
    <row r="11398" spans="1:1" x14ac:dyDescent="0.25">
      <c r="A11398" t="str">
        <f t="shared" si="22"/>
        <v/>
      </c>
    </row>
    <row r="11399" spans="1:1" x14ac:dyDescent="0.25">
      <c r="A11399" t="str">
        <f t="shared" si="22"/>
        <v/>
      </c>
    </row>
    <row r="11400" spans="1:1" x14ac:dyDescent="0.25">
      <c r="A11400" t="str">
        <f t="shared" si="22"/>
        <v/>
      </c>
    </row>
    <row r="11401" spans="1:1" x14ac:dyDescent="0.25">
      <c r="A11401" t="str">
        <f t="shared" si="22"/>
        <v/>
      </c>
    </row>
    <row r="11402" spans="1:1" x14ac:dyDescent="0.25">
      <c r="A11402" t="str">
        <f t="shared" si="22"/>
        <v/>
      </c>
    </row>
    <row r="11403" spans="1:1" x14ac:dyDescent="0.25">
      <c r="A11403" t="str">
        <f t="shared" si="22"/>
        <v/>
      </c>
    </row>
    <row r="11404" spans="1:1" x14ac:dyDescent="0.25">
      <c r="A11404" t="str">
        <f t="shared" si="22"/>
        <v/>
      </c>
    </row>
    <row r="11405" spans="1:1" x14ac:dyDescent="0.25">
      <c r="A11405" t="str">
        <f t="shared" si="22"/>
        <v/>
      </c>
    </row>
    <row r="11406" spans="1:1" x14ac:dyDescent="0.25">
      <c r="A11406" t="str">
        <f t="shared" si="22"/>
        <v/>
      </c>
    </row>
    <row r="11407" spans="1:1" x14ac:dyDescent="0.25">
      <c r="A11407" t="str">
        <f t="shared" si="22"/>
        <v/>
      </c>
    </row>
    <row r="11408" spans="1:1" x14ac:dyDescent="0.25">
      <c r="A11408" t="str">
        <f t="shared" si="22"/>
        <v/>
      </c>
    </row>
    <row r="11409" spans="1:1" x14ac:dyDescent="0.25">
      <c r="A11409" t="str">
        <f t="shared" si="22"/>
        <v/>
      </c>
    </row>
    <row r="11410" spans="1:1" x14ac:dyDescent="0.25">
      <c r="A11410" t="str">
        <f t="shared" si="22"/>
        <v/>
      </c>
    </row>
    <row r="11411" spans="1:1" x14ac:dyDescent="0.25">
      <c r="A11411" t="str">
        <f t="shared" si="22"/>
        <v/>
      </c>
    </row>
    <row r="11412" spans="1:1" x14ac:dyDescent="0.25">
      <c r="A11412" t="str">
        <f t="shared" si="22"/>
        <v/>
      </c>
    </row>
    <row r="11413" spans="1:1" x14ac:dyDescent="0.25">
      <c r="A11413" t="str">
        <f t="shared" si="22"/>
        <v/>
      </c>
    </row>
    <row r="11414" spans="1:1" x14ac:dyDescent="0.25">
      <c r="A11414" t="str">
        <f t="shared" si="22"/>
        <v/>
      </c>
    </row>
    <row r="11415" spans="1:1" x14ac:dyDescent="0.25">
      <c r="A11415" t="str">
        <f t="shared" si="22"/>
        <v/>
      </c>
    </row>
    <row r="11416" spans="1:1" x14ac:dyDescent="0.25">
      <c r="A11416" t="str">
        <f t="shared" si="22"/>
        <v/>
      </c>
    </row>
    <row r="11417" spans="1:1" x14ac:dyDescent="0.25">
      <c r="A11417" t="str">
        <f t="shared" si="22"/>
        <v/>
      </c>
    </row>
    <row r="11418" spans="1:1" x14ac:dyDescent="0.25">
      <c r="A11418" t="str">
        <f t="shared" si="22"/>
        <v/>
      </c>
    </row>
    <row r="11419" spans="1:1" x14ac:dyDescent="0.25">
      <c r="A11419" t="str">
        <f t="shared" si="22"/>
        <v/>
      </c>
    </row>
    <row r="11420" spans="1:1" x14ac:dyDescent="0.25">
      <c r="A11420" t="str">
        <f t="shared" si="22"/>
        <v/>
      </c>
    </row>
    <row r="11421" spans="1:1" x14ac:dyDescent="0.25">
      <c r="A11421" t="str">
        <f t="shared" si="22"/>
        <v/>
      </c>
    </row>
    <row r="11422" spans="1:1" x14ac:dyDescent="0.25">
      <c r="A11422" t="str">
        <f t="shared" si="22"/>
        <v/>
      </c>
    </row>
    <row r="11423" spans="1:1" x14ac:dyDescent="0.25">
      <c r="A11423" t="str">
        <f t="shared" si="22"/>
        <v/>
      </c>
    </row>
    <row r="11424" spans="1:1" x14ac:dyDescent="0.25">
      <c r="A11424" t="str">
        <f t="shared" si="22"/>
        <v/>
      </c>
    </row>
    <row r="11425" spans="1:1" x14ac:dyDescent="0.25">
      <c r="A11425" t="str">
        <f t="shared" si="22"/>
        <v/>
      </c>
    </row>
    <row r="11426" spans="1:1" x14ac:dyDescent="0.25">
      <c r="A11426" t="str">
        <f t="shared" si="22"/>
        <v/>
      </c>
    </row>
    <row r="11427" spans="1:1" x14ac:dyDescent="0.25">
      <c r="A11427" t="str">
        <f t="shared" si="22"/>
        <v/>
      </c>
    </row>
    <row r="11428" spans="1:1" x14ac:dyDescent="0.25">
      <c r="A11428" t="str">
        <f t="shared" si="22"/>
        <v/>
      </c>
    </row>
    <row r="11429" spans="1:1" x14ac:dyDescent="0.25">
      <c r="A11429" t="str">
        <f t="shared" si="22"/>
        <v/>
      </c>
    </row>
    <row r="11430" spans="1:1" x14ac:dyDescent="0.25">
      <c r="A11430" t="str">
        <f t="shared" si="22"/>
        <v/>
      </c>
    </row>
    <row r="11431" spans="1:1" x14ac:dyDescent="0.25">
      <c r="A11431" t="str">
        <f t="shared" si="22"/>
        <v/>
      </c>
    </row>
    <row r="11432" spans="1:1" x14ac:dyDescent="0.25">
      <c r="A11432" t="str">
        <f t="shared" si="22"/>
        <v/>
      </c>
    </row>
    <row r="11433" spans="1:1" x14ac:dyDescent="0.25">
      <c r="A11433" t="str">
        <f t="shared" si="22"/>
        <v/>
      </c>
    </row>
    <row r="11434" spans="1:1" x14ac:dyDescent="0.25">
      <c r="A11434" t="str">
        <f t="shared" si="22"/>
        <v/>
      </c>
    </row>
    <row r="11435" spans="1:1" x14ac:dyDescent="0.25">
      <c r="A11435" t="str">
        <f t="shared" si="22"/>
        <v/>
      </c>
    </row>
    <row r="11436" spans="1:1" x14ac:dyDescent="0.25">
      <c r="A11436" t="str">
        <f t="shared" si="22"/>
        <v/>
      </c>
    </row>
    <row r="11437" spans="1:1" x14ac:dyDescent="0.25">
      <c r="A11437" t="str">
        <f t="shared" si="22"/>
        <v/>
      </c>
    </row>
    <row r="11438" spans="1:1" x14ac:dyDescent="0.25">
      <c r="A11438" t="str">
        <f t="shared" si="22"/>
        <v/>
      </c>
    </row>
    <row r="11439" spans="1:1" x14ac:dyDescent="0.25">
      <c r="A11439" t="str">
        <f t="shared" si="22"/>
        <v/>
      </c>
    </row>
    <row r="11440" spans="1:1" x14ac:dyDescent="0.25">
      <c r="A11440" t="str">
        <f t="shared" si="22"/>
        <v/>
      </c>
    </row>
    <row r="11441" spans="1:1" x14ac:dyDescent="0.25">
      <c r="A11441" t="str">
        <f t="shared" si="22"/>
        <v/>
      </c>
    </row>
    <row r="11442" spans="1:1" x14ac:dyDescent="0.25">
      <c r="A11442" t="str">
        <f t="shared" si="22"/>
        <v/>
      </c>
    </row>
    <row r="11443" spans="1:1" x14ac:dyDescent="0.25">
      <c r="A11443" t="str">
        <f t="shared" si="22"/>
        <v/>
      </c>
    </row>
    <row r="11444" spans="1:1" x14ac:dyDescent="0.25">
      <c r="A11444" t="str">
        <f t="shared" si="22"/>
        <v/>
      </c>
    </row>
    <row r="11445" spans="1:1" x14ac:dyDescent="0.25">
      <c r="A11445" t="str">
        <f t="shared" ref="A11445:A11508" si="23">B11443&amp;D11443</f>
        <v/>
      </c>
    </row>
    <row r="11446" spans="1:1" x14ac:dyDescent="0.25">
      <c r="A11446" t="str">
        <f t="shared" si="23"/>
        <v/>
      </c>
    </row>
    <row r="11447" spans="1:1" x14ac:dyDescent="0.25">
      <c r="A11447" t="str">
        <f t="shared" si="23"/>
        <v/>
      </c>
    </row>
    <row r="11448" spans="1:1" x14ac:dyDescent="0.25">
      <c r="A11448" t="str">
        <f t="shared" si="23"/>
        <v/>
      </c>
    </row>
    <row r="11449" spans="1:1" x14ac:dyDescent="0.25">
      <c r="A11449" t="str">
        <f t="shared" si="23"/>
        <v/>
      </c>
    </row>
    <row r="11450" spans="1:1" x14ac:dyDescent="0.25">
      <c r="A11450" t="str">
        <f t="shared" si="23"/>
        <v/>
      </c>
    </row>
    <row r="11451" spans="1:1" x14ac:dyDescent="0.25">
      <c r="A11451" t="str">
        <f t="shared" si="23"/>
        <v/>
      </c>
    </row>
    <row r="11452" spans="1:1" x14ac:dyDescent="0.25">
      <c r="A11452" t="str">
        <f t="shared" si="23"/>
        <v/>
      </c>
    </row>
    <row r="11453" spans="1:1" x14ac:dyDescent="0.25">
      <c r="A11453" t="str">
        <f t="shared" si="23"/>
        <v/>
      </c>
    </row>
    <row r="11454" spans="1:1" x14ac:dyDescent="0.25">
      <c r="A11454" t="str">
        <f t="shared" si="23"/>
        <v/>
      </c>
    </row>
    <row r="11455" spans="1:1" x14ac:dyDescent="0.25">
      <c r="A11455" t="str">
        <f t="shared" si="23"/>
        <v/>
      </c>
    </row>
    <row r="11456" spans="1:1" x14ac:dyDescent="0.25">
      <c r="A11456" t="str">
        <f t="shared" si="23"/>
        <v/>
      </c>
    </row>
    <row r="11457" spans="1:1" x14ac:dyDescent="0.25">
      <c r="A11457" t="str">
        <f t="shared" si="23"/>
        <v/>
      </c>
    </row>
    <row r="11458" spans="1:1" x14ac:dyDescent="0.25">
      <c r="A11458" t="str">
        <f t="shared" si="23"/>
        <v/>
      </c>
    </row>
    <row r="11459" spans="1:1" x14ac:dyDescent="0.25">
      <c r="A11459" t="str">
        <f t="shared" si="23"/>
        <v/>
      </c>
    </row>
    <row r="11460" spans="1:1" x14ac:dyDescent="0.25">
      <c r="A11460" t="str">
        <f t="shared" si="23"/>
        <v/>
      </c>
    </row>
    <row r="11461" spans="1:1" x14ac:dyDescent="0.25">
      <c r="A11461" t="str">
        <f t="shared" si="23"/>
        <v/>
      </c>
    </row>
    <row r="11462" spans="1:1" x14ac:dyDescent="0.25">
      <c r="A11462" t="str">
        <f t="shared" si="23"/>
        <v/>
      </c>
    </row>
    <row r="11463" spans="1:1" x14ac:dyDescent="0.25">
      <c r="A11463" t="str">
        <f t="shared" si="23"/>
        <v/>
      </c>
    </row>
    <row r="11464" spans="1:1" x14ac:dyDescent="0.25">
      <c r="A11464" t="str">
        <f t="shared" si="23"/>
        <v/>
      </c>
    </row>
    <row r="11465" spans="1:1" x14ac:dyDescent="0.25">
      <c r="A11465" t="str">
        <f t="shared" si="23"/>
        <v/>
      </c>
    </row>
    <row r="11466" spans="1:1" x14ac:dyDescent="0.25">
      <c r="A11466" t="str">
        <f t="shared" si="23"/>
        <v/>
      </c>
    </row>
    <row r="11467" spans="1:1" x14ac:dyDescent="0.25">
      <c r="A11467" t="str">
        <f t="shared" si="23"/>
        <v/>
      </c>
    </row>
    <row r="11468" spans="1:1" x14ac:dyDescent="0.25">
      <c r="A11468" t="str">
        <f t="shared" si="23"/>
        <v/>
      </c>
    </row>
    <row r="11469" spans="1:1" x14ac:dyDescent="0.25">
      <c r="A11469" t="str">
        <f t="shared" si="23"/>
        <v/>
      </c>
    </row>
    <row r="11470" spans="1:1" x14ac:dyDescent="0.25">
      <c r="A11470" t="str">
        <f t="shared" si="23"/>
        <v/>
      </c>
    </row>
    <row r="11471" spans="1:1" x14ac:dyDescent="0.25">
      <c r="A11471" t="str">
        <f t="shared" si="23"/>
        <v/>
      </c>
    </row>
    <row r="11472" spans="1:1" x14ac:dyDescent="0.25">
      <c r="A11472" t="str">
        <f t="shared" si="23"/>
        <v/>
      </c>
    </row>
    <row r="11473" spans="1:1" x14ac:dyDescent="0.25">
      <c r="A11473" t="str">
        <f t="shared" si="23"/>
        <v/>
      </c>
    </row>
    <row r="11474" spans="1:1" x14ac:dyDescent="0.25">
      <c r="A11474" t="str">
        <f t="shared" si="23"/>
        <v/>
      </c>
    </row>
    <row r="11475" spans="1:1" x14ac:dyDescent="0.25">
      <c r="A11475" t="str">
        <f t="shared" si="23"/>
        <v/>
      </c>
    </row>
    <row r="11476" spans="1:1" x14ac:dyDescent="0.25">
      <c r="A11476" t="str">
        <f t="shared" si="23"/>
        <v/>
      </c>
    </row>
    <row r="11477" spans="1:1" x14ac:dyDescent="0.25">
      <c r="A11477" t="str">
        <f t="shared" si="23"/>
        <v/>
      </c>
    </row>
    <row r="11478" spans="1:1" x14ac:dyDescent="0.25">
      <c r="A11478" t="str">
        <f t="shared" si="23"/>
        <v/>
      </c>
    </row>
    <row r="11479" spans="1:1" x14ac:dyDescent="0.25">
      <c r="A11479" t="str">
        <f t="shared" si="23"/>
        <v/>
      </c>
    </row>
    <row r="11480" spans="1:1" x14ac:dyDescent="0.25">
      <c r="A11480" t="str">
        <f t="shared" si="23"/>
        <v/>
      </c>
    </row>
    <row r="11481" spans="1:1" x14ac:dyDescent="0.25">
      <c r="A11481" t="str">
        <f t="shared" si="23"/>
        <v/>
      </c>
    </row>
    <row r="11482" spans="1:1" x14ac:dyDescent="0.25">
      <c r="A11482" t="str">
        <f t="shared" si="23"/>
        <v/>
      </c>
    </row>
    <row r="11483" spans="1:1" x14ac:dyDescent="0.25">
      <c r="A11483" t="str">
        <f t="shared" si="23"/>
        <v/>
      </c>
    </row>
    <row r="11484" spans="1:1" x14ac:dyDescent="0.25">
      <c r="A11484" t="str">
        <f t="shared" si="23"/>
        <v/>
      </c>
    </row>
    <row r="11485" spans="1:1" x14ac:dyDescent="0.25">
      <c r="A11485" t="str">
        <f t="shared" si="23"/>
        <v/>
      </c>
    </row>
    <row r="11486" spans="1:1" x14ac:dyDescent="0.25">
      <c r="A11486" t="str">
        <f t="shared" si="23"/>
        <v/>
      </c>
    </row>
    <row r="11487" spans="1:1" x14ac:dyDescent="0.25">
      <c r="A11487" t="str">
        <f t="shared" si="23"/>
        <v/>
      </c>
    </row>
    <row r="11488" spans="1:1" x14ac:dyDescent="0.25">
      <c r="A11488" t="str">
        <f t="shared" si="23"/>
        <v/>
      </c>
    </row>
    <row r="11489" spans="1:1" x14ac:dyDescent="0.25">
      <c r="A11489" t="str">
        <f t="shared" si="23"/>
        <v/>
      </c>
    </row>
    <row r="11490" spans="1:1" x14ac:dyDescent="0.25">
      <c r="A11490" t="str">
        <f t="shared" si="23"/>
        <v/>
      </c>
    </row>
    <row r="11491" spans="1:1" x14ac:dyDescent="0.25">
      <c r="A11491" t="str">
        <f t="shared" si="23"/>
        <v/>
      </c>
    </row>
    <row r="11492" spans="1:1" x14ac:dyDescent="0.25">
      <c r="A11492" t="str">
        <f t="shared" si="23"/>
        <v/>
      </c>
    </row>
    <row r="11493" spans="1:1" x14ac:dyDescent="0.25">
      <c r="A11493" t="str">
        <f t="shared" si="23"/>
        <v/>
      </c>
    </row>
    <row r="11494" spans="1:1" x14ac:dyDescent="0.25">
      <c r="A11494" t="str">
        <f t="shared" si="23"/>
        <v/>
      </c>
    </row>
    <row r="11495" spans="1:1" x14ac:dyDescent="0.25">
      <c r="A11495" t="str">
        <f t="shared" si="23"/>
        <v/>
      </c>
    </row>
    <row r="11496" spans="1:1" x14ac:dyDescent="0.25">
      <c r="A11496" t="str">
        <f t="shared" si="23"/>
        <v/>
      </c>
    </row>
    <row r="11497" spans="1:1" x14ac:dyDescent="0.25">
      <c r="A11497" t="str">
        <f t="shared" si="23"/>
        <v/>
      </c>
    </row>
    <row r="11498" spans="1:1" x14ac:dyDescent="0.25">
      <c r="A11498" t="str">
        <f t="shared" si="23"/>
        <v/>
      </c>
    </row>
    <row r="11499" spans="1:1" x14ac:dyDescent="0.25">
      <c r="A11499" t="str">
        <f t="shared" si="23"/>
        <v/>
      </c>
    </row>
    <row r="11500" spans="1:1" x14ac:dyDescent="0.25">
      <c r="A11500" t="str">
        <f t="shared" si="23"/>
        <v/>
      </c>
    </row>
    <row r="11501" spans="1:1" x14ac:dyDescent="0.25">
      <c r="A11501" t="str">
        <f t="shared" si="23"/>
        <v/>
      </c>
    </row>
    <row r="11502" spans="1:1" x14ac:dyDescent="0.25">
      <c r="A11502" t="str">
        <f t="shared" si="23"/>
        <v/>
      </c>
    </row>
    <row r="11503" spans="1:1" x14ac:dyDescent="0.25">
      <c r="A11503" t="str">
        <f t="shared" si="23"/>
        <v/>
      </c>
    </row>
    <row r="11504" spans="1:1" x14ac:dyDescent="0.25">
      <c r="A11504" t="str">
        <f t="shared" si="23"/>
        <v/>
      </c>
    </row>
    <row r="11505" spans="1:1" x14ac:dyDescent="0.25">
      <c r="A11505" t="str">
        <f t="shared" si="23"/>
        <v/>
      </c>
    </row>
    <row r="11506" spans="1:1" x14ac:dyDescent="0.25">
      <c r="A11506" t="str">
        <f t="shared" si="23"/>
        <v/>
      </c>
    </row>
    <row r="11507" spans="1:1" x14ac:dyDescent="0.25">
      <c r="A11507" t="str">
        <f t="shared" si="23"/>
        <v/>
      </c>
    </row>
    <row r="11508" spans="1:1" x14ac:dyDescent="0.25">
      <c r="A11508" t="str">
        <f t="shared" si="23"/>
        <v/>
      </c>
    </row>
    <row r="11509" spans="1:1" x14ac:dyDescent="0.25">
      <c r="A11509" t="str">
        <f t="shared" ref="A11509:A11572" si="24">B11507&amp;D11507</f>
        <v/>
      </c>
    </row>
    <row r="11510" spans="1:1" x14ac:dyDescent="0.25">
      <c r="A11510" t="str">
        <f t="shared" si="24"/>
        <v/>
      </c>
    </row>
    <row r="11511" spans="1:1" x14ac:dyDescent="0.25">
      <c r="A11511" t="str">
        <f t="shared" si="24"/>
        <v/>
      </c>
    </row>
    <row r="11512" spans="1:1" x14ac:dyDescent="0.25">
      <c r="A11512" t="str">
        <f t="shared" si="24"/>
        <v/>
      </c>
    </row>
    <row r="11513" spans="1:1" x14ac:dyDescent="0.25">
      <c r="A11513" t="str">
        <f t="shared" si="24"/>
        <v/>
      </c>
    </row>
    <row r="11514" spans="1:1" x14ac:dyDescent="0.25">
      <c r="A11514" t="str">
        <f t="shared" si="24"/>
        <v/>
      </c>
    </row>
    <row r="11515" spans="1:1" x14ac:dyDescent="0.25">
      <c r="A11515" t="str">
        <f t="shared" si="24"/>
        <v/>
      </c>
    </row>
    <row r="11516" spans="1:1" x14ac:dyDescent="0.25">
      <c r="A11516" t="str">
        <f t="shared" si="24"/>
        <v/>
      </c>
    </row>
    <row r="11517" spans="1:1" x14ac:dyDescent="0.25">
      <c r="A11517" t="str">
        <f t="shared" si="24"/>
        <v/>
      </c>
    </row>
    <row r="11518" spans="1:1" x14ac:dyDescent="0.25">
      <c r="A11518" t="str">
        <f t="shared" si="24"/>
        <v/>
      </c>
    </row>
    <row r="11519" spans="1:1" x14ac:dyDescent="0.25">
      <c r="A11519" t="str">
        <f t="shared" si="24"/>
        <v/>
      </c>
    </row>
    <row r="11520" spans="1:1" x14ac:dyDescent="0.25">
      <c r="A11520" t="str">
        <f t="shared" si="24"/>
        <v/>
      </c>
    </row>
    <row r="11521" spans="1:1" x14ac:dyDescent="0.25">
      <c r="A11521" t="str">
        <f t="shared" si="24"/>
        <v/>
      </c>
    </row>
    <row r="11522" spans="1:1" x14ac:dyDescent="0.25">
      <c r="A11522" t="str">
        <f t="shared" si="24"/>
        <v/>
      </c>
    </row>
    <row r="11523" spans="1:1" x14ac:dyDescent="0.25">
      <c r="A11523" t="str">
        <f t="shared" si="24"/>
        <v/>
      </c>
    </row>
    <row r="11524" spans="1:1" x14ac:dyDescent="0.25">
      <c r="A11524" t="str">
        <f t="shared" si="24"/>
        <v/>
      </c>
    </row>
    <row r="11525" spans="1:1" x14ac:dyDescent="0.25">
      <c r="A11525" t="str">
        <f t="shared" si="24"/>
        <v/>
      </c>
    </row>
    <row r="11526" spans="1:1" x14ac:dyDescent="0.25">
      <c r="A11526" t="str">
        <f t="shared" si="24"/>
        <v/>
      </c>
    </row>
    <row r="11527" spans="1:1" x14ac:dyDescent="0.25">
      <c r="A11527" t="str">
        <f t="shared" si="24"/>
        <v/>
      </c>
    </row>
    <row r="11528" spans="1:1" x14ac:dyDescent="0.25">
      <c r="A11528" t="str">
        <f t="shared" si="24"/>
        <v/>
      </c>
    </row>
    <row r="11529" spans="1:1" x14ac:dyDescent="0.25">
      <c r="A11529" t="str">
        <f t="shared" si="24"/>
        <v/>
      </c>
    </row>
    <row r="11530" spans="1:1" x14ac:dyDescent="0.25">
      <c r="A11530" t="str">
        <f t="shared" si="24"/>
        <v/>
      </c>
    </row>
    <row r="11531" spans="1:1" x14ac:dyDescent="0.25">
      <c r="A11531" t="str">
        <f t="shared" si="24"/>
        <v/>
      </c>
    </row>
    <row r="11532" spans="1:1" x14ac:dyDescent="0.25">
      <c r="A11532" t="str">
        <f t="shared" si="24"/>
        <v/>
      </c>
    </row>
    <row r="11533" spans="1:1" x14ac:dyDescent="0.25">
      <c r="A11533" t="str">
        <f t="shared" si="24"/>
        <v/>
      </c>
    </row>
    <row r="11534" spans="1:1" x14ac:dyDescent="0.25">
      <c r="A11534" t="str">
        <f t="shared" si="24"/>
        <v/>
      </c>
    </row>
    <row r="11535" spans="1:1" x14ac:dyDescent="0.25">
      <c r="A11535" t="str">
        <f t="shared" si="24"/>
        <v/>
      </c>
    </row>
    <row r="11536" spans="1:1" x14ac:dyDescent="0.25">
      <c r="A11536" t="str">
        <f t="shared" si="24"/>
        <v/>
      </c>
    </row>
    <row r="11537" spans="1:1" x14ac:dyDescent="0.25">
      <c r="A11537" t="str">
        <f t="shared" si="24"/>
        <v/>
      </c>
    </row>
    <row r="11538" spans="1:1" x14ac:dyDescent="0.25">
      <c r="A11538" t="str">
        <f t="shared" si="24"/>
        <v/>
      </c>
    </row>
    <row r="11539" spans="1:1" x14ac:dyDescent="0.25">
      <c r="A11539" t="str">
        <f t="shared" si="24"/>
        <v/>
      </c>
    </row>
    <row r="11540" spans="1:1" x14ac:dyDescent="0.25">
      <c r="A11540" t="str">
        <f t="shared" si="24"/>
        <v/>
      </c>
    </row>
    <row r="11541" spans="1:1" x14ac:dyDescent="0.25">
      <c r="A11541" t="str">
        <f t="shared" si="24"/>
        <v/>
      </c>
    </row>
    <row r="11542" spans="1:1" x14ac:dyDescent="0.25">
      <c r="A11542" t="str">
        <f t="shared" si="24"/>
        <v/>
      </c>
    </row>
    <row r="11543" spans="1:1" x14ac:dyDescent="0.25">
      <c r="A11543" t="str">
        <f t="shared" si="24"/>
        <v/>
      </c>
    </row>
    <row r="11544" spans="1:1" x14ac:dyDescent="0.25">
      <c r="A11544" t="str">
        <f t="shared" si="24"/>
        <v/>
      </c>
    </row>
    <row r="11545" spans="1:1" x14ac:dyDescent="0.25">
      <c r="A11545" t="str">
        <f t="shared" si="24"/>
        <v/>
      </c>
    </row>
    <row r="11546" spans="1:1" x14ac:dyDescent="0.25">
      <c r="A11546" t="str">
        <f t="shared" si="24"/>
        <v/>
      </c>
    </row>
    <row r="11547" spans="1:1" x14ac:dyDescent="0.25">
      <c r="A11547" t="str">
        <f t="shared" si="24"/>
        <v/>
      </c>
    </row>
    <row r="11548" spans="1:1" x14ac:dyDescent="0.25">
      <c r="A11548" t="str">
        <f t="shared" si="24"/>
        <v/>
      </c>
    </row>
    <row r="11549" spans="1:1" x14ac:dyDescent="0.25">
      <c r="A11549" t="str">
        <f t="shared" si="24"/>
        <v/>
      </c>
    </row>
    <row r="11550" spans="1:1" x14ac:dyDescent="0.25">
      <c r="A11550" t="str">
        <f t="shared" si="24"/>
        <v/>
      </c>
    </row>
    <row r="11551" spans="1:1" x14ac:dyDescent="0.25">
      <c r="A11551" t="str">
        <f t="shared" si="24"/>
        <v/>
      </c>
    </row>
    <row r="11552" spans="1:1" x14ac:dyDescent="0.25">
      <c r="A11552" t="str">
        <f t="shared" si="24"/>
        <v/>
      </c>
    </row>
    <row r="11553" spans="1:1" x14ac:dyDescent="0.25">
      <c r="A11553" t="str">
        <f t="shared" si="24"/>
        <v/>
      </c>
    </row>
    <row r="11554" spans="1:1" x14ac:dyDescent="0.25">
      <c r="A11554" t="str">
        <f t="shared" si="24"/>
        <v/>
      </c>
    </row>
    <row r="11555" spans="1:1" x14ac:dyDescent="0.25">
      <c r="A11555" t="str">
        <f t="shared" si="24"/>
        <v/>
      </c>
    </row>
    <row r="11556" spans="1:1" x14ac:dyDescent="0.25">
      <c r="A11556" t="str">
        <f t="shared" si="24"/>
        <v/>
      </c>
    </row>
    <row r="11557" spans="1:1" x14ac:dyDescent="0.25">
      <c r="A11557" t="str">
        <f t="shared" si="24"/>
        <v/>
      </c>
    </row>
    <row r="11558" spans="1:1" x14ac:dyDescent="0.25">
      <c r="A11558" t="str">
        <f t="shared" si="24"/>
        <v/>
      </c>
    </row>
    <row r="11559" spans="1:1" x14ac:dyDescent="0.25">
      <c r="A11559" t="str">
        <f t="shared" si="24"/>
        <v/>
      </c>
    </row>
    <row r="11560" spans="1:1" x14ac:dyDescent="0.25">
      <c r="A11560" t="str">
        <f t="shared" si="24"/>
        <v/>
      </c>
    </row>
    <row r="11561" spans="1:1" x14ac:dyDescent="0.25">
      <c r="A11561" t="str">
        <f t="shared" si="24"/>
        <v/>
      </c>
    </row>
    <row r="11562" spans="1:1" x14ac:dyDescent="0.25">
      <c r="A11562" t="str">
        <f t="shared" si="24"/>
        <v/>
      </c>
    </row>
    <row r="11563" spans="1:1" x14ac:dyDescent="0.25">
      <c r="A11563" t="str">
        <f t="shared" si="24"/>
        <v/>
      </c>
    </row>
    <row r="11564" spans="1:1" x14ac:dyDescent="0.25">
      <c r="A11564" t="str">
        <f t="shared" si="24"/>
        <v/>
      </c>
    </row>
    <row r="11565" spans="1:1" x14ac:dyDescent="0.25">
      <c r="A11565" t="str">
        <f t="shared" si="24"/>
        <v/>
      </c>
    </row>
    <row r="11566" spans="1:1" x14ac:dyDescent="0.25">
      <c r="A11566" t="str">
        <f t="shared" si="24"/>
        <v/>
      </c>
    </row>
    <row r="11567" spans="1:1" x14ac:dyDescent="0.25">
      <c r="A11567" t="str">
        <f t="shared" si="24"/>
        <v/>
      </c>
    </row>
    <row r="11568" spans="1:1" x14ac:dyDescent="0.25">
      <c r="A11568" t="str">
        <f t="shared" si="24"/>
        <v/>
      </c>
    </row>
    <row r="11569" spans="1:1" x14ac:dyDescent="0.25">
      <c r="A11569" t="str">
        <f t="shared" si="24"/>
        <v/>
      </c>
    </row>
    <row r="11570" spans="1:1" x14ac:dyDescent="0.25">
      <c r="A11570" t="str">
        <f t="shared" si="24"/>
        <v/>
      </c>
    </row>
    <row r="11571" spans="1:1" x14ac:dyDescent="0.25">
      <c r="A11571" t="str">
        <f t="shared" si="24"/>
        <v/>
      </c>
    </row>
    <row r="11572" spans="1:1" x14ac:dyDescent="0.25">
      <c r="A11572" t="str">
        <f t="shared" si="24"/>
        <v/>
      </c>
    </row>
    <row r="11573" spans="1:1" x14ac:dyDescent="0.25">
      <c r="A11573" t="str">
        <f t="shared" ref="A11573:A11636" si="25">B11571&amp;D11571</f>
        <v/>
      </c>
    </row>
    <row r="11574" spans="1:1" x14ac:dyDescent="0.25">
      <c r="A11574" t="str">
        <f t="shared" si="25"/>
        <v/>
      </c>
    </row>
    <row r="11575" spans="1:1" x14ac:dyDescent="0.25">
      <c r="A11575" t="str">
        <f t="shared" si="25"/>
        <v/>
      </c>
    </row>
    <row r="11576" spans="1:1" x14ac:dyDescent="0.25">
      <c r="A11576" t="str">
        <f t="shared" si="25"/>
        <v/>
      </c>
    </row>
    <row r="11577" spans="1:1" x14ac:dyDescent="0.25">
      <c r="A11577" t="str">
        <f t="shared" si="25"/>
        <v/>
      </c>
    </row>
    <row r="11578" spans="1:1" x14ac:dyDescent="0.25">
      <c r="A11578" t="str">
        <f t="shared" si="25"/>
        <v/>
      </c>
    </row>
    <row r="11579" spans="1:1" x14ac:dyDescent="0.25">
      <c r="A11579" t="str">
        <f t="shared" si="25"/>
        <v/>
      </c>
    </row>
    <row r="11580" spans="1:1" x14ac:dyDescent="0.25">
      <c r="A11580" t="str">
        <f t="shared" si="25"/>
        <v/>
      </c>
    </row>
    <row r="11581" spans="1:1" x14ac:dyDescent="0.25">
      <c r="A11581" t="str">
        <f t="shared" si="25"/>
        <v/>
      </c>
    </row>
    <row r="11582" spans="1:1" x14ac:dyDescent="0.25">
      <c r="A11582" t="str">
        <f t="shared" si="25"/>
        <v/>
      </c>
    </row>
    <row r="11583" spans="1:1" x14ac:dyDescent="0.25">
      <c r="A11583" t="str">
        <f t="shared" si="25"/>
        <v/>
      </c>
    </row>
    <row r="11584" spans="1:1" x14ac:dyDescent="0.25">
      <c r="A11584" t="str">
        <f t="shared" si="25"/>
        <v/>
      </c>
    </row>
    <row r="11585" spans="1:1" x14ac:dyDescent="0.25">
      <c r="A11585" t="str">
        <f t="shared" si="25"/>
        <v/>
      </c>
    </row>
    <row r="11586" spans="1:1" x14ac:dyDescent="0.25">
      <c r="A11586" t="str">
        <f t="shared" si="25"/>
        <v/>
      </c>
    </row>
    <row r="11587" spans="1:1" x14ac:dyDescent="0.25">
      <c r="A11587" t="str">
        <f t="shared" si="25"/>
        <v/>
      </c>
    </row>
    <row r="11588" spans="1:1" x14ac:dyDescent="0.25">
      <c r="A11588" t="str">
        <f t="shared" si="25"/>
        <v/>
      </c>
    </row>
    <row r="11589" spans="1:1" x14ac:dyDescent="0.25">
      <c r="A11589" t="str">
        <f t="shared" si="25"/>
        <v/>
      </c>
    </row>
    <row r="11590" spans="1:1" x14ac:dyDescent="0.25">
      <c r="A11590" t="str">
        <f t="shared" si="25"/>
        <v/>
      </c>
    </row>
    <row r="11591" spans="1:1" x14ac:dyDescent="0.25">
      <c r="A11591" t="str">
        <f t="shared" si="25"/>
        <v/>
      </c>
    </row>
    <row r="11592" spans="1:1" x14ac:dyDescent="0.25">
      <c r="A11592" t="str">
        <f t="shared" si="25"/>
        <v/>
      </c>
    </row>
    <row r="11593" spans="1:1" x14ac:dyDescent="0.25">
      <c r="A11593" t="str">
        <f t="shared" si="25"/>
        <v/>
      </c>
    </row>
    <row r="11594" spans="1:1" x14ac:dyDescent="0.25">
      <c r="A11594" t="str">
        <f t="shared" si="25"/>
        <v/>
      </c>
    </row>
    <row r="11595" spans="1:1" x14ac:dyDescent="0.25">
      <c r="A11595" t="str">
        <f t="shared" si="25"/>
        <v/>
      </c>
    </row>
    <row r="11596" spans="1:1" x14ac:dyDescent="0.25">
      <c r="A11596" t="str">
        <f t="shared" si="25"/>
        <v/>
      </c>
    </row>
    <row r="11597" spans="1:1" x14ac:dyDescent="0.25">
      <c r="A11597" t="str">
        <f t="shared" si="25"/>
        <v/>
      </c>
    </row>
    <row r="11598" spans="1:1" x14ac:dyDescent="0.25">
      <c r="A11598" t="str">
        <f t="shared" si="25"/>
        <v/>
      </c>
    </row>
    <row r="11599" spans="1:1" x14ac:dyDescent="0.25">
      <c r="A11599" t="str">
        <f t="shared" si="25"/>
        <v/>
      </c>
    </row>
    <row r="11600" spans="1:1" x14ac:dyDescent="0.25">
      <c r="A11600" t="str">
        <f t="shared" si="25"/>
        <v/>
      </c>
    </row>
    <row r="11601" spans="1:1" x14ac:dyDescent="0.25">
      <c r="A11601" t="str">
        <f t="shared" si="25"/>
        <v/>
      </c>
    </row>
    <row r="11602" spans="1:1" x14ac:dyDescent="0.25">
      <c r="A11602" t="str">
        <f t="shared" si="25"/>
        <v/>
      </c>
    </row>
    <row r="11603" spans="1:1" x14ac:dyDescent="0.25">
      <c r="A11603" t="str">
        <f t="shared" si="25"/>
        <v/>
      </c>
    </row>
    <row r="11604" spans="1:1" x14ac:dyDescent="0.25">
      <c r="A11604" t="str">
        <f t="shared" si="25"/>
        <v/>
      </c>
    </row>
    <row r="11605" spans="1:1" x14ac:dyDescent="0.25">
      <c r="A11605" t="str">
        <f t="shared" si="25"/>
        <v/>
      </c>
    </row>
    <row r="11606" spans="1:1" x14ac:dyDescent="0.25">
      <c r="A11606" t="str">
        <f t="shared" si="25"/>
        <v/>
      </c>
    </row>
    <row r="11607" spans="1:1" x14ac:dyDescent="0.25">
      <c r="A11607" t="str">
        <f t="shared" si="25"/>
        <v/>
      </c>
    </row>
    <row r="11608" spans="1:1" x14ac:dyDescent="0.25">
      <c r="A11608" t="str">
        <f t="shared" si="25"/>
        <v/>
      </c>
    </row>
    <row r="11609" spans="1:1" x14ac:dyDescent="0.25">
      <c r="A11609" t="str">
        <f t="shared" si="25"/>
        <v/>
      </c>
    </row>
    <row r="11610" spans="1:1" x14ac:dyDescent="0.25">
      <c r="A11610" t="str">
        <f t="shared" si="25"/>
        <v/>
      </c>
    </row>
    <row r="11611" spans="1:1" x14ac:dyDescent="0.25">
      <c r="A11611" t="str">
        <f t="shared" si="25"/>
        <v/>
      </c>
    </row>
    <row r="11612" spans="1:1" x14ac:dyDescent="0.25">
      <c r="A11612" t="str">
        <f t="shared" si="25"/>
        <v/>
      </c>
    </row>
    <row r="11613" spans="1:1" x14ac:dyDescent="0.25">
      <c r="A11613" t="str">
        <f t="shared" si="25"/>
        <v/>
      </c>
    </row>
    <row r="11614" spans="1:1" x14ac:dyDescent="0.25">
      <c r="A11614" t="str">
        <f t="shared" si="25"/>
        <v/>
      </c>
    </row>
    <row r="11615" spans="1:1" x14ac:dyDescent="0.25">
      <c r="A11615" t="str">
        <f t="shared" si="25"/>
        <v/>
      </c>
    </row>
    <row r="11616" spans="1:1" x14ac:dyDescent="0.25">
      <c r="A11616" t="str">
        <f t="shared" si="25"/>
        <v/>
      </c>
    </row>
    <row r="11617" spans="1:1" x14ac:dyDescent="0.25">
      <c r="A11617" t="str">
        <f t="shared" si="25"/>
        <v/>
      </c>
    </row>
    <row r="11618" spans="1:1" x14ac:dyDescent="0.25">
      <c r="A11618" t="str">
        <f t="shared" si="25"/>
        <v/>
      </c>
    </row>
    <row r="11619" spans="1:1" x14ac:dyDescent="0.25">
      <c r="A11619" t="str">
        <f t="shared" si="25"/>
        <v/>
      </c>
    </row>
    <row r="11620" spans="1:1" x14ac:dyDescent="0.25">
      <c r="A11620" t="str">
        <f t="shared" si="25"/>
        <v/>
      </c>
    </row>
    <row r="11621" spans="1:1" x14ac:dyDescent="0.25">
      <c r="A11621" t="str">
        <f t="shared" si="25"/>
        <v/>
      </c>
    </row>
    <row r="11622" spans="1:1" x14ac:dyDescent="0.25">
      <c r="A11622" t="str">
        <f t="shared" si="25"/>
        <v/>
      </c>
    </row>
    <row r="11623" spans="1:1" x14ac:dyDescent="0.25">
      <c r="A11623" t="str">
        <f t="shared" si="25"/>
        <v/>
      </c>
    </row>
    <row r="11624" spans="1:1" x14ac:dyDescent="0.25">
      <c r="A11624" t="str">
        <f t="shared" si="25"/>
        <v/>
      </c>
    </row>
    <row r="11625" spans="1:1" x14ac:dyDescent="0.25">
      <c r="A11625" t="str">
        <f t="shared" si="25"/>
        <v/>
      </c>
    </row>
    <row r="11626" spans="1:1" x14ac:dyDescent="0.25">
      <c r="A11626" t="str">
        <f t="shared" si="25"/>
        <v/>
      </c>
    </row>
    <row r="11627" spans="1:1" x14ac:dyDescent="0.25">
      <c r="A11627" t="str">
        <f t="shared" si="25"/>
        <v/>
      </c>
    </row>
    <row r="11628" spans="1:1" x14ac:dyDescent="0.25">
      <c r="A11628" t="str">
        <f t="shared" si="25"/>
        <v/>
      </c>
    </row>
    <row r="11629" spans="1:1" x14ac:dyDescent="0.25">
      <c r="A11629" t="str">
        <f t="shared" si="25"/>
        <v/>
      </c>
    </row>
    <row r="11630" spans="1:1" x14ac:dyDescent="0.25">
      <c r="A11630" t="str">
        <f t="shared" si="25"/>
        <v/>
      </c>
    </row>
    <row r="11631" spans="1:1" x14ac:dyDescent="0.25">
      <c r="A11631" t="str">
        <f t="shared" si="25"/>
        <v/>
      </c>
    </row>
    <row r="11632" spans="1:1" x14ac:dyDescent="0.25">
      <c r="A11632" t="str">
        <f t="shared" si="25"/>
        <v/>
      </c>
    </row>
    <row r="11633" spans="1:1" x14ac:dyDescent="0.25">
      <c r="A11633" t="str">
        <f t="shared" si="25"/>
        <v/>
      </c>
    </row>
    <row r="11634" spans="1:1" x14ac:dyDescent="0.25">
      <c r="A11634" t="str">
        <f t="shared" si="25"/>
        <v/>
      </c>
    </row>
    <row r="11635" spans="1:1" x14ac:dyDescent="0.25">
      <c r="A11635" t="str">
        <f t="shared" si="25"/>
        <v/>
      </c>
    </row>
    <row r="11636" spans="1:1" x14ac:dyDescent="0.25">
      <c r="A11636" t="str">
        <f t="shared" si="25"/>
        <v/>
      </c>
    </row>
    <row r="11637" spans="1:1" x14ac:dyDescent="0.25">
      <c r="A11637" t="str">
        <f t="shared" ref="A11637:A11700" si="26">B11635&amp;D11635</f>
        <v/>
      </c>
    </row>
    <row r="11638" spans="1:1" x14ac:dyDescent="0.25">
      <c r="A11638" t="str">
        <f t="shared" si="26"/>
        <v/>
      </c>
    </row>
    <row r="11639" spans="1:1" x14ac:dyDescent="0.25">
      <c r="A11639" t="str">
        <f t="shared" si="26"/>
        <v/>
      </c>
    </row>
    <row r="11640" spans="1:1" x14ac:dyDescent="0.25">
      <c r="A11640" t="str">
        <f t="shared" si="26"/>
        <v/>
      </c>
    </row>
    <row r="11641" spans="1:1" x14ac:dyDescent="0.25">
      <c r="A11641" t="str">
        <f t="shared" si="26"/>
        <v/>
      </c>
    </row>
    <row r="11642" spans="1:1" x14ac:dyDescent="0.25">
      <c r="A11642" t="str">
        <f t="shared" si="26"/>
        <v/>
      </c>
    </row>
    <row r="11643" spans="1:1" x14ac:dyDescent="0.25">
      <c r="A11643" t="str">
        <f t="shared" si="26"/>
        <v/>
      </c>
    </row>
    <row r="11644" spans="1:1" x14ac:dyDescent="0.25">
      <c r="A11644" t="str">
        <f t="shared" si="26"/>
        <v/>
      </c>
    </row>
    <row r="11645" spans="1:1" x14ac:dyDescent="0.25">
      <c r="A11645" t="str">
        <f t="shared" si="26"/>
        <v/>
      </c>
    </row>
    <row r="11646" spans="1:1" x14ac:dyDescent="0.25">
      <c r="A11646" t="str">
        <f t="shared" si="26"/>
        <v/>
      </c>
    </row>
    <row r="11647" spans="1:1" x14ac:dyDescent="0.25">
      <c r="A11647" t="str">
        <f t="shared" si="26"/>
        <v/>
      </c>
    </row>
    <row r="11648" spans="1:1" x14ac:dyDescent="0.25">
      <c r="A11648" t="str">
        <f t="shared" si="26"/>
        <v/>
      </c>
    </row>
    <row r="11649" spans="1:1" x14ac:dyDescent="0.25">
      <c r="A11649" t="str">
        <f t="shared" si="26"/>
        <v/>
      </c>
    </row>
    <row r="11650" spans="1:1" x14ac:dyDescent="0.25">
      <c r="A11650" t="str">
        <f t="shared" si="26"/>
        <v/>
      </c>
    </row>
    <row r="11651" spans="1:1" x14ac:dyDescent="0.25">
      <c r="A11651" t="str">
        <f t="shared" si="26"/>
        <v/>
      </c>
    </row>
    <row r="11652" spans="1:1" x14ac:dyDescent="0.25">
      <c r="A11652" t="str">
        <f t="shared" si="26"/>
        <v/>
      </c>
    </row>
    <row r="11653" spans="1:1" x14ac:dyDescent="0.25">
      <c r="A11653" t="str">
        <f t="shared" si="26"/>
        <v/>
      </c>
    </row>
    <row r="11654" spans="1:1" x14ac:dyDescent="0.25">
      <c r="A11654" t="str">
        <f t="shared" si="26"/>
        <v/>
      </c>
    </row>
    <row r="11655" spans="1:1" x14ac:dyDescent="0.25">
      <c r="A11655" t="str">
        <f t="shared" si="26"/>
        <v/>
      </c>
    </row>
    <row r="11656" spans="1:1" x14ac:dyDescent="0.25">
      <c r="A11656" t="str">
        <f t="shared" si="26"/>
        <v/>
      </c>
    </row>
    <row r="11657" spans="1:1" x14ac:dyDescent="0.25">
      <c r="A11657" t="str">
        <f t="shared" si="26"/>
        <v/>
      </c>
    </row>
    <row r="11658" spans="1:1" x14ac:dyDescent="0.25">
      <c r="A11658" t="str">
        <f t="shared" si="26"/>
        <v/>
      </c>
    </row>
    <row r="11659" spans="1:1" x14ac:dyDescent="0.25">
      <c r="A11659" t="str">
        <f t="shared" si="26"/>
        <v/>
      </c>
    </row>
    <row r="11660" spans="1:1" x14ac:dyDescent="0.25">
      <c r="A11660" t="str">
        <f t="shared" si="26"/>
        <v/>
      </c>
    </row>
    <row r="11661" spans="1:1" x14ac:dyDescent="0.25">
      <c r="A11661" t="str">
        <f t="shared" si="26"/>
        <v/>
      </c>
    </row>
    <row r="11662" spans="1:1" x14ac:dyDescent="0.25">
      <c r="A11662" t="str">
        <f t="shared" si="26"/>
        <v/>
      </c>
    </row>
    <row r="11663" spans="1:1" x14ac:dyDescent="0.25">
      <c r="A11663" t="str">
        <f t="shared" si="26"/>
        <v/>
      </c>
    </row>
    <row r="11664" spans="1:1" x14ac:dyDescent="0.25">
      <c r="A11664" t="str">
        <f t="shared" si="26"/>
        <v/>
      </c>
    </row>
    <row r="11665" spans="1:1" x14ac:dyDescent="0.25">
      <c r="A11665" t="str">
        <f t="shared" si="26"/>
        <v/>
      </c>
    </row>
    <row r="11666" spans="1:1" x14ac:dyDescent="0.25">
      <c r="A11666" t="str">
        <f t="shared" si="26"/>
        <v/>
      </c>
    </row>
    <row r="11667" spans="1:1" x14ac:dyDescent="0.25">
      <c r="A11667" t="str">
        <f t="shared" si="26"/>
        <v/>
      </c>
    </row>
    <row r="11668" spans="1:1" x14ac:dyDescent="0.25">
      <c r="A11668" t="str">
        <f t="shared" si="26"/>
        <v/>
      </c>
    </row>
    <row r="11669" spans="1:1" x14ac:dyDescent="0.25">
      <c r="A11669" t="str">
        <f t="shared" si="26"/>
        <v/>
      </c>
    </row>
    <row r="11670" spans="1:1" x14ac:dyDescent="0.25">
      <c r="A11670" t="str">
        <f t="shared" si="26"/>
        <v/>
      </c>
    </row>
    <row r="11671" spans="1:1" x14ac:dyDescent="0.25">
      <c r="A11671" t="str">
        <f t="shared" si="26"/>
        <v/>
      </c>
    </row>
    <row r="11672" spans="1:1" x14ac:dyDescent="0.25">
      <c r="A11672" t="str">
        <f t="shared" si="26"/>
        <v/>
      </c>
    </row>
    <row r="11673" spans="1:1" x14ac:dyDescent="0.25">
      <c r="A11673" t="str">
        <f t="shared" si="26"/>
        <v/>
      </c>
    </row>
    <row r="11674" spans="1:1" x14ac:dyDescent="0.25">
      <c r="A11674" t="str">
        <f t="shared" si="26"/>
        <v/>
      </c>
    </row>
    <row r="11675" spans="1:1" x14ac:dyDescent="0.25">
      <c r="A11675" t="str">
        <f t="shared" si="26"/>
        <v/>
      </c>
    </row>
    <row r="11676" spans="1:1" x14ac:dyDescent="0.25">
      <c r="A11676" t="str">
        <f t="shared" si="26"/>
        <v/>
      </c>
    </row>
    <row r="11677" spans="1:1" x14ac:dyDescent="0.25">
      <c r="A11677" t="str">
        <f t="shared" si="26"/>
        <v/>
      </c>
    </row>
    <row r="11678" spans="1:1" x14ac:dyDescent="0.25">
      <c r="A11678" t="str">
        <f t="shared" si="26"/>
        <v/>
      </c>
    </row>
    <row r="11679" spans="1:1" x14ac:dyDescent="0.25">
      <c r="A11679" t="str">
        <f t="shared" si="26"/>
        <v/>
      </c>
    </row>
    <row r="11680" spans="1:1" x14ac:dyDescent="0.25">
      <c r="A11680" t="str">
        <f t="shared" si="26"/>
        <v/>
      </c>
    </row>
    <row r="11681" spans="1:1" x14ac:dyDescent="0.25">
      <c r="A11681" t="str">
        <f t="shared" si="26"/>
        <v/>
      </c>
    </row>
    <row r="11682" spans="1:1" x14ac:dyDescent="0.25">
      <c r="A11682" t="str">
        <f t="shared" si="26"/>
        <v/>
      </c>
    </row>
    <row r="11683" spans="1:1" x14ac:dyDescent="0.25">
      <c r="A11683" t="str">
        <f t="shared" si="26"/>
        <v/>
      </c>
    </row>
    <row r="11684" spans="1:1" x14ac:dyDescent="0.25">
      <c r="A11684" t="str">
        <f t="shared" si="26"/>
        <v/>
      </c>
    </row>
    <row r="11685" spans="1:1" x14ac:dyDescent="0.25">
      <c r="A11685" t="str">
        <f t="shared" si="26"/>
        <v/>
      </c>
    </row>
    <row r="11686" spans="1:1" x14ac:dyDescent="0.25">
      <c r="A11686" t="str">
        <f t="shared" si="26"/>
        <v/>
      </c>
    </row>
    <row r="11687" spans="1:1" x14ac:dyDescent="0.25">
      <c r="A11687" t="str">
        <f t="shared" si="26"/>
        <v/>
      </c>
    </row>
    <row r="11688" spans="1:1" x14ac:dyDescent="0.25">
      <c r="A11688" t="str">
        <f t="shared" si="26"/>
        <v/>
      </c>
    </row>
    <row r="11689" spans="1:1" x14ac:dyDescent="0.25">
      <c r="A11689" t="str">
        <f t="shared" si="26"/>
        <v/>
      </c>
    </row>
    <row r="11690" spans="1:1" x14ac:dyDescent="0.25">
      <c r="A11690" t="str">
        <f t="shared" si="26"/>
        <v/>
      </c>
    </row>
    <row r="11691" spans="1:1" x14ac:dyDescent="0.25">
      <c r="A11691" t="str">
        <f t="shared" si="26"/>
        <v/>
      </c>
    </row>
    <row r="11692" spans="1:1" x14ac:dyDescent="0.25">
      <c r="A11692" t="str">
        <f t="shared" si="26"/>
        <v/>
      </c>
    </row>
    <row r="11693" spans="1:1" x14ac:dyDescent="0.25">
      <c r="A11693" t="str">
        <f t="shared" si="26"/>
        <v/>
      </c>
    </row>
    <row r="11694" spans="1:1" x14ac:dyDescent="0.25">
      <c r="A11694" t="str">
        <f t="shared" si="26"/>
        <v/>
      </c>
    </row>
    <row r="11695" spans="1:1" x14ac:dyDescent="0.25">
      <c r="A11695" t="str">
        <f t="shared" si="26"/>
        <v/>
      </c>
    </row>
    <row r="11696" spans="1:1" x14ac:dyDescent="0.25">
      <c r="A11696" t="str">
        <f t="shared" si="26"/>
        <v/>
      </c>
    </row>
    <row r="11697" spans="1:1" x14ac:dyDescent="0.25">
      <c r="A11697" t="str">
        <f t="shared" si="26"/>
        <v/>
      </c>
    </row>
    <row r="11698" spans="1:1" x14ac:dyDescent="0.25">
      <c r="A11698" t="str">
        <f t="shared" si="26"/>
        <v/>
      </c>
    </row>
    <row r="11699" spans="1:1" x14ac:dyDescent="0.25">
      <c r="A11699" t="str">
        <f t="shared" si="26"/>
        <v/>
      </c>
    </row>
    <row r="11700" spans="1:1" x14ac:dyDescent="0.25">
      <c r="A11700" t="str">
        <f t="shared" si="26"/>
        <v/>
      </c>
    </row>
    <row r="11701" spans="1:1" x14ac:dyDescent="0.25">
      <c r="A11701" t="str">
        <f t="shared" ref="A11701:A11764" si="27">B11699&amp;D11699</f>
        <v/>
      </c>
    </row>
    <row r="11702" spans="1:1" x14ac:dyDescent="0.25">
      <c r="A11702" t="str">
        <f t="shared" si="27"/>
        <v/>
      </c>
    </row>
    <row r="11703" spans="1:1" x14ac:dyDescent="0.25">
      <c r="A11703" t="str">
        <f t="shared" si="27"/>
        <v/>
      </c>
    </row>
    <row r="11704" spans="1:1" x14ac:dyDescent="0.25">
      <c r="A11704" t="str">
        <f t="shared" si="27"/>
        <v/>
      </c>
    </row>
    <row r="11705" spans="1:1" x14ac:dyDescent="0.25">
      <c r="A11705" t="str">
        <f t="shared" si="27"/>
        <v/>
      </c>
    </row>
    <row r="11706" spans="1:1" x14ac:dyDescent="0.25">
      <c r="A11706" t="str">
        <f t="shared" si="27"/>
        <v/>
      </c>
    </row>
    <row r="11707" spans="1:1" x14ac:dyDescent="0.25">
      <c r="A11707" t="str">
        <f t="shared" si="27"/>
        <v/>
      </c>
    </row>
    <row r="11708" spans="1:1" x14ac:dyDescent="0.25">
      <c r="A11708" t="str">
        <f t="shared" si="27"/>
        <v/>
      </c>
    </row>
    <row r="11709" spans="1:1" x14ac:dyDescent="0.25">
      <c r="A11709" t="str">
        <f t="shared" si="27"/>
        <v/>
      </c>
    </row>
    <row r="11710" spans="1:1" x14ac:dyDescent="0.25">
      <c r="A11710" t="str">
        <f t="shared" si="27"/>
        <v/>
      </c>
    </row>
    <row r="11711" spans="1:1" x14ac:dyDescent="0.25">
      <c r="A11711" t="str">
        <f t="shared" si="27"/>
        <v/>
      </c>
    </row>
    <row r="11712" spans="1:1" x14ac:dyDescent="0.25">
      <c r="A11712" t="str">
        <f t="shared" si="27"/>
        <v/>
      </c>
    </row>
    <row r="11713" spans="1:1" x14ac:dyDescent="0.25">
      <c r="A11713" t="str">
        <f t="shared" si="27"/>
        <v/>
      </c>
    </row>
    <row r="11714" spans="1:1" x14ac:dyDescent="0.25">
      <c r="A11714" t="str">
        <f t="shared" si="27"/>
        <v/>
      </c>
    </row>
    <row r="11715" spans="1:1" x14ac:dyDescent="0.25">
      <c r="A11715" t="str">
        <f t="shared" si="27"/>
        <v/>
      </c>
    </row>
    <row r="11716" spans="1:1" x14ac:dyDescent="0.25">
      <c r="A11716" t="str">
        <f t="shared" si="27"/>
        <v/>
      </c>
    </row>
    <row r="11717" spans="1:1" x14ac:dyDescent="0.25">
      <c r="A11717" t="str">
        <f t="shared" si="27"/>
        <v/>
      </c>
    </row>
    <row r="11718" spans="1:1" x14ac:dyDescent="0.25">
      <c r="A11718" t="str">
        <f t="shared" si="27"/>
        <v/>
      </c>
    </row>
    <row r="11719" spans="1:1" x14ac:dyDescent="0.25">
      <c r="A11719" t="str">
        <f t="shared" si="27"/>
        <v/>
      </c>
    </row>
    <row r="11720" spans="1:1" x14ac:dyDescent="0.25">
      <c r="A11720" t="str">
        <f t="shared" si="27"/>
        <v/>
      </c>
    </row>
    <row r="11721" spans="1:1" x14ac:dyDescent="0.25">
      <c r="A11721" t="str">
        <f t="shared" si="27"/>
        <v/>
      </c>
    </row>
    <row r="11722" spans="1:1" x14ac:dyDescent="0.25">
      <c r="A11722" t="str">
        <f t="shared" si="27"/>
        <v/>
      </c>
    </row>
    <row r="11723" spans="1:1" x14ac:dyDescent="0.25">
      <c r="A11723" t="str">
        <f t="shared" si="27"/>
        <v/>
      </c>
    </row>
    <row r="11724" spans="1:1" x14ac:dyDescent="0.25">
      <c r="A11724" t="str">
        <f t="shared" si="27"/>
        <v/>
      </c>
    </row>
    <row r="11725" spans="1:1" x14ac:dyDescent="0.25">
      <c r="A11725" t="str">
        <f t="shared" si="27"/>
        <v/>
      </c>
    </row>
    <row r="11726" spans="1:1" x14ac:dyDescent="0.25">
      <c r="A11726" t="str">
        <f t="shared" si="27"/>
        <v/>
      </c>
    </row>
    <row r="11727" spans="1:1" x14ac:dyDescent="0.25">
      <c r="A11727" t="str">
        <f t="shared" si="27"/>
        <v/>
      </c>
    </row>
    <row r="11728" spans="1:1" x14ac:dyDescent="0.25">
      <c r="A11728" t="str">
        <f t="shared" si="27"/>
        <v/>
      </c>
    </row>
    <row r="11729" spans="1:1" x14ac:dyDescent="0.25">
      <c r="A11729" t="str">
        <f t="shared" si="27"/>
        <v/>
      </c>
    </row>
    <row r="11730" spans="1:1" x14ac:dyDescent="0.25">
      <c r="A11730" t="str">
        <f t="shared" si="27"/>
        <v/>
      </c>
    </row>
    <row r="11731" spans="1:1" x14ac:dyDescent="0.25">
      <c r="A11731" t="str">
        <f t="shared" si="27"/>
        <v/>
      </c>
    </row>
    <row r="11732" spans="1:1" x14ac:dyDescent="0.25">
      <c r="A11732" t="str">
        <f t="shared" si="27"/>
        <v/>
      </c>
    </row>
    <row r="11733" spans="1:1" x14ac:dyDescent="0.25">
      <c r="A11733" t="str">
        <f t="shared" si="27"/>
        <v/>
      </c>
    </row>
    <row r="11734" spans="1:1" x14ac:dyDescent="0.25">
      <c r="A11734" t="str">
        <f t="shared" si="27"/>
        <v/>
      </c>
    </row>
    <row r="11735" spans="1:1" x14ac:dyDescent="0.25">
      <c r="A11735" t="str">
        <f t="shared" si="27"/>
        <v/>
      </c>
    </row>
    <row r="11736" spans="1:1" x14ac:dyDescent="0.25">
      <c r="A11736" t="str">
        <f t="shared" si="27"/>
        <v/>
      </c>
    </row>
    <row r="11737" spans="1:1" x14ac:dyDescent="0.25">
      <c r="A11737" t="str">
        <f t="shared" si="27"/>
        <v/>
      </c>
    </row>
    <row r="11738" spans="1:1" x14ac:dyDescent="0.25">
      <c r="A11738" t="str">
        <f t="shared" si="27"/>
        <v/>
      </c>
    </row>
    <row r="11739" spans="1:1" x14ac:dyDescent="0.25">
      <c r="A11739" t="str">
        <f t="shared" si="27"/>
        <v/>
      </c>
    </row>
    <row r="11740" spans="1:1" x14ac:dyDescent="0.25">
      <c r="A11740" t="str">
        <f t="shared" si="27"/>
        <v/>
      </c>
    </row>
    <row r="11741" spans="1:1" x14ac:dyDescent="0.25">
      <c r="A11741" t="str">
        <f t="shared" si="27"/>
        <v/>
      </c>
    </row>
    <row r="11742" spans="1:1" x14ac:dyDescent="0.25">
      <c r="A11742" t="str">
        <f t="shared" si="27"/>
        <v/>
      </c>
    </row>
    <row r="11743" spans="1:1" x14ac:dyDescent="0.25">
      <c r="A11743" t="str">
        <f t="shared" si="27"/>
        <v/>
      </c>
    </row>
    <row r="11744" spans="1:1" x14ac:dyDescent="0.25">
      <c r="A11744" t="str">
        <f t="shared" si="27"/>
        <v/>
      </c>
    </row>
    <row r="11745" spans="1:1" x14ac:dyDescent="0.25">
      <c r="A11745" t="str">
        <f t="shared" si="27"/>
        <v/>
      </c>
    </row>
    <row r="11746" spans="1:1" x14ac:dyDescent="0.25">
      <c r="A11746" t="str">
        <f t="shared" si="27"/>
        <v/>
      </c>
    </row>
    <row r="11747" spans="1:1" x14ac:dyDescent="0.25">
      <c r="A11747" t="str">
        <f t="shared" si="27"/>
        <v/>
      </c>
    </row>
    <row r="11748" spans="1:1" x14ac:dyDescent="0.25">
      <c r="A11748" t="str">
        <f t="shared" si="27"/>
        <v/>
      </c>
    </row>
    <row r="11749" spans="1:1" x14ac:dyDescent="0.25">
      <c r="A11749" t="str">
        <f t="shared" si="27"/>
        <v/>
      </c>
    </row>
    <row r="11750" spans="1:1" x14ac:dyDescent="0.25">
      <c r="A11750" t="str">
        <f t="shared" si="27"/>
        <v/>
      </c>
    </row>
    <row r="11751" spans="1:1" x14ac:dyDescent="0.25">
      <c r="A11751" t="str">
        <f t="shared" si="27"/>
        <v/>
      </c>
    </row>
    <row r="11752" spans="1:1" x14ac:dyDescent="0.25">
      <c r="A11752" t="str">
        <f t="shared" si="27"/>
        <v/>
      </c>
    </row>
    <row r="11753" spans="1:1" x14ac:dyDescent="0.25">
      <c r="A11753" t="str">
        <f t="shared" si="27"/>
        <v/>
      </c>
    </row>
    <row r="11754" spans="1:1" x14ac:dyDescent="0.25">
      <c r="A11754" t="str">
        <f t="shared" si="27"/>
        <v/>
      </c>
    </row>
    <row r="11755" spans="1:1" x14ac:dyDescent="0.25">
      <c r="A11755" t="str">
        <f t="shared" si="27"/>
        <v/>
      </c>
    </row>
    <row r="11756" spans="1:1" x14ac:dyDescent="0.25">
      <c r="A11756" t="str">
        <f t="shared" si="27"/>
        <v/>
      </c>
    </row>
    <row r="11757" spans="1:1" x14ac:dyDescent="0.25">
      <c r="A11757" t="str">
        <f t="shared" si="27"/>
        <v/>
      </c>
    </row>
    <row r="11758" spans="1:1" x14ac:dyDescent="0.25">
      <c r="A11758" t="str">
        <f t="shared" si="27"/>
        <v/>
      </c>
    </row>
    <row r="11759" spans="1:1" x14ac:dyDescent="0.25">
      <c r="A11759" t="str">
        <f t="shared" si="27"/>
        <v/>
      </c>
    </row>
    <row r="11760" spans="1:1" x14ac:dyDescent="0.25">
      <c r="A11760" t="str">
        <f t="shared" si="27"/>
        <v/>
      </c>
    </row>
    <row r="11761" spans="1:1" x14ac:dyDescent="0.25">
      <c r="A11761" t="str">
        <f t="shared" si="27"/>
        <v/>
      </c>
    </row>
    <row r="11762" spans="1:1" x14ac:dyDescent="0.25">
      <c r="A11762" t="str">
        <f t="shared" si="27"/>
        <v/>
      </c>
    </row>
    <row r="11763" spans="1:1" x14ac:dyDescent="0.25">
      <c r="A11763" t="str">
        <f t="shared" si="27"/>
        <v/>
      </c>
    </row>
    <row r="11764" spans="1:1" x14ac:dyDescent="0.25">
      <c r="A11764" t="str">
        <f t="shared" si="27"/>
        <v/>
      </c>
    </row>
    <row r="11765" spans="1:1" x14ac:dyDescent="0.25">
      <c r="A11765" t="str">
        <f t="shared" ref="A11765:A11828" si="28">B11763&amp;D11763</f>
        <v/>
      </c>
    </row>
    <row r="11766" spans="1:1" x14ac:dyDescent="0.25">
      <c r="A11766" t="str">
        <f t="shared" si="28"/>
        <v/>
      </c>
    </row>
    <row r="11767" spans="1:1" x14ac:dyDescent="0.25">
      <c r="A11767" t="str">
        <f t="shared" si="28"/>
        <v/>
      </c>
    </row>
    <row r="11768" spans="1:1" x14ac:dyDescent="0.25">
      <c r="A11768" t="str">
        <f t="shared" si="28"/>
        <v/>
      </c>
    </row>
    <row r="11769" spans="1:1" x14ac:dyDescent="0.25">
      <c r="A11769" t="str">
        <f t="shared" si="28"/>
        <v/>
      </c>
    </row>
    <row r="11770" spans="1:1" x14ac:dyDescent="0.25">
      <c r="A11770" t="str">
        <f t="shared" si="28"/>
        <v/>
      </c>
    </row>
    <row r="11771" spans="1:1" x14ac:dyDescent="0.25">
      <c r="A11771" t="str">
        <f t="shared" si="28"/>
        <v/>
      </c>
    </row>
    <row r="11772" spans="1:1" x14ac:dyDescent="0.25">
      <c r="A11772" t="str">
        <f t="shared" si="28"/>
        <v/>
      </c>
    </row>
    <row r="11773" spans="1:1" x14ac:dyDescent="0.25">
      <c r="A11773" t="str">
        <f t="shared" si="28"/>
        <v/>
      </c>
    </row>
    <row r="11774" spans="1:1" x14ac:dyDescent="0.25">
      <c r="A11774" t="str">
        <f t="shared" si="28"/>
        <v/>
      </c>
    </row>
    <row r="11775" spans="1:1" x14ac:dyDescent="0.25">
      <c r="A11775" t="str">
        <f t="shared" si="28"/>
        <v/>
      </c>
    </row>
    <row r="11776" spans="1:1" x14ac:dyDescent="0.25">
      <c r="A11776" t="str">
        <f t="shared" si="28"/>
        <v/>
      </c>
    </row>
    <row r="11777" spans="1:1" x14ac:dyDescent="0.25">
      <c r="A11777" t="str">
        <f t="shared" si="28"/>
        <v/>
      </c>
    </row>
    <row r="11778" spans="1:1" x14ac:dyDescent="0.25">
      <c r="A11778" t="str">
        <f t="shared" si="28"/>
        <v/>
      </c>
    </row>
    <row r="11779" spans="1:1" x14ac:dyDescent="0.25">
      <c r="A11779" t="str">
        <f t="shared" si="28"/>
        <v/>
      </c>
    </row>
    <row r="11780" spans="1:1" x14ac:dyDescent="0.25">
      <c r="A11780" t="str">
        <f t="shared" si="28"/>
        <v/>
      </c>
    </row>
    <row r="11781" spans="1:1" x14ac:dyDescent="0.25">
      <c r="A11781" t="str">
        <f t="shared" si="28"/>
        <v/>
      </c>
    </row>
    <row r="11782" spans="1:1" x14ac:dyDescent="0.25">
      <c r="A11782" t="str">
        <f t="shared" si="28"/>
        <v/>
      </c>
    </row>
    <row r="11783" spans="1:1" x14ac:dyDescent="0.25">
      <c r="A11783" t="str">
        <f t="shared" si="28"/>
        <v/>
      </c>
    </row>
    <row r="11784" spans="1:1" x14ac:dyDescent="0.25">
      <c r="A11784" t="str">
        <f t="shared" si="28"/>
        <v/>
      </c>
    </row>
    <row r="11785" spans="1:1" x14ac:dyDescent="0.25">
      <c r="A11785" t="str">
        <f t="shared" si="28"/>
        <v/>
      </c>
    </row>
    <row r="11786" spans="1:1" x14ac:dyDescent="0.25">
      <c r="A11786" t="str">
        <f t="shared" si="28"/>
        <v/>
      </c>
    </row>
    <row r="11787" spans="1:1" x14ac:dyDescent="0.25">
      <c r="A11787" t="str">
        <f t="shared" si="28"/>
        <v/>
      </c>
    </row>
    <row r="11788" spans="1:1" x14ac:dyDescent="0.25">
      <c r="A11788" t="str">
        <f t="shared" si="28"/>
        <v/>
      </c>
    </row>
    <row r="11789" spans="1:1" x14ac:dyDescent="0.25">
      <c r="A11789" t="str">
        <f t="shared" si="28"/>
        <v/>
      </c>
    </row>
    <row r="11790" spans="1:1" x14ac:dyDescent="0.25">
      <c r="A11790" t="str">
        <f t="shared" si="28"/>
        <v/>
      </c>
    </row>
    <row r="11791" spans="1:1" x14ac:dyDescent="0.25">
      <c r="A11791" t="str">
        <f t="shared" si="28"/>
        <v/>
      </c>
    </row>
    <row r="11792" spans="1:1" x14ac:dyDescent="0.25">
      <c r="A11792" t="str">
        <f t="shared" si="28"/>
        <v/>
      </c>
    </row>
    <row r="11793" spans="1:1" x14ac:dyDescent="0.25">
      <c r="A11793" t="str">
        <f t="shared" si="28"/>
        <v/>
      </c>
    </row>
    <row r="11794" spans="1:1" x14ac:dyDescent="0.25">
      <c r="A11794" t="str">
        <f t="shared" si="28"/>
        <v/>
      </c>
    </row>
    <row r="11795" spans="1:1" x14ac:dyDescent="0.25">
      <c r="A11795" t="str">
        <f t="shared" si="28"/>
        <v/>
      </c>
    </row>
    <row r="11796" spans="1:1" x14ac:dyDescent="0.25">
      <c r="A11796" t="str">
        <f t="shared" si="28"/>
        <v/>
      </c>
    </row>
    <row r="11797" spans="1:1" x14ac:dyDescent="0.25">
      <c r="A11797" t="str">
        <f t="shared" si="28"/>
        <v/>
      </c>
    </row>
    <row r="11798" spans="1:1" x14ac:dyDescent="0.25">
      <c r="A11798" t="str">
        <f t="shared" si="28"/>
        <v/>
      </c>
    </row>
    <row r="11799" spans="1:1" x14ac:dyDescent="0.25">
      <c r="A11799" t="str">
        <f t="shared" si="28"/>
        <v/>
      </c>
    </row>
    <row r="11800" spans="1:1" x14ac:dyDescent="0.25">
      <c r="A11800" t="str">
        <f t="shared" si="28"/>
        <v/>
      </c>
    </row>
    <row r="11801" spans="1:1" x14ac:dyDescent="0.25">
      <c r="A11801" t="str">
        <f t="shared" si="28"/>
        <v/>
      </c>
    </row>
    <row r="11802" spans="1:1" x14ac:dyDescent="0.25">
      <c r="A11802" t="str">
        <f t="shared" si="28"/>
        <v/>
      </c>
    </row>
    <row r="11803" spans="1:1" x14ac:dyDescent="0.25">
      <c r="A11803" t="str">
        <f t="shared" si="28"/>
        <v/>
      </c>
    </row>
    <row r="11804" spans="1:1" x14ac:dyDescent="0.25">
      <c r="A11804" t="str">
        <f t="shared" si="28"/>
        <v/>
      </c>
    </row>
    <row r="11805" spans="1:1" x14ac:dyDescent="0.25">
      <c r="A11805" t="str">
        <f t="shared" si="28"/>
        <v/>
      </c>
    </row>
    <row r="11806" spans="1:1" x14ac:dyDescent="0.25">
      <c r="A11806" t="str">
        <f t="shared" si="28"/>
        <v/>
      </c>
    </row>
    <row r="11807" spans="1:1" x14ac:dyDescent="0.25">
      <c r="A11807" t="str">
        <f t="shared" si="28"/>
        <v/>
      </c>
    </row>
    <row r="11808" spans="1:1" x14ac:dyDescent="0.25">
      <c r="A11808" t="str">
        <f t="shared" si="28"/>
        <v/>
      </c>
    </row>
    <row r="11809" spans="1:1" x14ac:dyDescent="0.25">
      <c r="A11809" t="str">
        <f t="shared" si="28"/>
        <v/>
      </c>
    </row>
    <row r="11810" spans="1:1" x14ac:dyDescent="0.25">
      <c r="A11810" t="str">
        <f t="shared" si="28"/>
        <v/>
      </c>
    </row>
    <row r="11811" spans="1:1" x14ac:dyDescent="0.25">
      <c r="A11811" t="str">
        <f t="shared" si="28"/>
        <v/>
      </c>
    </row>
    <row r="11812" spans="1:1" x14ac:dyDescent="0.25">
      <c r="A11812" t="str">
        <f t="shared" si="28"/>
        <v/>
      </c>
    </row>
    <row r="11813" spans="1:1" x14ac:dyDescent="0.25">
      <c r="A11813" t="str">
        <f t="shared" si="28"/>
        <v/>
      </c>
    </row>
    <row r="11814" spans="1:1" x14ac:dyDescent="0.25">
      <c r="A11814" t="str">
        <f t="shared" si="28"/>
        <v/>
      </c>
    </row>
    <row r="11815" spans="1:1" x14ac:dyDescent="0.25">
      <c r="A11815" t="str">
        <f t="shared" si="28"/>
        <v/>
      </c>
    </row>
    <row r="11816" spans="1:1" x14ac:dyDescent="0.25">
      <c r="A11816" t="str">
        <f t="shared" si="28"/>
        <v/>
      </c>
    </row>
    <row r="11817" spans="1:1" x14ac:dyDescent="0.25">
      <c r="A11817" t="str">
        <f t="shared" si="28"/>
        <v/>
      </c>
    </row>
    <row r="11818" spans="1:1" x14ac:dyDescent="0.25">
      <c r="A11818" t="str">
        <f t="shared" si="28"/>
        <v/>
      </c>
    </row>
    <row r="11819" spans="1:1" x14ac:dyDescent="0.25">
      <c r="A11819" t="str">
        <f t="shared" si="28"/>
        <v/>
      </c>
    </row>
    <row r="11820" spans="1:1" x14ac:dyDescent="0.25">
      <c r="A11820" t="str">
        <f t="shared" si="28"/>
        <v/>
      </c>
    </row>
    <row r="11821" spans="1:1" x14ac:dyDescent="0.25">
      <c r="A11821" t="str">
        <f t="shared" si="28"/>
        <v/>
      </c>
    </row>
    <row r="11822" spans="1:1" x14ac:dyDescent="0.25">
      <c r="A11822" t="str">
        <f t="shared" si="28"/>
        <v/>
      </c>
    </row>
    <row r="11823" spans="1:1" x14ac:dyDescent="0.25">
      <c r="A11823" t="str">
        <f t="shared" si="28"/>
        <v/>
      </c>
    </row>
    <row r="11824" spans="1:1" x14ac:dyDescent="0.25">
      <c r="A11824" t="str">
        <f t="shared" si="28"/>
        <v/>
      </c>
    </row>
    <row r="11825" spans="1:1" x14ac:dyDescent="0.25">
      <c r="A11825" t="str">
        <f t="shared" si="28"/>
        <v/>
      </c>
    </row>
    <row r="11826" spans="1:1" x14ac:dyDescent="0.25">
      <c r="A11826" t="str">
        <f t="shared" si="28"/>
        <v/>
      </c>
    </row>
    <row r="11827" spans="1:1" x14ac:dyDescent="0.25">
      <c r="A11827" t="str">
        <f t="shared" si="28"/>
        <v/>
      </c>
    </row>
    <row r="11828" spans="1:1" x14ac:dyDescent="0.25">
      <c r="A11828" t="str">
        <f t="shared" si="28"/>
        <v/>
      </c>
    </row>
    <row r="11829" spans="1:1" x14ac:dyDescent="0.25">
      <c r="A11829" t="str">
        <f t="shared" ref="A11829:A11892" si="29">B11827&amp;D11827</f>
        <v/>
      </c>
    </row>
    <row r="11830" spans="1:1" x14ac:dyDescent="0.25">
      <c r="A11830" t="str">
        <f t="shared" si="29"/>
        <v/>
      </c>
    </row>
    <row r="11831" spans="1:1" x14ac:dyDescent="0.25">
      <c r="A11831" t="str">
        <f t="shared" si="29"/>
        <v/>
      </c>
    </row>
    <row r="11832" spans="1:1" x14ac:dyDescent="0.25">
      <c r="A11832" t="str">
        <f t="shared" si="29"/>
        <v/>
      </c>
    </row>
    <row r="11833" spans="1:1" x14ac:dyDescent="0.25">
      <c r="A11833" t="str">
        <f t="shared" si="29"/>
        <v/>
      </c>
    </row>
    <row r="11834" spans="1:1" x14ac:dyDescent="0.25">
      <c r="A11834" t="str">
        <f t="shared" si="29"/>
        <v/>
      </c>
    </row>
    <row r="11835" spans="1:1" x14ac:dyDescent="0.25">
      <c r="A11835" t="str">
        <f t="shared" si="29"/>
        <v/>
      </c>
    </row>
    <row r="11836" spans="1:1" x14ac:dyDescent="0.25">
      <c r="A11836" t="str">
        <f t="shared" si="29"/>
        <v/>
      </c>
    </row>
    <row r="11837" spans="1:1" x14ac:dyDescent="0.25">
      <c r="A11837" t="str">
        <f t="shared" si="29"/>
        <v/>
      </c>
    </row>
    <row r="11838" spans="1:1" x14ac:dyDescent="0.25">
      <c r="A11838" t="str">
        <f t="shared" si="29"/>
        <v/>
      </c>
    </row>
    <row r="11839" spans="1:1" x14ac:dyDescent="0.25">
      <c r="A11839" t="str">
        <f t="shared" si="29"/>
        <v/>
      </c>
    </row>
    <row r="11840" spans="1:1" x14ac:dyDescent="0.25">
      <c r="A11840" t="str">
        <f t="shared" si="29"/>
        <v/>
      </c>
    </row>
    <row r="11841" spans="1:1" x14ac:dyDescent="0.25">
      <c r="A11841" t="str">
        <f t="shared" si="29"/>
        <v/>
      </c>
    </row>
    <row r="11842" spans="1:1" x14ac:dyDescent="0.25">
      <c r="A11842" t="str">
        <f t="shared" si="29"/>
        <v/>
      </c>
    </row>
    <row r="11843" spans="1:1" x14ac:dyDescent="0.25">
      <c r="A11843" t="str">
        <f t="shared" si="29"/>
        <v/>
      </c>
    </row>
    <row r="11844" spans="1:1" x14ac:dyDescent="0.25">
      <c r="A11844" t="str">
        <f t="shared" si="29"/>
        <v/>
      </c>
    </row>
    <row r="11845" spans="1:1" x14ac:dyDescent="0.25">
      <c r="A11845" t="str">
        <f t="shared" si="29"/>
        <v/>
      </c>
    </row>
    <row r="11846" spans="1:1" x14ac:dyDescent="0.25">
      <c r="A11846" t="str">
        <f t="shared" si="29"/>
        <v/>
      </c>
    </row>
    <row r="11847" spans="1:1" x14ac:dyDescent="0.25">
      <c r="A11847" t="str">
        <f t="shared" si="29"/>
        <v/>
      </c>
    </row>
    <row r="11848" spans="1:1" x14ac:dyDescent="0.25">
      <c r="A11848" t="str">
        <f t="shared" si="29"/>
        <v/>
      </c>
    </row>
    <row r="11849" spans="1:1" x14ac:dyDescent="0.25">
      <c r="A11849" t="str">
        <f t="shared" si="29"/>
        <v/>
      </c>
    </row>
    <row r="11850" spans="1:1" x14ac:dyDescent="0.25">
      <c r="A11850" t="str">
        <f t="shared" si="29"/>
        <v/>
      </c>
    </row>
    <row r="11851" spans="1:1" x14ac:dyDescent="0.25">
      <c r="A11851" t="str">
        <f t="shared" si="29"/>
        <v/>
      </c>
    </row>
    <row r="11852" spans="1:1" x14ac:dyDescent="0.25">
      <c r="A11852" t="str">
        <f t="shared" si="29"/>
        <v/>
      </c>
    </row>
    <row r="11853" spans="1:1" x14ac:dyDescent="0.25">
      <c r="A11853" t="str">
        <f t="shared" si="29"/>
        <v/>
      </c>
    </row>
    <row r="11854" spans="1:1" x14ac:dyDescent="0.25">
      <c r="A11854" t="str">
        <f t="shared" si="29"/>
        <v/>
      </c>
    </row>
    <row r="11855" spans="1:1" x14ac:dyDescent="0.25">
      <c r="A11855" t="str">
        <f t="shared" si="29"/>
        <v/>
      </c>
    </row>
    <row r="11856" spans="1:1" x14ac:dyDescent="0.25">
      <c r="A11856" t="str">
        <f t="shared" si="29"/>
        <v/>
      </c>
    </row>
    <row r="11857" spans="1:1" x14ac:dyDescent="0.25">
      <c r="A11857" t="str">
        <f t="shared" si="29"/>
        <v/>
      </c>
    </row>
    <row r="11858" spans="1:1" x14ac:dyDescent="0.25">
      <c r="A11858" t="str">
        <f t="shared" si="29"/>
        <v/>
      </c>
    </row>
    <row r="11859" spans="1:1" x14ac:dyDescent="0.25">
      <c r="A11859" t="str">
        <f t="shared" si="29"/>
        <v/>
      </c>
    </row>
    <row r="11860" spans="1:1" x14ac:dyDescent="0.25">
      <c r="A11860" t="str">
        <f t="shared" si="29"/>
        <v/>
      </c>
    </row>
    <row r="11861" spans="1:1" x14ac:dyDescent="0.25">
      <c r="A11861" t="str">
        <f t="shared" si="29"/>
        <v/>
      </c>
    </row>
    <row r="11862" spans="1:1" x14ac:dyDescent="0.25">
      <c r="A11862" t="str">
        <f t="shared" si="29"/>
        <v/>
      </c>
    </row>
    <row r="11863" spans="1:1" x14ac:dyDescent="0.25">
      <c r="A11863" t="str">
        <f t="shared" si="29"/>
        <v/>
      </c>
    </row>
    <row r="11864" spans="1:1" x14ac:dyDescent="0.25">
      <c r="A11864" t="str">
        <f t="shared" si="29"/>
        <v/>
      </c>
    </row>
    <row r="11865" spans="1:1" x14ac:dyDescent="0.25">
      <c r="A11865" t="str">
        <f t="shared" si="29"/>
        <v/>
      </c>
    </row>
    <row r="11866" spans="1:1" x14ac:dyDescent="0.25">
      <c r="A11866" t="str">
        <f t="shared" si="29"/>
        <v/>
      </c>
    </row>
    <row r="11867" spans="1:1" x14ac:dyDescent="0.25">
      <c r="A11867" t="str">
        <f t="shared" si="29"/>
        <v/>
      </c>
    </row>
    <row r="11868" spans="1:1" x14ac:dyDescent="0.25">
      <c r="A11868" t="str">
        <f t="shared" si="29"/>
        <v/>
      </c>
    </row>
    <row r="11869" spans="1:1" x14ac:dyDescent="0.25">
      <c r="A11869" t="str">
        <f t="shared" si="29"/>
        <v/>
      </c>
    </row>
    <row r="11870" spans="1:1" x14ac:dyDescent="0.25">
      <c r="A11870" t="str">
        <f t="shared" si="29"/>
        <v/>
      </c>
    </row>
    <row r="11871" spans="1:1" x14ac:dyDescent="0.25">
      <c r="A11871" t="str">
        <f t="shared" si="29"/>
        <v/>
      </c>
    </row>
    <row r="11872" spans="1:1" x14ac:dyDescent="0.25">
      <c r="A11872" t="str">
        <f t="shared" si="29"/>
        <v/>
      </c>
    </row>
    <row r="11873" spans="1:1" x14ac:dyDescent="0.25">
      <c r="A11873" t="str">
        <f t="shared" si="29"/>
        <v/>
      </c>
    </row>
    <row r="11874" spans="1:1" x14ac:dyDescent="0.25">
      <c r="A11874" t="str">
        <f t="shared" si="29"/>
        <v/>
      </c>
    </row>
    <row r="11875" spans="1:1" x14ac:dyDescent="0.25">
      <c r="A11875" t="str">
        <f t="shared" si="29"/>
        <v/>
      </c>
    </row>
    <row r="11876" spans="1:1" x14ac:dyDescent="0.25">
      <c r="A11876" t="str">
        <f t="shared" si="29"/>
        <v/>
      </c>
    </row>
    <row r="11877" spans="1:1" x14ac:dyDescent="0.25">
      <c r="A11877" t="str">
        <f t="shared" si="29"/>
        <v/>
      </c>
    </row>
    <row r="11878" spans="1:1" x14ac:dyDescent="0.25">
      <c r="A11878" t="str">
        <f t="shared" si="29"/>
        <v/>
      </c>
    </row>
    <row r="11879" spans="1:1" x14ac:dyDescent="0.25">
      <c r="A11879" t="str">
        <f t="shared" si="29"/>
        <v/>
      </c>
    </row>
    <row r="11880" spans="1:1" x14ac:dyDescent="0.25">
      <c r="A11880" t="str">
        <f t="shared" si="29"/>
        <v/>
      </c>
    </row>
    <row r="11881" spans="1:1" x14ac:dyDescent="0.25">
      <c r="A11881" t="str">
        <f t="shared" si="29"/>
        <v/>
      </c>
    </row>
    <row r="11882" spans="1:1" x14ac:dyDescent="0.25">
      <c r="A11882" t="str">
        <f t="shared" si="29"/>
        <v/>
      </c>
    </row>
    <row r="11883" spans="1:1" x14ac:dyDescent="0.25">
      <c r="A11883" t="str">
        <f t="shared" si="29"/>
        <v/>
      </c>
    </row>
    <row r="11884" spans="1:1" x14ac:dyDescent="0.25">
      <c r="A11884" t="str">
        <f t="shared" si="29"/>
        <v/>
      </c>
    </row>
    <row r="11885" spans="1:1" x14ac:dyDescent="0.25">
      <c r="A11885" t="str">
        <f t="shared" si="29"/>
        <v/>
      </c>
    </row>
    <row r="11886" spans="1:1" x14ac:dyDescent="0.25">
      <c r="A11886" t="str">
        <f t="shared" si="29"/>
        <v/>
      </c>
    </row>
    <row r="11887" spans="1:1" x14ac:dyDescent="0.25">
      <c r="A11887" t="str">
        <f t="shared" si="29"/>
        <v/>
      </c>
    </row>
    <row r="11888" spans="1:1" x14ac:dyDescent="0.25">
      <c r="A11888" t="str">
        <f t="shared" si="29"/>
        <v/>
      </c>
    </row>
    <row r="11889" spans="1:1" x14ac:dyDescent="0.25">
      <c r="A11889" t="str">
        <f t="shared" si="29"/>
        <v/>
      </c>
    </row>
    <row r="11890" spans="1:1" x14ac:dyDescent="0.25">
      <c r="A11890" t="str">
        <f t="shared" si="29"/>
        <v/>
      </c>
    </row>
    <row r="11891" spans="1:1" x14ac:dyDescent="0.25">
      <c r="A11891" t="str">
        <f t="shared" si="29"/>
        <v/>
      </c>
    </row>
    <row r="11892" spans="1:1" x14ac:dyDescent="0.25">
      <c r="A11892" t="str">
        <f t="shared" si="29"/>
        <v/>
      </c>
    </row>
    <row r="11893" spans="1:1" x14ac:dyDescent="0.25">
      <c r="A11893" t="str">
        <f t="shared" ref="A11893:A11956" si="30">B11891&amp;D11891</f>
        <v/>
      </c>
    </row>
    <row r="11894" spans="1:1" x14ac:dyDescent="0.25">
      <c r="A11894" t="str">
        <f t="shared" si="30"/>
        <v/>
      </c>
    </row>
    <row r="11895" spans="1:1" x14ac:dyDescent="0.25">
      <c r="A11895" t="str">
        <f t="shared" si="30"/>
        <v/>
      </c>
    </row>
    <row r="11896" spans="1:1" x14ac:dyDescent="0.25">
      <c r="A11896" t="str">
        <f t="shared" si="30"/>
        <v/>
      </c>
    </row>
    <row r="11897" spans="1:1" x14ac:dyDescent="0.25">
      <c r="A11897" t="str">
        <f t="shared" si="30"/>
        <v/>
      </c>
    </row>
    <row r="11898" spans="1:1" x14ac:dyDescent="0.25">
      <c r="A11898" t="str">
        <f t="shared" si="30"/>
        <v/>
      </c>
    </row>
    <row r="11899" spans="1:1" x14ac:dyDescent="0.25">
      <c r="A11899" t="str">
        <f t="shared" si="30"/>
        <v/>
      </c>
    </row>
    <row r="11900" spans="1:1" x14ac:dyDescent="0.25">
      <c r="A11900" t="str">
        <f t="shared" si="30"/>
        <v/>
      </c>
    </row>
    <row r="11901" spans="1:1" x14ac:dyDescent="0.25">
      <c r="A11901" t="str">
        <f t="shared" si="30"/>
        <v/>
      </c>
    </row>
    <row r="11902" spans="1:1" x14ac:dyDescent="0.25">
      <c r="A11902" t="str">
        <f t="shared" si="30"/>
        <v/>
      </c>
    </row>
    <row r="11903" spans="1:1" x14ac:dyDescent="0.25">
      <c r="A11903" t="str">
        <f t="shared" si="30"/>
        <v/>
      </c>
    </row>
    <row r="11904" spans="1:1" x14ac:dyDescent="0.25">
      <c r="A11904" t="str">
        <f t="shared" si="30"/>
        <v/>
      </c>
    </row>
    <row r="11905" spans="1:1" x14ac:dyDescent="0.25">
      <c r="A11905" t="str">
        <f t="shared" si="30"/>
        <v/>
      </c>
    </row>
    <row r="11906" spans="1:1" x14ac:dyDescent="0.25">
      <c r="A11906" t="str">
        <f t="shared" si="30"/>
        <v/>
      </c>
    </row>
    <row r="11907" spans="1:1" x14ac:dyDescent="0.25">
      <c r="A11907" t="str">
        <f t="shared" si="30"/>
        <v/>
      </c>
    </row>
    <row r="11908" spans="1:1" x14ac:dyDescent="0.25">
      <c r="A11908" t="str">
        <f t="shared" si="30"/>
        <v/>
      </c>
    </row>
    <row r="11909" spans="1:1" x14ac:dyDescent="0.25">
      <c r="A11909" t="str">
        <f t="shared" si="30"/>
        <v/>
      </c>
    </row>
    <row r="11910" spans="1:1" x14ac:dyDescent="0.25">
      <c r="A11910" t="str">
        <f t="shared" si="30"/>
        <v/>
      </c>
    </row>
    <row r="11911" spans="1:1" x14ac:dyDescent="0.25">
      <c r="A11911" t="str">
        <f t="shared" si="30"/>
        <v/>
      </c>
    </row>
    <row r="11912" spans="1:1" x14ac:dyDescent="0.25">
      <c r="A11912" t="str">
        <f t="shared" si="30"/>
        <v/>
      </c>
    </row>
    <row r="11913" spans="1:1" x14ac:dyDescent="0.25">
      <c r="A11913" t="str">
        <f t="shared" si="30"/>
        <v/>
      </c>
    </row>
    <row r="11914" spans="1:1" x14ac:dyDescent="0.25">
      <c r="A11914" t="str">
        <f t="shared" si="30"/>
        <v/>
      </c>
    </row>
    <row r="11915" spans="1:1" x14ac:dyDescent="0.25">
      <c r="A11915" t="str">
        <f t="shared" si="30"/>
        <v/>
      </c>
    </row>
    <row r="11916" spans="1:1" x14ac:dyDescent="0.25">
      <c r="A11916" t="str">
        <f t="shared" si="30"/>
        <v/>
      </c>
    </row>
    <row r="11917" spans="1:1" x14ac:dyDescent="0.25">
      <c r="A11917" t="str">
        <f t="shared" si="30"/>
        <v/>
      </c>
    </row>
    <row r="11918" spans="1:1" x14ac:dyDescent="0.25">
      <c r="A11918" t="str">
        <f t="shared" si="30"/>
        <v/>
      </c>
    </row>
    <row r="11919" spans="1:1" x14ac:dyDescent="0.25">
      <c r="A11919" t="str">
        <f t="shared" si="30"/>
        <v/>
      </c>
    </row>
    <row r="11920" spans="1:1" x14ac:dyDescent="0.25">
      <c r="A11920" t="str">
        <f t="shared" si="30"/>
        <v/>
      </c>
    </row>
    <row r="11921" spans="1:1" x14ac:dyDescent="0.25">
      <c r="A11921" t="str">
        <f t="shared" si="30"/>
        <v/>
      </c>
    </row>
    <row r="11922" spans="1:1" x14ac:dyDescent="0.25">
      <c r="A11922" t="str">
        <f t="shared" si="30"/>
        <v/>
      </c>
    </row>
    <row r="11923" spans="1:1" x14ac:dyDescent="0.25">
      <c r="A11923" t="str">
        <f t="shared" si="30"/>
        <v/>
      </c>
    </row>
    <row r="11924" spans="1:1" x14ac:dyDescent="0.25">
      <c r="A11924" t="str">
        <f t="shared" si="30"/>
        <v/>
      </c>
    </row>
    <row r="11925" spans="1:1" x14ac:dyDescent="0.25">
      <c r="A11925" t="str">
        <f t="shared" si="30"/>
        <v/>
      </c>
    </row>
    <row r="11926" spans="1:1" x14ac:dyDescent="0.25">
      <c r="A11926" t="str">
        <f t="shared" si="30"/>
        <v/>
      </c>
    </row>
    <row r="11927" spans="1:1" x14ac:dyDescent="0.25">
      <c r="A11927" t="str">
        <f t="shared" si="30"/>
        <v/>
      </c>
    </row>
    <row r="11928" spans="1:1" x14ac:dyDescent="0.25">
      <c r="A11928" t="str">
        <f t="shared" si="30"/>
        <v/>
      </c>
    </row>
    <row r="11929" spans="1:1" x14ac:dyDescent="0.25">
      <c r="A11929" t="str">
        <f t="shared" si="30"/>
        <v/>
      </c>
    </row>
    <row r="11930" spans="1:1" x14ac:dyDescent="0.25">
      <c r="A11930" t="str">
        <f t="shared" si="30"/>
        <v/>
      </c>
    </row>
    <row r="11931" spans="1:1" x14ac:dyDescent="0.25">
      <c r="A11931" t="str">
        <f t="shared" si="30"/>
        <v/>
      </c>
    </row>
    <row r="11932" spans="1:1" x14ac:dyDescent="0.25">
      <c r="A11932" t="str">
        <f t="shared" si="30"/>
        <v/>
      </c>
    </row>
    <row r="11933" spans="1:1" x14ac:dyDescent="0.25">
      <c r="A11933" t="str">
        <f t="shared" si="30"/>
        <v/>
      </c>
    </row>
    <row r="11934" spans="1:1" x14ac:dyDescent="0.25">
      <c r="A11934" t="str">
        <f t="shared" si="30"/>
        <v/>
      </c>
    </row>
    <row r="11935" spans="1:1" x14ac:dyDescent="0.25">
      <c r="A11935" t="str">
        <f t="shared" si="30"/>
        <v/>
      </c>
    </row>
    <row r="11936" spans="1:1" x14ac:dyDescent="0.25">
      <c r="A11936" t="str">
        <f t="shared" si="30"/>
        <v/>
      </c>
    </row>
    <row r="11937" spans="1:1" x14ac:dyDescent="0.25">
      <c r="A11937" t="str">
        <f t="shared" si="30"/>
        <v/>
      </c>
    </row>
    <row r="11938" spans="1:1" x14ac:dyDescent="0.25">
      <c r="A11938" t="str">
        <f t="shared" si="30"/>
        <v/>
      </c>
    </row>
    <row r="11939" spans="1:1" x14ac:dyDescent="0.25">
      <c r="A11939" t="str">
        <f t="shared" si="30"/>
        <v/>
      </c>
    </row>
    <row r="11940" spans="1:1" x14ac:dyDescent="0.25">
      <c r="A11940" t="str">
        <f t="shared" si="30"/>
        <v/>
      </c>
    </row>
    <row r="11941" spans="1:1" x14ac:dyDescent="0.25">
      <c r="A11941" t="str">
        <f t="shared" si="30"/>
        <v/>
      </c>
    </row>
    <row r="11942" spans="1:1" x14ac:dyDescent="0.25">
      <c r="A11942" t="str">
        <f t="shared" si="30"/>
        <v/>
      </c>
    </row>
    <row r="11943" spans="1:1" x14ac:dyDescent="0.25">
      <c r="A11943" t="str">
        <f t="shared" si="30"/>
        <v/>
      </c>
    </row>
    <row r="11944" spans="1:1" x14ac:dyDescent="0.25">
      <c r="A11944" t="str">
        <f t="shared" si="30"/>
        <v/>
      </c>
    </row>
    <row r="11945" spans="1:1" x14ac:dyDescent="0.25">
      <c r="A11945" t="str">
        <f t="shared" si="30"/>
        <v/>
      </c>
    </row>
    <row r="11946" spans="1:1" x14ac:dyDescent="0.25">
      <c r="A11946" t="str">
        <f t="shared" si="30"/>
        <v/>
      </c>
    </row>
    <row r="11947" spans="1:1" x14ac:dyDescent="0.25">
      <c r="A11947" t="str">
        <f t="shared" si="30"/>
        <v/>
      </c>
    </row>
    <row r="11948" spans="1:1" x14ac:dyDescent="0.25">
      <c r="A11948" t="str">
        <f t="shared" si="30"/>
        <v/>
      </c>
    </row>
    <row r="11949" spans="1:1" x14ac:dyDescent="0.25">
      <c r="A11949" t="str">
        <f t="shared" si="30"/>
        <v/>
      </c>
    </row>
    <row r="11950" spans="1:1" x14ac:dyDescent="0.25">
      <c r="A11950" t="str">
        <f t="shared" si="30"/>
        <v/>
      </c>
    </row>
    <row r="11951" spans="1:1" x14ac:dyDescent="0.25">
      <c r="A11951" t="str">
        <f t="shared" si="30"/>
        <v/>
      </c>
    </row>
    <row r="11952" spans="1:1" x14ac:dyDescent="0.25">
      <c r="A11952" t="str">
        <f t="shared" si="30"/>
        <v/>
      </c>
    </row>
    <row r="11953" spans="1:1" x14ac:dyDescent="0.25">
      <c r="A11953" t="str">
        <f t="shared" si="30"/>
        <v/>
      </c>
    </row>
    <row r="11954" spans="1:1" x14ac:dyDescent="0.25">
      <c r="A11954" t="str">
        <f t="shared" si="30"/>
        <v/>
      </c>
    </row>
    <row r="11955" spans="1:1" x14ac:dyDescent="0.25">
      <c r="A11955" t="str">
        <f t="shared" si="30"/>
        <v/>
      </c>
    </row>
    <row r="11956" spans="1:1" x14ac:dyDescent="0.25">
      <c r="A11956" t="str">
        <f t="shared" si="30"/>
        <v/>
      </c>
    </row>
    <row r="11957" spans="1:1" x14ac:dyDescent="0.25">
      <c r="A11957" t="str">
        <f t="shared" ref="A11957:A12020" si="31">B11955&amp;D11955</f>
        <v/>
      </c>
    </row>
    <row r="11958" spans="1:1" x14ac:dyDescent="0.25">
      <c r="A11958" t="str">
        <f t="shared" si="31"/>
        <v/>
      </c>
    </row>
    <row r="11959" spans="1:1" x14ac:dyDescent="0.25">
      <c r="A11959" t="str">
        <f t="shared" si="31"/>
        <v/>
      </c>
    </row>
    <row r="11960" spans="1:1" x14ac:dyDescent="0.25">
      <c r="A11960" t="str">
        <f t="shared" si="31"/>
        <v/>
      </c>
    </row>
    <row r="11961" spans="1:1" x14ac:dyDescent="0.25">
      <c r="A11961" t="str">
        <f t="shared" si="31"/>
        <v/>
      </c>
    </row>
    <row r="11962" spans="1:1" x14ac:dyDescent="0.25">
      <c r="A11962" t="str">
        <f t="shared" si="31"/>
        <v/>
      </c>
    </row>
    <row r="11963" spans="1:1" x14ac:dyDescent="0.25">
      <c r="A11963" t="str">
        <f t="shared" si="31"/>
        <v/>
      </c>
    </row>
    <row r="11964" spans="1:1" x14ac:dyDescent="0.25">
      <c r="A11964" t="str">
        <f t="shared" si="31"/>
        <v/>
      </c>
    </row>
    <row r="11965" spans="1:1" x14ac:dyDescent="0.25">
      <c r="A11965" t="str">
        <f t="shared" si="31"/>
        <v/>
      </c>
    </row>
    <row r="11966" spans="1:1" x14ac:dyDescent="0.25">
      <c r="A11966" t="str">
        <f t="shared" si="31"/>
        <v/>
      </c>
    </row>
    <row r="11967" spans="1:1" x14ac:dyDescent="0.25">
      <c r="A11967" t="str">
        <f t="shared" si="31"/>
        <v/>
      </c>
    </row>
    <row r="11968" spans="1:1" x14ac:dyDescent="0.25">
      <c r="A11968" t="str">
        <f t="shared" si="31"/>
        <v/>
      </c>
    </row>
    <row r="11969" spans="1:1" x14ac:dyDescent="0.25">
      <c r="A11969" t="str">
        <f t="shared" si="31"/>
        <v/>
      </c>
    </row>
    <row r="11970" spans="1:1" x14ac:dyDescent="0.25">
      <c r="A11970" t="str">
        <f t="shared" si="31"/>
        <v/>
      </c>
    </row>
    <row r="11971" spans="1:1" x14ac:dyDescent="0.25">
      <c r="A11971" t="str">
        <f t="shared" si="31"/>
        <v/>
      </c>
    </row>
    <row r="11972" spans="1:1" x14ac:dyDescent="0.25">
      <c r="A11972" t="str">
        <f t="shared" si="31"/>
        <v/>
      </c>
    </row>
    <row r="11973" spans="1:1" x14ac:dyDescent="0.25">
      <c r="A11973" t="str">
        <f t="shared" si="31"/>
        <v/>
      </c>
    </row>
    <row r="11974" spans="1:1" x14ac:dyDescent="0.25">
      <c r="A11974" t="str">
        <f t="shared" si="31"/>
        <v/>
      </c>
    </row>
    <row r="11975" spans="1:1" x14ac:dyDescent="0.25">
      <c r="A11975" t="str">
        <f t="shared" si="31"/>
        <v/>
      </c>
    </row>
    <row r="11976" spans="1:1" x14ac:dyDescent="0.25">
      <c r="A11976" t="str">
        <f t="shared" si="31"/>
        <v/>
      </c>
    </row>
    <row r="11977" spans="1:1" x14ac:dyDescent="0.25">
      <c r="A11977" t="str">
        <f t="shared" si="31"/>
        <v/>
      </c>
    </row>
    <row r="11978" spans="1:1" x14ac:dyDescent="0.25">
      <c r="A11978" t="str">
        <f t="shared" si="31"/>
        <v/>
      </c>
    </row>
    <row r="11979" spans="1:1" x14ac:dyDescent="0.25">
      <c r="A11979" t="str">
        <f t="shared" si="31"/>
        <v/>
      </c>
    </row>
    <row r="11980" spans="1:1" x14ac:dyDescent="0.25">
      <c r="A11980" t="str">
        <f t="shared" si="31"/>
        <v/>
      </c>
    </row>
    <row r="11981" spans="1:1" x14ac:dyDescent="0.25">
      <c r="A11981" t="str">
        <f t="shared" si="31"/>
        <v/>
      </c>
    </row>
    <row r="11982" spans="1:1" x14ac:dyDescent="0.25">
      <c r="A11982" t="str">
        <f t="shared" si="31"/>
        <v/>
      </c>
    </row>
    <row r="11983" spans="1:1" x14ac:dyDescent="0.25">
      <c r="A11983" t="str">
        <f t="shared" si="31"/>
        <v/>
      </c>
    </row>
    <row r="11984" spans="1:1" x14ac:dyDescent="0.25">
      <c r="A11984" t="str">
        <f t="shared" si="31"/>
        <v/>
      </c>
    </row>
    <row r="11985" spans="1:1" x14ac:dyDescent="0.25">
      <c r="A11985" t="str">
        <f t="shared" si="31"/>
        <v/>
      </c>
    </row>
    <row r="11986" spans="1:1" x14ac:dyDescent="0.25">
      <c r="A11986" t="str">
        <f t="shared" si="31"/>
        <v/>
      </c>
    </row>
    <row r="11987" spans="1:1" x14ac:dyDescent="0.25">
      <c r="A11987" t="str">
        <f t="shared" si="31"/>
        <v/>
      </c>
    </row>
    <row r="11988" spans="1:1" x14ac:dyDescent="0.25">
      <c r="A11988" t="str">
        <f t="shared" si="31"/>
        <v/>
      </c>
    </row>
    <row r="11989" spans="1:1" x14ac:dyDescent="0.25">
      <c r="A11989" t="str">
        <f t="shared" si="31"/>
        <v/>
      </c>
    </row>
    <row r="11990" spans="1:1" x14ac:dyDescent="0.25">
      <c r="A11990" t="str">
        <f t="shared" si="31"/>
        <v/>
      </c>
    </row>
    <row r="11991" spans="1:1" x14ac:dyDescent="0.25">
      <c r="A11991" t="str">
        <f t="shared" si="31"/>
        <v/>
      </c>
    </row>
    <row r="11992" spans="1:1" x14ac:dyDescent="0.25">
      <c r="A11992" t="str">
        <f t="shared" si="31"/>
        <v/>
      </c>
    </row>
    <row r="11993" spans="1:1" x14ac:dyDescent="0.25">
      <c r="A11993" t="str">
        <f t="shared" si="31"/>
        <v/>
      </c>
    </row>
    <row r="11994" spans="1:1" x14ac:dyDescent="0.25">
      <c r="A11994" t="str">
        <f t="shared" si="31"/>
        <v/>
      </c>
    </row>
    <row r="11995" spans="1:1" x14ac:dyDescent="0.25">
      <c r="A11995" t="str">
        <f t="shared" si="31"/>
        <v/>
      </c>
    </row>
    <row r="11996" spans="1:1" x14ac:dyDescent="0.25">
      <c r="A11996" t="str">
        <f t="shared" si="31"/>
        <v/>
      </c>
    </row>
    <row r="11997" spans="1:1" x14ac:dyDescent="0.25">
      <c r="A11997" t="str">
        <f t="shared" si="31"/>
        <v/>
      </c>
    </row>
    <row r="11998" spans="1:1" x14ac:dyDescent="0.25">
      <c r="A11998" t="str">
        <f t="shared" si="31"/>
        <v/>
      </c>
    </row>
    <row r="11999" spans="1:1" x14ac:dyDescent="0.25">
      <c r="A11999" t="str">
        <f t="shared" si="31"/>
        <v/>
      </c>
    </row>
    <row r="12000" spans="1:1" x14ac:dyDescent="0.25">
      <c r="A12000" t="str">
        <f t="shared" si="31"/>
        <v/>
      </c>
    </row>
    <row r="12001" spans="1:1" x14ac:dyDescent="0.25">
      <c r="A12001" t="str">
        <f t="shared" si="31"/>
        <v/>
      </c>
    </row>
    <row r="12002" spans="1:1" x14ac:dyDescent="0.25">
      <c r="A12002" t="str">
        <f t="shared" si="31"/>
        <v/>
      </c>
    </row>
    <row r="12003" spans="1:1" x14ac:dyDescent="0.25">
      <c r="A12003" t="str">
        <f t="shared" si="31"/>
        <v/>
      </c>
    </row>
    <row r="12004" spans="1:1" x14ac:dyDescent="0.25">
      <c r="A12004" t="str">
        <f t="shared" si="31"/>
        <v/>
      </c>
    </row>
    <row r="12005" spans="1:1" x14ac:dyDescent="0.25">
      <c r="A12005" t="str">
        <f t="shared" si="31"/>
        <v/>
      </c>
    </row>
    <row r="12006" spans="1:1" x14ac:dyDescent="0.25">
      <c r="A12006" t="str">
        <f t="shared" si="31"/>
        <v/>
      </c>
    </row>
    <row r="12007" spans="1:1" x14ac:dyDescent="0.25">
      <c r="A12007" t="str">
        <f t="shared" si="31"/>
        <v/>
      </c>
    </row>
    <row r="12008" spans="1:1" x14ac:dyDescent="0.25">
      <c r="A12008" t="str">
        <f t="shared" si="31"/>
        <v/>
      </c>
    </row>
    <row r="12009" spans="1:1" x14ac:dyDescent="0.25">
      <c r="A12009" t="str">
        <f t="shared" si="31"/>
        <v/>
      </c>
    </row>
    <row r="12010" spans="1:1" x14ac:dyDescent="0.25">
      <c r="A12010" t="str">
        <f t="shared" si="31"/>
        <v/>
      </c>
    </row>
    <row r="12011" spans="1:1" x14ac:dyDescent="0.25">
      <c r="A12011" t="str">
        <f t="shared" si="31"/>
        <v/>
      </c>
    </row>
    <row r="12012" spans="1:1" x14ac:dyDescent="0.25">
      <c r="A12012" t="str">
        <f t="shared" si="31"/>
        <v/>
      </c>
    </row>
    <row r="12013" spans="1:1" x14ac:dyDescent="0.25">
      <c r="A12013" t="str">
        <f t="shared" si="31"/>
        <v/>
      </c>
    </row>
    <row r="12014" spans="1:1" x14ac:dyDescent="0.25">
      <c r="A12014" t="str">
        <f t="shared" si="31"/>
        <v/>
      </c>
    </row>
    <row r="12015" spans="1:1" x14ac:dyDescent="0.25">
      <c r="A12015" t="str">
        <f t="shared" si="31"/>
        <v/>
      </c>
    </row>
    <row r="12016" spans="1:1" x14ac:dyDescent="0.25">
      <c r="A12016" t="str">
        <f t="shared" si="31"/>
        <v/>
      </c>
    </row>
    <row r="12017" spans="1:1" x14ac:dyDescent="0.25">
      <c r="A12017" t="str">
        <f t="shared" si="31"/>
        <v/>
      </c>
    </row>
    <row r="12018" spans="1:1" x14ac:dyDescent="0.25">
      <c r="A12018" t="str">
        <f t="shared" si="31"/>
        <v/>
      </c>
    </row>
    <row r="12019" spans="1:1" x14ac:dyDescent="0.25">
      <c r="A12019" t="str">
        <f t="shared" si="31"/>
        <v/>
      </c>
    </row>
    <row r="12020" spans="1:1" x14ac:dyDescent="0.25">
      <c r="A12020" t="str">
        <f t="shared" si="31"/>
        <v/>
      </c>
    </row>
    <row r="12021" spans="1:1" x14ac:dyDescent="0.25">
      <c r="A12021" t="str">
        <f t="shared" ref="A12021:A12084" si="32">B12019&amp;D12019</f>
        <v/>
      </c>
    </row>
    <row r="12022" spans="1:1" x14ac:dyDescent="0.25">
      <c r="A12022" t="str">
        <f t="shared" si="32"/>
        <v/>
      </c>
    </row>
    <row r="12023" spans="1:1" x14ac:dyDescent="0.25">
      <c r="A12023" t="str">
        <f t="shared" si="32"/>
        <v/>
      </c>
    </row>
    <row r="12024" spans="1:1" x14ac:dyDescent="0.25">
      <c r="A12024" t="str">
        <f t="shared" si="32"/>
        <v/>
      </c>
    </row>
    <row r="12025" spans="1:1" x14ac:dyDescent="0.25">
      <c r="A12025" t="str">
        <f t="shared" si="32"/>
        <v/>
      </c>
    </row>
    <row r="12026" spans="1:1" x14ac:dyDescent="0.25">
      <c r="A12026" t="str">
        <f t="shared" si="32"/>
        <v/>
      </c>
    </row>
    <row r="12027" spans="1:1" x14ac:dyDescent="0.25">
      <c r="A12027" t="str">
        <f t="shared" si="32"/>
        <v/>
      </c>
    </row>
    <row r="12028" spans="1:1" x14ac:dyDescent="0.25">
      <c r="A12028" t="str">
        <f t="shared" si="32"/>
        <v/>
      </c>
    </row>
    <row r="12029" spans="1:1" x14ac:dyDescent="0.25">
      <c r="A12029" t="str">
        <f t="shared" si="32"/>
        <v/>
      </c>
    </row>
    <row r="12030" spans="1:1" x14ac:dyDescent="0.25">
      <c r="A12030" t="str">
        <f t="shared" si="32"/>
        <v/>
      </c>
    </row>
    <row r="12031" spans="1:1" x14ac:dyDescent="0.25">
      <c r="A12031" t="str">
        <f t="shared" si="32"/>
        <v/>
      </c>
    </row>
    <row r="12032" spans="1:1" x14ac:dyDescent="0.25">
      <c r="A12032" t="str">
        <f t="shared" si="32"/>
        <v/>
      </c>
    </row>
    <row r="12033" spans="1:1" x14ac:dyDescent="0.25">
      <c r="A12033" t="str">
        <f t="shared" si="32"/>
        <v/>
      </c>
    </row>
    <row r="12034" spans="1:1" x14ac:dyDescent="0.25">
      <c r="A12034" t="str">
        <f t="shared" si="32"/>
        <v/>
      </c>
    </row>
    <row r="12035" spans="1:1" x14ac:dyDescent="0.25">
      <c r="A12035" t="str">
        <f t="shared" si="32"/>
        <v/>
      </c>
    </row>
    <row r="12036" spans="1:1" x14ac:dyDescent="0.25">
      <c r="A12036" t="str">
        <f t="shared" si="32"/>
        <v/>
      </c>
    </row>
    <row r="12037" spans="1:1" x14ac:dyDescent="0.25">
      <c r="A12037" t="str">
        <f t="shared" si="32"/>
        <v/>
      </c>
    </row>
    <row r="12038" spans="1:1" x14ac:dyDescent="0.25">
      <c r="A12038" t="str">
        <f t="shared" si="32"/>
        <v/>
      </c>
    </row>
    <row r="12039" spans="1:1" x14ac:dyDescent="0.25">
      <c r="A12039" t="str">
        <f t="shared" si="32"/>
        <v/>
      </c>
    </row>
    <row r="12040" spans="1:1" x14ac:dyDescent="0.25">
      <c r="A12040" t="str">
        <f t="shared" si="32"/>
        <v/>
      </c>
    </row>
    <row r="12041" spans="1:1" x14ac:dyDescent="0.25">
      <c r="A12041" t="str">
        <f t="shared" si="32"/>
        <v/>
      </c>
    </row>
    <row r="12042" spans="1:1" x14ac:dyDescent="0.25">
      <c r="A12042" t="str">
        <f t="shared" si="32"/>
        <v/>
      </c>
    </row>
    <row r="12043" spans="1:1" x14ac:dyDescent="0.25">
      <c r="A12043" t="str">
        <f t="shared" si="32"/>
        <v/>
      </c>
    </row>
    <row r="12044" spans="1:1" x14ac:dyDescent="0.25">
      <c r="A12044" t="str">
        <f t="shared" si="32"/>
        <v/>
      </c>
    </row>
    <row r="12045" spans="1:1" x14ac:dyDescent="0.25">
      <c r="A12045" t="str">
        <f t="shared" si="32"/>
        <v/>
      </c>
    </row>
    <row r="12046" spans="1:1" x14ac:dyDescent="0.25">
      <c r="A12046" t="str">
        <f t="shared" si="32"/>
        <v/>
      </c>
    </row>
    <row r="12047" spans="1:1" x14ac:dyDescent="0.25">
      <c r="A12047" t="str">
        <f t="shared" si="32"/>
        <v/>
      </c>
    </row>
    <row r="12048" spans="1:1" x14ac:dyDescent="0.25">
      <c r="A12048" t="str">
        <f t="shared" si="32"/>
        <v/>
      </c>
    </row>
    <row r="12049" spans="1:1" x14ac:dyDescent="0.25">
      <c r="A12049" t="str">
        <f t="shared" si="32"/>
        <v/>
      </c>
    </row>
    <row r="12050" spans="1:1" x14ac:dyDescent="0.25">
      <c r="A12050" t="str">
        <f t="shared" si="32"/>
        <v/>
      </c>
    </row>
    <row r="12051" spans="1:1" x14ac:dyDescent="0.25">
      <c r="A12051" t="str">
        <f t="shared" si="32"/>
        <v/>
      </c>
    </row>
    <row r="12052" spans="1:1" x14ac:dyDescent="0.25">
      <c r="A12052" t="str">
        <f t="shared" si="32"/>
        <v/>
      </c>
    </row>
    <row r="12053" spans="1:1" x14ac:dyDescent="0.25">
      <c r="A12053" t="str">
        <f t="shared" si="32"/>
        <v/>
      </c>
    </row>
    <row r="12054" spans="1:1" x14ac:dyDescent="0.25">
      <c r="A12054" t="str">
        <f t="shared" si="32"/>
        <v/>
      </c>
    </row>
    <row r="12055" spans="1:1" x14ac:dyDescent="0.25">
      <c r="A12055" t="str">
        <f t="shared" si="32"/>
        <v/>
      </c>
    </row>
    <row r="12056" spans="1:1" x14ac:dyDescent="0.25">
      <c r="A12056" t="str">
        <f t="shared" si="32"/>
        <v/>
      </c>
    </row>
    <row r="12057" spans="1:1" x14ac:dyDescent="0.25">
      <c r="A12057" t="str">
        <f t="shared" si="32"/>
        <v/>
      </c>
    </row>
    <row r="12058" spans="1:1" x14ac:dyDescent="0.25">
      <c r="A12058" t="str">
        <f t="shared" si="32"/>
        <v/>
      </c>
    </row>
    <row r="12059" spans="1:1" x14ac:dyDescent="0.25">
      <c r="A12059" t="str">
        <f t="shared" si="32"/>
        <v/>
      </c>
    </row>
    <row r="12060" spans="1:1" x14ac:dyDescent="0.25">
      <c r="A12060" t="str">
        <f t="shared" si="32"/>
        <v/>
      </c>
    </row>
    <row r="12061" spans="1:1" x14ac:dyDescent="0.25">
      <c r="A12061" t="str">
        <f t="shared" si="32"/>
        <v/>
      </c>
    </row>
    <row r="12062" spans="1:1" x14ac:dyDescent="0.25">
      <c r="A12062" t="str">
        <f t="shared" si="32"/>
        <v/>
      </c>
    </row>
    <row r="12063" spans="1:1" x14ac:dyDescent="0.25">
      <c r="A12063" t="str">
        <f t="shared" si="32"/>
        <v/>
      </c>
    </row>
    <row r="12064" spans="1:1" x14ac:dyDescent="0.25">
      <c r="A12064" t="str">
        <f t="shared" si="32"/>
        <v/>
      </c>
    </row>
    <row r="12065" spans="1:1" x14ac:dyDescent="0.25">
      <c r="A12065" t="str">
        <f t="shared" si="32"/>
        <v/>
      </c>
    </row>
    <row r="12066" spans="1:1" x14ac:dyDescent="0.25">
      <c r="A12066" t="str">
        <f t="shared" si="32"/>
        <v/>
      </c>
    </row>
    <row r="12067" spans="1:1" x14ac:dyDescent="0.25">
      <c r="A12067" t="str">
        <f t="shared" si="32"/>
        <v/>
      </c>
    </row>
    <row r="12068" spans="1:1" x14ac:dyDescent="0.25">
      <c r="A12068" t="str">
        <f t="shared" si="32"/>
        <v/>
      </c>
    </row>
    <row r="12069" spans="1:1" x14ac:dyDescent="0.25">
      <c r="A12069" t="str">
        <f t="shared" si="32"/>
        <v/>
      </c>
    </row>
    <row r="12070" spans="1:1" x14ac:dyDescent="0.25">
      <c r="A12070" t="str">
        <f t="shared" si="32"/>
        <v/>
      </c>
    </row>
    <row r="12071" spans="1:1" x14ac:dyDescent="0.25">
      <c r="A12071" t="str">
        <f t="shared" si="32"/>
        <v/>
      </c>
    </row>
    <row r="12072" spans="1:1" x14ac:dyDescent="0.25">
      <c r="A12072" t="str">
        <f t="shared" si="32"/>
        <v/>
      </c>
    </row>
    <row r="12073" spans="1:1" x14ac:dyDescent="0.25">
      <c r="A12073" t="str">
        <f t="shared" si="32"/>
        <v/>
      </c>
    </row>
    <row r="12074" spans="1:1" x14ac:dyDescent="0.25">
      <c r="A12074" t="str">
        <f t="shared" si="32"/>
        <v/>
      </c>
    </row>
    <row r="12075" spans="1:1" x14ac:dyDescent="0.25">
      <c r="A12075" t="str">
        <f t="shared" si="32"/>
        <v/>
      </c>
    </row>
    <row r="12076" spans="1:1" x14ac:dyDescent="0.25">
      <c r="A12076" t="str">
        <f t="shared" si="32"/>
        <v/>
      </c>
    </row>
    <row r="12077" spans="1:1" x14ac:dyDescent="0.25">
      <c r="A12077" t="str">
        <f t="shared" si="32"/>
        <v/>
      </c>
    </row>
    <row r="12078" spans="1:1" x14ac:dyDescent="0.25">
      <c r="A12078" t="str">
        <f t="shared" si="32"/>
        <v/>
      </c>
    </row>
    <row r="12079" spans="1:1" x14ac:dyDescent="0.25">
      <c r="A12079" t="str">
        <f t="shared" si="32"/>
        <v/>
      </c>
    </row>
    <row r="12080" spans="1:1" x14ac:dyDescent="0.25">
      <c r="A12080" t="str">
        <f t="shared" si="32"/>
        <v/>
      </c>
    </row>
    <row r="12081" spans="1:1" x14ac:dyDescent="0.25">
      <c r="A12081" t="str">
        <f t="shared" si="32"/>
        <v/>
      </c>
    </row>
    <row r="12082" spans="1:1" x14ac:dyDescent="0.25">
      <c r="A12082" t="str">
        <f t="shared" si="32"/>
        <v/>
      </c>
    </row>
    <row r="12083" spans="1:1" x14ac:dyDescent="0.25">
      <c r="A12083" t="str">
        <f t="shared" si="32"/>
        <v/>
      </c>
    </row>
    <row r="12084" spans="1:1" x14ac:dyDescent="0.25">
      <c r="A12084" t="str">
        <f t="shared" si="32"/>
        <v/>
      </c>
    </row>
    <row r="12085" spans="1:1" x14ac:dyDescent="0.25">
      <c r="A12085" t="str">
        <f t="shared" ref="A12085:A12148" si="33">B12083&amp;D12083</f>
        <v/>
      </c>
    </row>
    <row r="12086" spans="1:1" x14ac:dyDescent="0.25">
      <c r="A12086" t="str">
        <f t="shared" si="33"/>
        <v/>
      </c>
    </row>
    <row r="12087" spans="1:1" x14ac:dyDescent="0.25">
      <c r="A12087" t="str">
        <f t="shared" si="33"/>
        <v/>
      </c>
    </row>
    <row r="12088" spans="1:1" x14ac:dyDescent="0.25">
      <c r="A12088" t="str">
        <f t="shared" si="33"/>
        <v/>
      </c>
    </row>
    <row r="12089" spans="1:1" x14ac:dyDescent="0.25">
      <c r="A12089" t="str">
        <f t="shared" si="33"/>
        <v/>
      </c>
    </row>
    <row r="12090" spans="1:1" x14ac:dyDescent="0.25">
      <c r="A12090" t="str">
        <f t="shared" si="33"/>
        <v/>
      </c>
    </row>
    <row r="12091" spans="1:1" x14ac:dyDescent="0.25">
      <c r="A12091" t="str">
        <f t="shared" si="33"/>
        <v/>
      </c>
    </row>
    <row r="12092" spans="1:1" x14ac:dyDescent="0.25">
      <c r="A12092" t="str">
        <f t="shared" si="33"/>
        <v/>
      </c>
    </row>
    <row r="12093" spans="1:1" x14ac:dyDescent="0.25">
      <c r="A12093" t="str">
        <f t="shared" si="33"/>
        <v/>
      </c>
    </row>
    <row r="12094" spans="1:1" x14ac:dyDescent="0.25">
      <c r="A12094" t="str">
        <f t="shared" si="33"/>
        <v/>
      </c>
    </row>
    <row r="12095" spans="1:1" x14ac:dyDescent="0.25">
      <c r="A12095" t="str">
        <f t="shared" si="33"/>
        <v/>
      </c>
    </row>
    <row r="12096" spans="1:1" x14ac:dyDescent="0.25">
      <c r="A12096" t="str">
        <f t="shared" si="33"/>
        <v/>
      </c>
    </row>
    <row r="12097" spans="1:1" x14ac:dyDescent="0.25">
      <c r="A12097" t="str">
        <f t="shared" si="33"/>
        <v/>
      </c>
    </row>
    <row r="12098" spans="1:1" x14ac:dyDescent="0.25">
      <c r="A12098" t="str">
        <f t="shared" si="33"/>
        <v/>
      </c>
    </row>
    <row r="12099" spans="1:1" x14ac:dyDescent="0.25">
      <c r="A12099" t="str">
        <f t="shared" si="33"/>
        <v/>
      </c>
    </row>
    <row r="12100" spans="1:1" x14ac:dyDescent="0.25">
      <c r="A12100" t="str">
        <f t="shared" si="33"/>
        <v/>
      </c>
    </row>
    <row r="12101" spans="1:1" x14ac:dyDescent="0.25">
      <c r="A12101" t="str">
        <f t="shared" si="33"/>
        <v/>
      </c>
    </row>
    <row r="12102" spans="1:1" x14ac:dyDescent="0.25">
      <c r="A12102" t="str">
        <f t="shared" si="33"/>
        <v/>
      </c>
    </row>
    <row r="12103" spans="1:1" x14ac:dyDescent="0.25">
      <c r="A12103" t="str">
        <f t="shared" si="33"/>
        <v/>
      </c>
    </row>
    <row r="12104" spans="1:1" x14ac:dyDescent="0.25">
      <c r="A12104" t="str">
        <f t="shared" si="33"/>
        <v/>
      </c>
    </row>
    <row r="12105" spans="1:1" x14ac:dyDescent="0.25">
      <c r="A12105" t="str">
        <f t="shared" si="33"/>
        <v/>
      </c>
    </row>
    <row r="12106" spans="1:1" x14ac:dyDescent="0.25">
      <c r="A12106" t="str">
        <f t="shared" si="33"/>
        <v/>
      </c>
    </row>
    <row r="12107" spans="1:1" x14ac:dyDescent="0.25">
      <c r="A12107" t="str">
        <f t="shared" si="33"/>
        <v/>
      </c>
    </row>
    <row r="12108" spans="1:1" x14ac:dyDescent="0.25">
      <c r="A12108" t="str">
        <f t="shared" si="33"/>
        <v/>
      </c>
    </row>
    <row r="12109" spans="1:1" x14ac:dyDescent="0.25">
      <c r="A12109" t="str">
        <f t="shared" si="33"/>
        <v/>
      </c>
    </row>
    <row r="12110" spans="1:1" x14ac:dyDescent="0.25">
      <c r="A12110" t="str">
        <f t="shared" si="33"/>
        <v/>
      </c>
    </row>
    <row r="12111" spans="1:1" x14ac:dyDescent="0.25">
      <c r="A12111" t="str">
        <f t="shared" si="33"/>
        <v/>
      </c>
    </row>
    <row r="12112" spans="1:1" x14ac:dyDescent="0.25">
      <c r="A12112" t="str">
        <f t="shared" si="33"/>
        <v/>
      </c>
    </row>
    <row r="12113" spans="1:1" x14ac:dyDescent="0.25">
      <c r="A12113" t="str">
        <f t="shared" si="33"/>
        <v/>
      </c>
    </row>
    <row r="12114" spans="1:1" x14ac:dyDescent="0.25">
      <c r="A12114" t="str">
        <f t="shared" si="33"/>
        <v/>
      </c>
    </row>
    <row r="12115" spans="1:1" x14ac:dyDescent="0.25">
      <c r="A12115" t="str">
        <f t="shared" si="33"/>
        <v/>
      </c>
    </row>
    <row r="12116" spans="1:1" x14ac:dyDescent="0.25">
      <c r="A12116" t="str">
        <f t="shared" si="33"/>
        <v/>
      </c>
    </row>
    <row r="12117" spans="1:1" x14ac:dyDescent="0.25">
      <c r="A12117" t="str">
        <f t="shared" si="33"/>
        <v/>
      </c>
    </row>
    <row r="12118" spans="1:1" x14ac:dyDescent="0.25">
      <c r="A12118" t="str">
        <f t="shared" si="33"/>
        <v/>
      </c>
    </row>
    <row r="12119" spans="1:1" x14ac:dyDescent="0.25">
      <c r="A12119" t="str">
        <f t="shared" si="33"/>
        <v/>
      </c>
    </row>
    <row r="12120" spans="1:1" x14ac:dyDescent="0.25">
      <c r="A12120" t="str">
        <f t="shared" si="33"/>
        <v/>
      </c>
    </row>
    <row r="12121" spans="1:1" x14ac:dyDescent="0.25">
      <c r="A12121" t="str">
        <f t="shared" si="33"/>
        <v/>
      </c>
    </row>
    <row r="12122" spans="1:1" x14ac:dyDescent="0.25">
      <c r="A12122" t="str">
        <f t="shared" si="33"/>
        <v/>
      </c>
    </row>
    <row r="12123" spans="1:1" x14ac:dyDescent="0.25">
      <c r="A12123" t="str">
        <f t="shared" si="33"/>
        <v/>
      </c>
    </row>
    <row r="12124" spans="1:1" x14ac:dyDescent="0.25">
      <c r="A12124" t="str">
        <f t="shared" si="33"/>
        <v/>
      </c>
    </row>
    <row r="12125" spans="1:1" x14ac:dyDescent="0.25">
      <c r="A12125" t="str">
        <f t="shared" si="33"/>
        <v/>
      </c>
    </row>
    <row r="12126" spans="1:1" x14ac:dyDescent="0.25">
      <c r="A12126" t="str">
        <f t="shared" si="33"/>
        <v/>
      </c>
    </row>
    <row r="12127" spans="1:1" x14ac:dyDescent="0.25">
      <c r="A12127" t="str">
        <f t="shared" si="33"/>
        <v/>
      </c>
    </row>
    <row r="12128" spans="1:1" x14ac:dyDescent="0.25">
      <c r="A12128" t="str">
        <f t="shared" si="33"/>
        <v/>
      </c>
    </row>
    <row r="12129" spans="1:1" x14ac:dyDescent="0.25">
      <c r="A12129" t="str">
        <f t="shared" si="33"/>
        <v/>
      </c>
    </row>
    <row r="12130" spans="1:1" x14ac:dyDescent="0.25">
      <c r="A12130" t="str">
        <f t="shared" si="33"/>
        <v/>
      </c>
    </row>
    <row r="12131" spans="1:1" x14ac:dyDescent="0.25">
      <c r="A12131" t="str">
        <f t="shared" si="33"/>
        <v/>
      </c>
    </row>
    <row r="12132" spans="1:1" x14ac:dyDescent="0.25">
      <c r="A12132" t="str">
        <f t="shared" si="33"/>
        <v/>
      </c>
    </row>
    <row r="12133" spans="1:1" x14ac:dyDescent="0.25">
      <c r="A12133" t="str">
        <f t="shared" si="33"/>
        <v/>
      </c>
    </row>
    <row r="12134" spans="1:1" x14ac:dyDescent="0.25">
      <c r="A12134" t="str">
        <f t="shared" si="33"/>
        <v/>
      </c>
    </row>
    <row r="12135" spans="1:1" x14ac:dyDescent="0.25">
      <c r="A12135" t="str">
        <f t="shared" si="33"/>
        <v/>
      </c>
    </row>
    <row r="12136" spans="1:1" x14ac:dyDescent="0.25">
      <c r="A12136" t="str">
        <f t="shared" si="33"/>
        <v/>
      </c>
    </row>
    <row r="12137" spans="1:1" x14ac:dyDescent="0.25">
      <c r="A12137" t="str">
        <f t="shared" si="33"/>
        <v/>
      </c>
    </row>
    <row r="12138" spans="1:1" x14ac:dyDescent="0.25">
      <c r="A12138" t="str">
        <f t="shared" si="33"/>
        <v/>
      </c>
    </row>
    <row r="12139" spans="1:1" x14ac:dyDescent="0.25">
      <c r="A12139" t="str">
        <f t="shared" si="33"/>
        <v/>
      </c>
    </row>
    <row r="12140" spans="1:1" x14ac:dyDescent="0.25">
      <c r="A12140" t="str">
        <f t="shared" si="33"/>
        <v/>
      </c>
    </row>
    <row r="12141" spans="1:1" x14ac:dyDescent="0.25">
      <c r="A12141" t="str">
        <f t="shared" si="33"/>
        <v/>
      </c>
    </row>
    <row r="12142" spans="1:1" x14ac:dyDescent="0.25">
      <c r="A12142" t="str">
        <f t="shared" si="33"/>
        <v/>
      </c>
    </row>
    <row r="12143" spans="1:1" x14ac:dyDescent="0.25">
      <c r="A12143" t="str">
        <f t="shared" si="33"/>
        <v/>
      </c>
    </row>
    <row r="12144" spans="1:1" x14ac:dyDescent="0.25">
      <c r="A12144" t="str">
        <f t="shared" si="33"/>
        <v/>
      </c>
    </row>
    <row r="12145" spans="1:1" x14ac:dyDescent="0.25">
      <c r="A12145" t="str">
        <f t="shared" si="33"/>
        <v/>
      </c>
    </row>
    <row r="12146" spans="1:1" x14ac:dyDescent="0.25">
      <c r="A12146" t="str">
        <f t="shared" si="33"/>
        <v/>
      </c>
    </row>
    <row r="12147" spans="1:1" x14ac:dyDescent="0.25">
      <c r="A12147" t="str">
        <f t="shared" si="33"/>
        <v/>
      </c>
    </row>
    <row r="12148" spans="1:1" x14ac:dyDescent="0.25">
      <c r="A12148" t="str">
        <f t="shared" si="33"/>
        <v/>
      </c>
    </row>
    <row r="12149" spans="1:1" x14ac:dyDescent="0.25">
      <c r="A12149" t="str">
        <f t="shared" ref="A12149:A12212" si="34">B12147&amp;D12147</f>
        <v/>
      </c>
    </row>
    <row r="12150" spans="1:1" x14ac:dyDescent="0.25">
      <c r="A12150" t="str">
        <f t="shared" si="34"/>
        <v/>
      </c>
    </row>
    <row r="12151" spans="1:1" x14ac:dyDescent="0.25">
      <c r="A12151" t="str">
        <f t="shared" si="34"/>
        <v/>
      </c>
    </row>
    <row r="12152" spans="1:1" x14ac:dyDescent="0.25">
      <c r="A12152" t="str">
        <f t="shared" si="34"/>
        <v/>
      </c>
    </row>
    <row r="12153" spans="1:1" x14ac:dyDescent="0.25">
      <c r="A12153" t="str">
        <f t="shared" si="34"/>
        <v/>
      </c>
    </row>
    <row r="12154" spans="1:1" x14ac:dyDescent="0.25">
      <c r="A12154" t="str">
        <f t="shared" si="34"/>
        <v/>
      </c>
    </row>
    <row r="12155" spans="1:1" x14ac:dyDescent="0.25">
      <c r="A12155" t="str">
        <f t="shared" si="34"/>
        <v/>
      </c>
    </row>
    <row r="12156" spans="1:1" x14ac:dyDescent="0.25">
      <c r="A12156" t="str">
        <f t="shared" si="34"/>
        <v/>
      </c>
    </row>
    <row r="12157" spans="1:1" x14ac:dyDescent="0.25">
      <c r="A12157" t="str">
        <f t="shared" si="34"/>
        <v/>
      </c>
    </row>
    <row r="12158" spans="1:1" x14ac:dyDescent="0.25">
      <c r="A12158" t="str">
        <f t="shared" si="34"/>
        <v/>
      </c>
    </row>
    <row r="12159" spans="1:1" x14ac:dyDescent="0.25">
      <c r="A12159" t="str">
        <f t="shared" si="34"/>
        <v/>
      </c>
    </row>
    <row r="12160" spans="1:1" x14ac:dyDescent="0.25">
      <c r="A12160" t="str">
        <f t="shared" si="34"/>
        <v/>
      </c>
    </row>
    <row r="12161" spans="1:1" x14ac:dyDescent="0.25">
      <c r="A12161" t="str">
        <f t="shared" si="34"/>
        <v/>
      </c>
    </row>
    <row r="12162" spans="1:1" x14ac:dyDescent="0.25">
      <c r="A12162" t="str">
        <f t="shared" si="34"/>
        <v/>
      </c>
    </row>
    <row r="12163" spans="1:1" x14ac:dyDescent="0.25">
      <c r="A12163" t="str">
        <f t="shared" si="34"/>
        <v/>
      </c>
    </row>
    <row r="12164" spans="1:1" x14ac:dyDescent="0.25">
      <c r="A12164" t="str">
        <f t="shared" si="34"/>
        <v/>
      </c>
    </row>
    <row r="12165" spans="1:1" x14ac:dyDescent="0.25">
      <c r="A12165" t="str">
        <f t="shared" si="34"/>
        <v/>
      </c>
    </row>
    <row r="12166" spans="1:1" x14ac:dyDescent="0.25">
      <c r="A12166" t="str">
        <f t="shared" si="34"/>
        <v/>
      </c>
    </row>
    <row r="12167" spans="1:1" x14ac:dyDescent="0.25">
      <c r="A12167" t="str">
        <f t="shared" si="34"/>
        <v/>
      </c>
    </row>
    <row r="12168" spans="1:1" x14ac:dyDescent="0.25">
      <c r="A12168" t="str">
        <f t="shared" si="34"/>
        <v/>
      </c>
    </row>
    <row r="12169" spans="1:1" x14ac:dyDescent="0.25">
      <c r="A12169" t="str">
        <f t="shared" si="34"/>
        <v/>
      </c>
    </row>
    <row r="12170" spans="1:1" x14ac:dyDescent="0.25">
      <c r="A12170" t="str">
        <f t="shared" si="34"/>
        <v/>
      </c>
    </row>
    <row r="12171" spans="1:1" x14ac:dyDescent="0.25">
      <c r="A12171" t="str">
        <f t="shared" si="34"/>
        <v/>
      </c>
    </row>
    <row r="12172" spans="1:1" x14ac:dyDescent="0.25">
      <c r="A12172" t="str">
        <f t="shared" si="34"/>
        <v/>
      </c>
    </row>
    <row r="12173" spans="1:1" x14ac:dyDescent="0.25">
      <c r="A12173" t="str">
        <f t="shared" si="34"/>
        <v/>
      </c>
    </row>
    <row r="12174" spans="1:1" x14ac:dyDescent="0.25">
      <c r="A12174" t="str">
        <f t="shared" si="34"/>
        <v/>
      </c>
    </row>
    <row r="12175" spans="1:1" x14ac:dyDescent="0.25">
      <c r="A12175" t="str">
        <f t="shared" si="34"/>
        <v/>
      </c>
    </row>
    <row r="12176" spans="1:1" x14ac:dyDescent="0.25">
      <c r="A12176" t="str">
        <f t="shared" si="34"/>
        <v/>
      </c>
    </row>
    <row r="12177" spans="1:1" x14ac:dyDescent="0.25">
      <c r="A12177" t="str">
        <f t="shared" si="34"/>
        <v/>
      </c>
    </row>
    <row r="12178" spans="1:1" x14ac:dyDescent="0.25">
      <c r="A12178" t="str">
        <f t="shared" si="34"/>
        <v/>
      </c>
    </row>
    <row r="12179" spans="1:1" x14ac:dyDescent="0.25">
      <c r="A12179" t="str">
        <f t="shared" si="34"/>
        <v/>
      </c>
    </row>
    <row r="12180" spans="1:1" x14ac:dyDescent="0.25">
      <c r="A12180" t="str">
        <f t="shared" si="34"/>
        <v/>
      </c>
    </row>
    <row r="12181" spans="1:1" x14ac:dyDescent="0.25">
      <c r="A12181" t="str">
        <f t="shared" si="34"/>
        <v/>
      </c>
    </row>
    <row r="12182" spans="1:1" x14ac:dyDescent="0.25">
      <c r="A12182" t="str">
        <f t="shared" si="34"/>
        <v/>
      </c>
    </row>
    <row r="12183" spans="1:1" x14ac:dyDescent="0.25">
      <c r="A12183" t="str">
        <f t="shared" si="34"/>
        <v/>
      </c>
    </row>
    <row r="12184" spans="1:1" x14ac:dyDescent="0.25">
      <c r="A12184" t="str">
        <f t="shared" si="34"/>
        <v/>
      </c>
    </row>
    <row r="12185" spans="1:1" x14ac:dyDescent="0.25">
      <c r="A12185" t="str">
        <f t="shared" si="34"/>
        <v/>
      </c>
    </row>
    <row r="12186" spans="1:1" x14ac:dyDescent="0.25">
      <c r="A12186" t="str">
        <f t="shared" si="34"/>
        <v/>
      </c>
    </row>
    <row r="12187" spans="1:1" x14ac:dyDescent="0.25">
      <c r="A12187" t="str">
        <f t="shared" si="34"/>
        <v/>
      </c>
    </row>
    <row r="12188" spans="1:1" x14ac:dyDescent="0.25">
      <c r="A12188" t="str">
        <f t="shared" si="34"/>
        <v/>
      </c>
    </row>
    <row r="12189" spans="1:1" x14ac:dyDescent="0.25">
      <c r="A12189" t="str">
        <f t="shared" si="34"/>
        <v/>
      </c>
    </row>
    <row r="12190" spans="1:1" x14ac:dyDescent="0.25">
      <c r="A12190" t="str">
        <f t="shared" si="34"/>
        <v/>
      </c>
    </row>
    <row r="12191" spans="1:1" x14ac:dyDescent="0.25">
      <c r="A12191" t="str">
        <f t="shared" si="34"/>
        <v/>
      </c>
    </row>
    <row r="12192" spans="1:1" x14ac:dyDescent="0.25">
      <c r="A12192" t="str">
        <f t="shared" si="34"/>
        <v/>
      </c>
    </row>
    <row r="12193" spans="1:1" x14ac:dyDescent="0.25">
      <c r="A12193" t="str">
        <f t="shared" si="34"/>
        <v/>
      </c>
    </row>
    <row r="12194" spans="1:1" x14ac:dyDescent="0.25">
      <c r="A12194" t="str">
        <f t="shared" si="34"/>
        <v/>
      </c>
    </row>
    <row r="12195" spans="1:1" x14ac:dyDescent="0.25">
      <c r="A12195" t="str">
        <f t="shared" si="34"/>
        <v/>
      </c>
    </row>
    <row r="12196" spans="1:1" x14ac:dyDescent="0.25">
      <c r="A12196" t="str">
        <f t="shared" si="34"/>
        <v/>
      </c>
    </row>
    <row r="12197" spans="1:1" x14ac:dyDescent="0.25">
      <c r="A12197" t="str">
        <f t="shared" si="34"/>
        <v/>
      </c>
    </row>
    <row r="12198" spans="1:1" x14ac:dyDescent="0.25">
      <c r="A12198" t="str">
        <f t="shared" si="34"/>
        <v/>
      </c>
    </row>
    <row r="12199" spans="1:1" x14ac:dyDescent="0.25">
      <c r="A12199" t="str">
        <f t="shared" si="34"/>
        <v/>
      </c>
    </row>
    <row r="12200" spans="1:1" x14ac:dyDescent="0.25">
      <c r="A12200" t="str">
        <f t="shared" si="34"/>
        <v/>
      </c>
    </row>
    <row r="12201" spans="1:1" x14ac:dyDescent="0.25">
      <c r="A12201" t="str">
        <f t="shared" si="34"/>
        <v/>
      </c>
    </row>
    <row r="12202" spans="1:1" x14ac:dyDescent="0.25">
      <c r="A12202" t="str">
        <f t="shared" si="34"/>
        <v/>
      </c>
    </row>
    <row r="12203" spans="1:1" x14ac:dyDescent="0.25">
      <c r="A12203" t="str">
        <f t="shared" si="34"/>
        <v/>
      </c>
    </row>
    <row r="12204" spans="1:1" x14ac:dyDescent="0.25">
      <c r="A12204" t="str">
        <f t="shared" si="34"/>
        <v/>
      </c>
    </row>
    <row r="12205" spans="1:1" x14ac:dyDescent="0.25">
      <c r="A12205" t="str">
        <f t="shared" si="34"/>
        <v/>
      </c>
    </row>
    <row r="12206" spans="1:1" x14ac:dyDescent="0.25">
      <c r="A12206" t="str">
        <f t="shared" si="34"/>
        <v/>
      </c>
    </row>
    <row r="12207" spans="1:1" x14ac:dyDescent="0.25">
      <c r="A12207" t="str">
        <f t="shared" si="34"/>
        <v/>
      </c>
    </row>
    <row r="12208" spans="1:1" x14ac:dyDescent="0.25">
      <c r="A12208" t="str">
        <f t="shared" si="34"/>
        <v/>
      </c>
    </row>
    <row r="12209" spans="1:1" x14ac:dyDescent="0.25">
      <c r="A12209" t="str">
        <f t="shared" si="34"/>
        <v/>
      </c>
    </row>
    <row r="12210" spans="1:1" x14ac:dyDescent="0.25">
      <c r="A12210" t="str">
        <f t="shared" si="34"/>
        <v/>
      </c>
    </row>
    <row r="12211" spans="1:1" x14ac:dyDescent="0.25">
      <c r="A12211" t="str">
        <f t="shared" si="34"/>
        <v/>
      </c>
    </row>
    <row r="12212" spans="1:1" x14ac:dyDescent="0.25">
      <c r="A12212" t="str">
        <f t="shared" si="34"/>
        <v/>
      </c>
    </row>
    <row r="12213" spans="1:1" x14ac:dyDescent="0.25">
      <c r="A12213" t="str">
        <f t="shared" ref="A12213:A12276" si="35">B12211&amp;D12211</f>
        <v/>
      </c>
    </row>
    <row r="12214" spans="1:1" x14ac:dyDescent="0.25">
      <c r="A12214" t="str">
        <f t="shared" si="35"/>
        <v/>
      </c>
    </row>
    <row r="12215" spans="1:1" x14ac:dyDescent="0.25">
      <c r="A12215" t="str">
        <f t="shared" si="35"/>
        <v/>
      </c>
    </row>
    <row r="12216" spans="1:1" x14ac:dyDescent="0.25">
      <c r="A12216" t="str">
        <f t="shared" si="35"/>
        <v/>
      </c>
    </row>
    <row r="12217" spans="1:1" x14ac:dyDescent="0.25">
      <c r="A12217" t="str">
        <f t="shared" si="35"/>
        <v/>
      </c>
    </row>
    <row r="12218" spans="1:1" x14ac:dyDescent="0.25">
      <c r="A12218" t="str">
        <f t="shared" si="35"/>
        <v/>
      </c>
    </row>
    <row r="12219" spans="1:1" x14ac:dyDescent="0.25">
      <c r="A12219" t="str">
        <f t="shared" si="35"/>
        <v/>
      </c>
    </row>
    <row r="12220" spans="1:1" x14ac:dyDescent="0.25">
      <c r="A12220" t="str">
        <f t="shared" si="35"/>
        <v/>
      </c>
    </row>
    <row r="12221" spans="1:1" x14ac:dyDescent="0.25">
      <c r="A12221" t="str">
        <f t="shared" si="35"/>
        <v/>
      </c>
    </row>
    <row r="12222" spans="1:1" x14ac:dyDescent="0.25">
      <c r="A12222" t="str">
        <f t="shared" si="35"/>
        <v/>
      </c>
    </row>
    <row r="12223" spans="1:1" x14ac:dyDescent="0.25">
      <c r="A12223" t="str">
        <f t="shared" si="35"/>
        <v/>
      </c>
    </row>
    <row r="12224" spans="1:1" x14ac:dyDescent="0.25">
      <c r="A12224" t="str">
        <f t="shared" si="35"/>
        <v/>
      </c>
    </row>
    <row r="12225" spans="1:1" x14ac:dyDescent="0.25">
      <c r="A12225" t="str">
        <f t="shared" si="35"/>
        <v/>
      </c>
    </row>
    <row r="12226" spans="1:1" x14ac:dyDescent="0.25">
      <c r="A12226" t="str">
        <f t="shared" si="35"/>
        <v/>
      </c>
    </row>
    <row r="12227" spans="1:1" x14ac:dyDescent="0.25">
      <c r="A12227" t="str">
        <f t="shared" si="35"/>
        <v/>
      </c>
    </row>
    <row r="12228" spans="1:1" x14ac:dyDescent="0.25">
      <c r="A12228" t="str">
        <f t="shared" si="35"/>
        <v/>
      </c>
    </row>
    <row r="12229" spans="1:1" x14ac:dyDescent="0.25">
      <c r="A12229" t="str">
        <f t="shared" si="35"/>
        <v/>
      </c>
    </row>
    <row r="12230" spans="1:1" x14ac:dyDescent="0.25">
      <c r="A12230" t="str">
        <f t="shared" si="35"/>
        <v/>
      </c>
    </row>
    <row r="12231" spans="1:1" x14ac:dyDescent="0.25">
      <c r="A12231" t="str">
        <f t="shared" si="35"/>
        <v/>
      </c>
    </row>
    <row r="12232" spans="1:1" x14ac:dyDescent="0.25">
      <c r="A12232" t="str">
        <f t="shared" si="35"/>
        <v/>
      </c>
    </row>
    <row r="12233" spans="1:1" x14ac:dyDescent="0.25">
      <c r="A12233" t="str">
        <f t="shared" si="35"/>
        <v/>
      </c>
    </row>
    <row r="12234" spans="1:1" x14ac:dyDescent="0.25">
      <c r="A12234" t="str">
        <f t="shared" si="35"/>
        <v/>
      </c>
    </row>
    <row r="12235" spans="1:1" x14ac:dyDescent="0.25">
      <c r="A12235" t="str">
        <f t="shared" si="35"/>
        <v/>
      </c>
    </row>
    <row r="12236" spans="1:1" x14ac:dyDescent="0.25">
      <c r="A12236" t="str">
        <f t="shared" si="35"/>
        <v/>
      </c>
    </row>
    <row r="12237" spans="1:1" x14ac:dyDescent="0.25">
      <c r="A12237" t="str">
        <f t="shared" si="35"/>
        <v/>
      </c>
    </row>
    <row r="12238" spans="1:1" x14ac:dyDescent="0.25">
      <c r="A12238" t="str">
        <f t="shared" si="35"/>
        <v/>
      </c>
    </row>
    <row r="12239" spans="1:1" x14ac:dyDescent="0.25">
      <c r="A12239" t="str">
        <f t="shared" si="35"/>
        <v/>
      </c>
    </row>
    <row r="12240" spans="1:1" x14ac:dyDescent="0.25">
      <c r="A12240" t="str">
        <f t="shared" si="35"/>
        <v/>
      </c>
    </row>
    <row r="12241" spans="1:1" x14ac:dyDescent="0.25">
      <c r="A12241" t="str">
        <f t="shared" si="35"/>
        <v/>
      </c>
    </row>
    <row r="12242" spans="1:1" x14ac:dyDescent="0.25">
      <c r="A12242" t="str">
        <f t="shared" si="35"/>
        <v/>
      </c>
    </row>
    <row r="12243" spans="1:1" x14ac:dyDescent="0.25">
      <c r="A12243" t="str">
        <f t="shared" si="35"/>
        <v/>
      </c>
    </row>
    <row r="12244" spans="1:1" x14ac:dyDescent="0.25">
      <c r="A12244" t="str">
        <f t="shared" si="35"/>
        <v/>
      </c>
    </row>
    <row r="12245" spans="1:1" x14ac:dyDescent="0.25">
      <c r="A12245" t="str">
        <f t="shared" si="35"/>
        <v/>
      </c>
    </row>
    <row r="12246" spans="1:1" x14ac:dyDescent="0.25">
      <c r="A12246" t="str">
        <f t="shared" si="35"/>
        <v/>
      </c>
    </row>
    <row r="12247" spans="1:1" x14ac:dyDescent="0.25">
      <c r="A12247" t="str">
        <f t="shared" si="35"/>
        <v/>
      </c>
    </row>
    <row r="12248" spans="1:1" x14ac:dyDescent="0.25">
      <c r="A12248" t="str">
        <f t="shared" si="35"/>
        <v/>
      </c>
    </row>
    <row r="12249" spans="1:1" x14ac:dyDescent="0.25">
      <c r="A12249" t="str">
        <f t="shared" si="35"/>
        <v/>
      </c>
    </row>
    <row r="12250" spans="1:1" x14ac:dyDescent="0.25">
      <c r="A12250" t="str">
        <f t="shared" si="35"/>
        <v/>
      </c>
    </row>
    <row r="12251" spans="1:1" x14ac:dyDescent="0.25">
      <c r="A12251" t="str">
        <f t="shared" si="35"/>
        <v/>
      </c>
    </row>
    <row r="12252" spans="1:1" x14ac:dyDescent="0.25">
      <c r="A12252" t="str">
        <f t="shared" si="35"/>
        <v/>
      </c>
    </row>
    <row r="12253" spans="1:1" x14ac:dyDescent="0.25">
      <c r="A12253" t="str">
        <f t="shared" si="35"/>
        <v/>
      </c>
    </row>
    <row r="12254" spans="1:1" x14ac:dyDescent="0.25">
      <c r="A12254" t="str">
        <f t="shared" si="35"/>
        <v/>
      </c>
    </row>
    <row r="12255" spans="1:1" x14ac:dyDescent="0.25">
      <c r="A12255" t="str">
        <f t="shared" si="35"/>
        <v/>
      </c>
    </row>
    <row r="12256" spans="1:1" x14ac:dyDescent="0.25">
      <c r="A12256" t="str">
        <f t="shared" si="35"/>
        <v/>
      </c>
    </row>
    <row r="12257" spans="1:1" x14ac:dyDescent="0.25">
      <c r="A12257" t="str">
        <f t="shared" si="35"/>
        <v/>
      </c>
    </row>
    <row r="12258" spans="1:1" x14ac:dyDescent="0.25">
      <c r="A12258" t="str">
        <f t="shared" si="35"/>
        <v/>
      </c>
    </row>
    <row r="12259" spans="1:1" x14ac:dyDescent="0.25">
      <c r="A12259" t="str">
        <f t="shared" si="35"/>
        <v/>
      </c>
    </row>
    <row r="12260" spans="1:1" x14ac:dyDescent="0.25">
      <c r="A12260" t="str">
        <f t="shared" si="35"/>
        <v/>
      </c>
    </row>
    <row r="12261" spans="1:1" x14ac:dyDescent="0.25">
      <c r="A12261" t="str">
        <f t="shared" si="35"/>
        <v/>
      </c>
    </row>
    <row r="12262" spans="1:1" x14ac:dyDescent="0.25">
      <c r="A12262" t="str">
        <f t="shared" si="35"/>
        <v/>
      </c>
    </row>
    <row r="12263" spans="1:1" x14ac:dyDescent="0.25">
      <c r="A12263" t="str">
        <f t="shared" si="35"/>
        <v/>
      </c>
    </row>
    <row r="12264" spans="1:1" x14ac:dyDescent="0.25">
      <c r="A12264" t="str">
        <f t="shared" si="35"/>
        <v/>
      </c>
    </row>
    <row r="12265" spans="1:1" x14ac:dyDescent="0.25">
      <c r="A12265" t="str">
        <f t="shared" si="35"/>
        <v/>
      </c>
    </row>
    <row r="12266" spans="1:1" x14ac:dyDescent="0.25">
      <c r="A12266" t="str">
        <f t="shared" si="35"/>
        <v/>
      </c>
    </row>
    <row r="12267" spans="1:1" x14ac:dyDescent="0.25">
      <c r="A12267" t="str">
        <f t="shared" si="35"/>
        <v/>
      </c>
    </row>
    <row r="12268" spans="1:1" x14ac:dyDescent="0.25">
      <c r="A12268" t="str">
        <f t="shared" si="35"/>
        <v/>
      </c>
    </row>
    <row r="12269" spans="1:1" x14ac:dyDescent="0.25">
      <c r="A12269" t="str">
        <f t="shared" si="35"/>
        <v/>
      </c>
    </row>
    <row r="12270" spans="1:1" x14ac:dyDescent="0.25">
      <c r="A12270" t="str">
        <f t="shared" si="35"/>
        <v/>
      </c>
    </row>
    <row r="12271" spans="1:1" x14ac:dyDescent="0.25">
      <c r="A12271" t="str">
        <f t="shared" si="35"/>
        <v/>
      </c>
    </row>
    <row r="12272" spans="1:1" x14ac:dyDescent="0.25">
      <c r="A12272" t="str">
        <f t="shared" si="35"/>
        <v/>
      </c>
    </row>
    <row r="12273" spans="1:1" x14ac:dyDescent="0.25">
      <c r="A12273" t="str">
        <f t="shared" si="35"/>
        <v/>
      </c>
    </row>
    <row r="12274" spans="1:1" x14ac:dyDescent="0.25">
      <c r="A12274" t="str">
        <f t="shared" si="35"/>
        <v/>
      </c>
    </row>
    <row r="12275" spans="1:1" x14ac:dyDescent="0.25">
      <c r="A12275" t="str">
        <f t="shared" si="35"/>
        <v/>
      </c>
    </row>
    <row r="12276" spans="1:1" x14ac:dyDescent="0.25">
      <c r="A12276" t="str">
        <f t="shared" si="35"/>
        <v/>
      </c>
    </row>
    <row r="12277" spans="1:1" x14ac:dyDescent="0.25">
      <c r="A12277" t="str">
        <f t="shared" ref="A12277:A12340" si="36">B12275&amp;D12275</f>
        <v/>
      </c>
    </row>
    <row r="12278" spans="1:1" x14ac:dyDescent="0.25">
      <c r="A12278" t="str">
        <f t="shared" si="36"/>
        <v/>
      </c>
    </row>
    <row r="12279" spans="1:1" x14ac:dyDescent="0.25">
      <c r="A12279" t="str">
        <f t="shared" si="36"/>
        <v/>
      </c>
    </row>
    <row r="12280" spans="1:1" x14ac:dyDescent="0.25">
      <c r="A12280" t="str">
        <f t="shared" si="36"/>
        <v/>
      </c>
    </row>
    <row r="12281" spans="1:1" x14ac:dyDescent="0.25">
      <c r="A12281" t="str">
        <f t="shared" si="36"/>
        <v/>
      </c>
    </row>
    <row r="12282" spans="1:1" x14ac:dyDescent="0.25">
      <c r="A12282" t="str">
        <f t="shared" si="36"/>
        <v/>
      </c>
    </row>
    <row r="12283" spans="1:1" x14ac:dyDescent="0.25">
      <c r="A12283" t="str">
        <f t="shared" si="36"/>
        <v/>
      </c>
    </row>
    <row r="12284" spans="1:1" x14ac:dyDescent="0.25">
      <c r="A12284" t="str">
        <f t="shared" si="36"/>
        <v/>
      </c>
    </row>
    <row r="12285" spans="1:1" x14ac:dyDescent="0.25">
      <c r="A12285" t="str">
        <f t="shared" si="36"/>
        <v/>
      </c>
    </row>
    <row r="12286" spans="1:1" x14ac:dyDescent="0.25">
      <c r="A12286" t="str">
        <f t="shared" si="36"/>
        <v/>
      </c>
    </row>
    <row r="12287" spans="1:1" x14ac:dyDescent="0.25">
      <c r="A12287" t="str">
        <f t="shared" si="36"/>
        <v/>
      </c>
    </row>
    <row r="12288" spans="1:1" x14ac:dyDescent="0.25">
      <c r="A12288" t="str">
        <f t="shared" si="36"/>
        <v/>
      </c>
    </row>
    <row r="12289" spans="1:1" x14ac:dyDescent="0.25">
      <c r="A12289" t="str">
        <f t="shared" si="36"/>
        <v/>
      </c>
    </row>
    <row r="12290" spans="1:1" x14ac:dyDescent="0.25">
      <c r="A12290" t="str">
        <f t="shared" si="36"/>
        <v/>
      </c>
    </row>
    <row r="12291" spans="1:1" x14ac:dyDescent="0.25">
      <c r="A12291" t="str">
        <f t="shared" si="36"/>
        <v/>
      </c>
    </row>
    <row r="12292" spans="1:1" x14ac:dyDescent="0.25">
      <c r="A12292" t="str">
        <f t="shared" si="36"/>
        <v/>
      </c>
    </row>
    <row r="12293" spans="1:1" x14ac:dyDescent="0.25">
      <c r="A12293" t="str">
        <f t="shared" si="36"/>
        <v/>
      </c>
    </row>
    <row r="12294" spans="1:1" x14ac:dyDescent="0.25">
      <c r="A12294" t="str">
        <f t="shared" si="36"/>
        <v/>
      </c>
    </row>
    <row r="12295" spans="1:1" x14ac:dyDescent="0.25">
      <c r="A12295" t="str">
        <f t="shared" si="36"/>
        <v/>
      </c>
    </row>
    <row r="12296" spans="1:1" x14ac:dyDescent="0.25">
      <c r="A12296" t="str">
        <f t="shared" si="36"/>
        <v/>
      </c>
    </row>
    <row r="12297" spans="1:1" x14ac:dyDescent="0.25">
      <c r="A12297" t="str">
        <f t="shared" si="36"/>
        <v/>
      </c>
    </row>
    <row r="12298" spans="1:1" x14ac:dyDescent="0.25">
      <c r="A12298" t="str">
        <f t="shared" si="36"/>
        <v/>
      </c>
    </row>
    <row r="12299" spans="1:1" x14ac:dyDescent="0.25">
      <c r="A12299" t="str">
        <f t="shared" si="36"/>
        <v/>
      </c>
    </row>
    <row r="12300" spans="1:1" x14ac:dyDescent="0.25">
      <c r="A12300" t="str">
        <f t="shared" si="36"/>
        <v/>
      </c>
    </row>
    <row r="12301" spans="1:1" x14ac:dyDescent="0.25">
      <c r="A12301" t="str">
        <f t="shared" si="36"/>
        <v/>
      </c>
    </row>
    <row r="12302" spans="1:1" x14ac:dyDescent="0.25">
      <c r="A12302" t="str">
        <f t="shared" si="36"/>
        <v/>
      </c>
    </row>
    <row r="12303" spans="1:1" x14ac:dyDescent="0.25">
      <c r="A12303" t="str">
        <f t="shared" si="36"/>
        <v/>
      </c>
    </row>
    <row r="12304" spans="1:1" x14ac:dyDescent="0.25">
      <c r="A12304" t="str">
        <f t="shared" si="36"/>
        <v/>
      </c>
    </row>
    <row r="12305" spans="1:1" x14ac:dyDescent="0.25">
      <c r="A12305" t="str">
        <f t="shared" si="36"/>
        <v/>
      </c>
    </row>
    <row r="12306" spans="1:1" x14ac:dyDescent="0.25">
      <c r="A12306" t="str">
        <f t="shared" si="36"/>
        <v/>
      </c>
    </row>
    <row r="12307" spans="1:1" x14ac:dyDescent="0.25">
      <c r="A12307" t="str">
        <f t="shared" si="36"/>
        <v/>
      </c>
    </row>
    <row r="12308" spans="1:1" x14ac:dyDescent="0.25">
      <c r="A12308" t="str">
        <f t="shared" si="36"/>
        <v/>
      </c>
    </row>
    <row r="12309" spans="1:1" x14ac:dyDescent="0.25">
      <c r="A12309" t="str">
        <f t="shared" si="36"/>
        <v/>
      </c>
    </row>
    <row r="12310" spans="1:1" x14ac:dyDescent="0.25">
      <c r="A12310" t="str">
        <f t="shared" si="36"/>
        <v/>
      </c>
    </row>
    <row r="12311" spans="1:1" x14ac:dyDescent="0.25">
      <c r="A12311" t="str">
        <f t="shared" si="36"/>
        <v/>
      </c>
    </row>
    <row r="12312" spans="1:1" x14ac:dyDescent="0.25">
      <c r="A12312" t="str">
        <f t="shared" si="36"/>
        <v/>
      </c>
    </row>
    <row r="12313" spans="1:1" x14ac:dyDescent="0.25">
      <c r="A12313" t="str">
        <f t="shared" si="36"/>
        <v/>
      </c>
    </row>
    <row r="12314" spans="1:1" x14ac:dyDescent="0.25">
      <c r="A12314" t="str">
        <f t="shared" si="36"/>
        <v/>
      </c>
    </row>
    <row r="12315" spans="1:1" x14ac:dyDescent="0.25">
      <c r="A12315" t="str">
        <f t="shared" si="36"/>
        <v/>
      </c>
    </row>
    <row r="12316" spans="1:1" x14ac:dyDescent="0.25">
      <c r="A12316" t="str">
        <f t="shared" si="36"/>
        <v/>
      </c>
    </row>
    <row r="12317" spans="1:1" x14ac:dyDescent="0.25">
      <c r="A12317" t="str">
        <f t="shared" si="36"/>
        <v/>
      </c>
    </row>
    <row r="12318" spans="1:1" x14ac:dyDescent="0.25">
      <c r="A12318" t="str">
        <f t="shared" si="36"/>
        <v/>
      </c>
    </row>
    <row r="12319" spans="1:1" x14ac:dyDescent="0.25">
      <c r="A12319" t="str">
        <f t="shared" si="36"/>
        <v/>
      </c>
    </row>
    <row r="12320" spans="1:1" x14ac:dyDescent="0.25">
      <c r="A12320" t="str">
        <f t="shared" si="36"/>
        <v/>
      </c>
    </row>
    <row r="12321" spans="1:1" x14ac:dyDescent="0.25">
      <c r="A12321" t="str">
        <f t="shared" si="36"/>
        <v/>
      </c>
    </row>
    <row r="12322" spans="1:1" x14ac:dyDescent="0.25">
      <c r="A12322" t="str">
        <f t="shared" si="36"/>
        <v/>
      </c>
    </row>
    <row r="12323" spans="1:1" x14ac:dyDescent="0.25">
      <c r="A12323" t="str">
        <f t="shared" si="36"/>
        <v/>
      </c>
    </row>
    <row r="12324" spans="1:1" x14ac:dyDescent="0.25">
      <c r="A12324" t="str">
        <f t="shared" si="36"/>
        <v/>
      </c>
    </row>
    <row r="12325" spans="1:1" x14ac:dyDescent="0.25">
      <c r="A12325" t="str">
        <f t="shared" si="36"/>
        <v/>
      </c>
    </row>
    <row r="12326" spans="1:1" x14ac:dyDescent="0.25">
      <c r="A12326" t="str">
        <f t="shared" si="36"/>
        <v/>
      </c>
    </row>
    <row r="12327" spans="1:1" x14ac:dyDescent="0.25">
      <c r="A12327" t="str">
        <f t="shared" si="36"/>
        <v/>
      </c>
    </row>
    <row r="12328" spans="1:1" x14ac:dyDescent="0.25">
      <c r="A12328" t="str">
        <f t="shared" si="36"/>
        <v/>
      </c>
    </row>
    <row r="12329" spans="1:1" x14ac:dyDescent="0.25">
      <c r="A12329" t="str">
        <f t="shared" si="36"/>
        <v/>
      </c>
    </row>
    <row r="12330" spans="1:1" x14ac:dyDescent="0.25">
      <c r="A12330" t="str">
        <f t="shared" si="36"/>
        <v/>
      </c>
    </row>
    <row r="12331" spans="1:1" x14ac:dyDescent="0.25">
      <c r="A12331" t="str">
        <f t="shared" si="36"/>
        <v/>
      </c>
    </row>
    <row r="12332" spans="1:1" x14ac:dyDescent="0.25">
      <c r="A12332" t="str">
        <f t="shared" si="36"/>
        <v/>
      </c>
    </row>
    <row r="12333" spans="1:1" x14ac:dyDescent="0.25">
      <c r="A12333" t="str">
        <f t="shared" si="36"/>
        <v/>
      </c>
    </row>
    <row r="12334" spans="1:1" x14ac:dyDescent="0.25">
      <c r="A12334" t="str">
        <f t="shared" si="36"/>
        <v/>
      </c>
    </row>
    <row r="12335" spans="1:1" x14ac:dyDescent="0.25">
      <c r="A12335" t="str">
        <f t="shared" si="36"/>
        <v/>
      </c>
    </row>
    <row r="12336" spans="1:1" x14ac:dyDescent="0.25">
      <c r="A12336" t="str">
        <f t="shared" si="36"/>
        <v/>
      </c>
    </row>
    <row r="12337" spans="1:1" x14ac:dyDescent="0.25">
      <c r="A12337" t="str">
        <f t="shared" si="36"/>
        <v/>
      </c>
    </row>
    <row r="12338" spans="1:1" x14ac:dyDescent="0.25">
      <c r="A12338" t="str">
        <f t="shared" si="36"/>
        <v/>
      </c>
    </row>
    <row r="12339" spans="1:1" x14ac:dyDescent="0.25">
      <c r="A12339" t="str">
        <f t="shared" si="36"/>
        <v/>
      </c>
    </row>
    <row r="12340" spans="1:1" x14ac:dyDescent="0.25">
      <c r="A12340" t="str">
        <f t="shared" si="36"/>
        <v/>
      </c>
    </row>
    <row r="12341" spans="1:1" x14ac:dyDescent="0.25">
      <c r="A12341" t="str">
        <f t="shared" ref="A12341:A12404" si="37">B12339&amp;D12339</f>
        <v/>
      </c>
    </row>
    <row r="12342" spans="1:1" x14ac:dyDescent="0.25">
      <c r="A12342" t="str">
        <f t="shared" si="37"/>
        <v/>
      </c>
    </row>
    <row r="12343" spans="1:1" x14ac:dyDescent="0.25">
      <c r="A12343" t="str">
        <f t="shared" si="37"/>
        <v/>
      </c>
    </row>
    <row r="12344" spans="1:1" x14ac:dyDescent="0.25">
      <c r="A12344" t="str">
        <f t="shared" si="37"/>
        <v/>
      </c>
    </row>
    <row r="12345" spans="1:1" x14ac:dyDescent="0.25">
      <c r="A12345" t="str">
        <f t="shared" si="37"/>
        <v/>
      </c>
    </row>
    <row r="12346" spans="1:1" x14ac:dyDescent="0.25">
      <c r="A12346" t="str">
        <f t="shared" si="37"/>
        <v/>
      </c>
    </row>
    <row r="12347" spans="1:1" x14ac:dyDescent="0.25">
      <c r="A12347" t="str">
        <f t="shared" si="37"/>
        <v/>
      </c>
    </row>
    <row r="12348" spans="1:1" x14ac:dyDescent="0.25">
      <c r="A12348" t="str">
        <f t="shared" si="37"/>
        <v/>
      </c>
    </row>
    <row r="12349" spans="1:1" x14ac:dyDescent="0.25">
      <c r="A12349" t="str">
        <f t="shared" si="37"/>
        <v/>
      </c>
    </row>
    <row r="12350" spans="1:1" x14ac:dyDescent="0.25">
      <c r="A12350" t="str">
        <f t="shared" si="37"/>
        <v/>
      </c>
    </row>
    <row r="12351" spans="1:1" x14ac:dyDescent="0.25">
      <c r="A12351" t="str">
        <f t="shared" si="37"/>
        <v/>
      </c>
    </row>
    <row r="12352" spans="1:1" x14ac:dyDescent="0.25">
      <c r="A12352" t="str">
        <f t="shared" si="37"/>
        <v/>
      </c>
    </row>
    <row r="12353" spans="1:1" x14ac:dyDescent="0.25">
      <c r="A12353" t="str">
        <f t="shared" si="37"/>
        <v/>
      </c>
    </row>
    <row r="12354" spans="1:1" x14ac:dyDescent="0.25">
      <c r="A12354" t="str">
        <f t="shared" si="37"/>
        <v/>
      </c>
    </row>
    <row r="12355" spans="1:1" x14ac:dyDescent="0.25">
      <c r="A12355" t="str">
        <f t="shared" si="37"/>
        <v/>
      </c>
    </row>
    <row r="12356" spans="1:1" x14ac:dyDescent="0.25">
      <c r="A12356" t="str">
        <f t="shared" si="37"/>
        <v/>
      </c>
    </row>
    <row r="12357" spans="1:1" x14ac:dyDescent="0.25">
      <c r="A12357" t="str">
        <f t="shared" si="37"/>
        <v/>
      </c>
    </row>
    <row r="12358" spans="1:1" x14ac:dyDescent="0.25">
      <c r="A12358" t="str">
        <f t="shared" si="37"/>
        <v/>
      </c>
    </row>
    <row r="12359" spans="1:1" x14ac:dyDescent="0.25">
      <c r="A12359" t="str">
        <f t="shared" si="37"/>
        <v/>
      </c>
    </row>
    <row r="12360" spans="1:1" x14ac:dyDescent="0.25">
      <c r="A12360" t="str">
        <f t="shared" si="37"/>
        <v/>
      </c>
    </row>
    <row r="12361" spans="1:1" x14ac:dyDescent="0.25">
      <c r="A12361" t="str">
        <f t="shared" si="37"/>
        <v/>
      </c>
    </row>
    <row r="12362" spans="1:1" x14ac:dyDescent="0.25">
      <c r="A12362" t="str">
        <f t="shared" si="37"/>
        <v/>
      </c>
    </row>
    <row r="12363" spans="1:1" x14ac:dyDescent="0.25">
      <c r="A12363" t="str">
        <f t="shared" si="37"/>
        <v/>
      </c>
    </row>
    <row r="12364" spans="1:1" x14ac:dyDescent="0.25">
      <c r="A12364" t="str">
        <f t="shared" si="37"/>
        <v/>
      </c>
    </row>
    <row r="12365" spans="1:1" x14ac:dyDescent="0.25">
      <c r="A12365" t="str">
        <f t="shared" si="37"/>
        <v/>
      </c>
    </row>
    <row r="12366" spans="1:1" x14ac:dyDescent="0.25">
      <c r="A12366" t="str">
        <f t="shared" si="37"/>
        <v/>
      </c>
    </row>
    <row r="12367" spans="1:1" x14ac:dyDescent="0.25">
      <c r="A12367" t="str">
        <f t="shared" si="37"/>
        <v/>
      </c>
    </row>
    <row r="12368" spans="1:1" x14ac:dyDescent="0.25">
      <c r="A12368" t="str">
        <f t="shared" si="37"/>
        <v/>
      </c>
    </row>
    <row r="12369" spans="1:1" x14ac:dyDescent="0.25">
      <c r="A12369" t="str">
        <f t="shared" si="37"/>
        <v/>
      </c>
    </row>
    <row r="12370" spans="1:1" x14ac:dyDescent="0.25">
      <c r="A12370" t="str">
        <f t="shared" si="37"/>
        <v/>
      </c>
    </row>
    <row r="12371" spans="1:1" x14ac:dyDescent="0.25">
      <c r="A12371" t="str">
        <f t="shared" si="37"/>
        <v/>
      </c>
    </row>
    <row r="12372" spans="1:1" x14ac:dyDescent="0.25">
      <c r="A12372" t="str">
        <f t="shared" si="37"/>
        <v/>
      </c>
    </row>
    <row r="12373" spans="1:1" x14ac:dyDescent="0.25">
      <c r="A12373" t="str">
        <f t="shared" si="37"/>
        <v/>
      </c>
    </row>
    <row r="12374" spans="1:1" x14ac:dyDescent="0.25">
      <c r="A12374" t="str">
        <f t="shared" si="37"/>
        <v/>
      </c>
    </row>
    <row r="12375" spans="1:1" x14ac:dyDescent="0.25">
      <c r="A12375" t="str">
        <f t="shared" si="37"/>
        <v/>
      </c>
    </row>
    <row r="12376" spans="1:1" x14ac:dyDescent="0.25">
      <c r="A12376" t="str">
        <f t="shared" si="37"/>
        <v/>
      </c>
    </row>
    <row r="12377" spans="1:1" x14ac:dyDescent="0.25">
      <c r="A12377" t="str">
        <f t="shared" si="37"/>
        <v/>
      </c>
    </row>
    <row r="12378" spans="1:1" x14ac:dyDescent="0.25">
      <c r="A12378" t="str">
        <f t="shared" si="37"/>
        <v/>
      </c>
    </row>
    <row r="12379" spans="1:1" x14ac:dyDescent="0.25">
      <c r="A12379" t="str">
        <f t="shared" si="37"/>
        <v/>
      </c>
    </row>
    <row r="12380" spans="1:1" x14ac:dyDescent="0.25">
      <c r="A12380" t="str">
        <f t="shared" si="37"/>
        <v/>
      </c>
    </row>
    <row r="12381" spans="1:1" x14ac:dyDescent="0.25">
      <c r="A12381" t="str">
        <f t="shared" si="37"/>
        <v/>
      </c>
    </row>
    <row r="12382" spans="1:1" x14ac:dyDescent="0.25">
      <c r="A12382" t="str">
        <f t="shared" si="37"/>
        <v/>
      </c>
    </row>
    <row r="12383" spans="1:1" x14ac:dyDescent="0.25">
      <c r="A12383" t="str">
        <f t="shared" si="37"/>
        <v/>
      </c>
    </row>
    <row r="12384" spans="1:1" x14ac:dyDescent="0.25">
      <c r="A12384" t="str">
        <f t="shared" si="37"/>
        <v/>
      </c>
    </row>
    <row r="12385" spans="1:1" x14ac:dyDescent="0.25">
      <c r="A12385" t="str">
        <f t="shared" si="37"/>
        <v/>
      </c>
    </row>
    <row r="12386" spans="1:1" x14ac:dyDescent="0.25">
      <c r="A12386" t="str">
        <f t="shared" si="37"/>
        <v/>
      </c>
    </row>
    <row r="12387" spans="1:1" x14ac:dyDescent="0.25">
      <c r="A12387" t="str">
        <f t="shared" si="37"/>
        <v/>
      </c>
    </row>
    <row r="12388" spans="1:1" x14ac:dyDescent="0.25">
      <c r="A12388" t="str">
        <f t="shared" si="37"/>
        <v/>
      </c>
    </row>
    <row r="12389" spans="1:1" x14ac:dyDescent="0.25">
      <c r="A12389" t="str">
        <f t="shared" si="37"/>
        <v/>
      </c>
    </row>
    <row r="12390" spans="1:1" x14ac:dyDescent="0.25">
      <c r="A12390" t="str">
        <f t="shared" si="37"/>
        <v/>
      </c>
    </row>
    <row r="12391" spans="1:1" x14ac:dyDescent="0.25">
      <c r="A12391" t="str">
        <f t="shared" si="37"/>
        <v/>
      </c>
    </row>
    <row r="12392" spans="1:1" x14ac:dyDescent="0.25">
      <c r="A12392" t="str">
        <f t="shared" si="37"/>
        <v/>
      </c>
    </row>
    <row r="12393" spans="1:1" x14ac:dyDescent="0.25">
      <c r="A12393" t="str">
        <f t="shared" si="37"/>
        <v/>
      </c>
    </row>
    <row r="12394" spans="1:1" x14ac:dyDescent="0.25">
      <c r="A12394" t="str">
        <f t="shared" si="37"/>
        <v/>
      </c>
    </row>
    <row r="12395" spans="1:1" x14ac:dyDescent="0.25">
      <c r="A12395" t="str">
        <f t="shared" si="37"/>
        <v/>
      </c>
    </row>
    <row r="12396" spans="1:1" x14ac:dyDescent="0.25">
      <c r="A12396" t="str">
        <f t="shared" si="37"/>
        <v/>
      </c>
    </row>
    <row r="12397" spans="1:1" x14ac:dyDescent="0.25">
      <c r="A12397" t="str">
        <f t="shared" si="37"/>
        <v/>
      </c>
    </row>
    <row r="12398" spans="1:1" x14ac:dyDescent="0.25">
      <c r="A12398" t="str">
        <f t="shared" si="37"/>
        <v/>
      </c>
    </row>
    <row r="12399" spans="1:1" x14ac:dyDescent="0.25">
      <c r="A12399" t="str">
        <f t="shared" si="37"/>
        <v/>
      </c>
    </row>
    <row r="12400" spans="1:1" x14ac:dyDescent="0.25">
      <c r="A12400" t="str">
        <f t="shared" si="37"/>
        <v/>
      </c>
    </row>
    <row r="12401" spans="1:1" x14ac:dyDescent="0.25">
      <c r="A12401" t="str">
        <f t="shared" si="37"/>
        <v/>
      </c>
    </row>
    <row r="12402" spans="1:1" x14ac:dyDescent="0.25">
      <c r="A12402" t="str">
        <f t="shared" si="37"/>
        <v/>
      </c>
    </row>
    <row r="12403" spans="1:1" x14ac:dyDescent="0.25">
      <c r="A12403" t="str">
        <f t="shared" si="37"/>
        <v/>
      </c>
    </row>
    <row r="12404" spans="1:1" x14ac:dyDescent="0.25">
      <c r="A12404" t="str">
        <f t="shared" si="37"/>
        <v/>
      </c>
    </row>
    <row r="12405" spans="1:1" x14ac:dyDescent="0.25">
      <c r="A12405" t="str">
        <f t="shared" ref="A12405:A12468" si="38">B12403&amp;D12403</f>
        <v/>
      </c>
    </row>
    <row r="12406" spans="1:1" x14ac:dyDescent="0.25">
      <c r="A12406" t="str">
        <f t="shared" si="38"/>
        <v/>
      </c>
    </row>
    <row r="12407" spans="1:1" x14ac:dyDescent="0.25">
      <c r="A12407" t="str">
        <f t="shared" si="38"/>
        <v/>
      </c>
    </row>
    <row r="12408" spans="1:1" x14ac:dyDescent="0.25">
      <c r="A12408" t="str">
        <f t="shared" si="38"/>
        <v/>
      </c>
    </row>
    <row r="12409" spans="1:1" x14ac:dyDescent="0.25">
      <c r="A12409" t="str">
        <f t="shared" si="38"/>
        <v/>
      </c>
    </row>
    <row r="12410" spans="1:1" x14ac:dyDescent="0.25">
      <c r="A12410" t="str">
        <f t="shared" si="38"/>
        <v/>
      </c>
    </row>
    <row r="12411" spans="1:1" x14ac:dyDescent="0.25">
      <c r="A12411" t="str">
        <f t="shared" si="38"/>
        <v/>
      </c>
    </row>
    <row r="12412" spans="1:1" x14ac:dyDescent="0.25">
      <c r="A12412" t="str">
        <f t="shared" si="38"/>
        <v/>
      </c>
    </row>
    <row r="12413" spans="1:1" x14ac:dyDescent="0.25">
      <c r="A12413" t="str">
        <f t="shared" si="38"/>
        <v/>
      </c>
    </row>
    <row r="12414" spans="1:1" x14ac:dyDescent="0.25">
      <c r="A12414" t="str">
        <f t="shared" si="38"/>
        <v/>
      </c>
    </row>
    <row r="12415" spans="1:1" x14ac:dyDescent="0.25">
      <c r="A12415" t="str">
        <f t="shared" si="38"/>
        <v/>
      </c>
    </row>
    <row r="12416" spans="1:1" x14ac:dyDescent="0.25">
      <c r="A12416" t="str">
        <f t="shared" si="38"/>
        <v/>
      </c>
    </row>
    <row r="12417" spans="1:1" x14ac:dyDescent="0.25">
      <c r="A12417" t="str">
        <f t="shared" si="38"/>
        <v/>
      </c>
    </row>
    <row r="12418" spans="1:1" x14ac:dyDescent="0.25">
      <c r="A12418" t="str">
        <f t="shared" si="38"/>
        <v/>
      </c>
    </row>
    <row r="12419" spans="1:1" x14ac:dyDescent="0.25">
      <c r="A12419" t="str">
        <f t="shared" si="38"/>
        <v/>
      </c>
    </row>
    <row r="12420" spans="1:1" x14ac:dyDescent="0.25">
      <c r="A12420" t="str">
        <f t="shared" si="38"/>
        <v/>
      </c>
    </row>
    <row r="12421" spans="1:1" x14ac:dyDescent="0.25">
      <c r="A12421" t="str">
        <f t="shared" si="38"/>
        <v/>
      </c>
    </row>
    <row r="12422" spans="1:1" x14ac:dyDescent="0.25">
      <c r="A12422" t="str">
        <f t="shared" si="38"/>
        <v/>
      </c>
    </row>
    <row r="12423" spans="1:1" x14ac:dyDescent="0.25">
      <c r="A12423" t="str">
        <f t="shared" si="38"/>
        <v/>
      </c>
    </row>
    <row r="12424" spans="1:1" x14ac:dyDescent="0.25">
      <c r="A12424" t="str">
        <f t="shared" si="38"/>
        <v/>
      </c>
    </row>
    <row r="12425" spans="1:1" x14ac:dyDescent="0.25">
      <c r="A12425" t="str">
        <f t="shared" si="38"/>
        <v/>
      </c>
    </row>
    <row r="12426" spans="1:1" x14ac:dyDescent="0.25">
      <c r="A12426" t="str">
        <f t="shared" si="38"/>
        <v/>
      </c>
    </row>
    <row r="12427" spans="1:1" x14ac:dyDescent="0.25">
      <c r="A12427" t="str">
        <f t="shared" si="38"/>
        <v/>
      </c>
    </row>
    <row r="12428" spans="1:1" x14ac:dyDescent="0.25">
      <c r="A12428" t="str">
        <f t="shared" si="38"/>
        <v/>
      </c>
    </row>
    <row r="12429" spans="1:1" x14ac:dyDescent="0.25">
      <c r="A12429" t="str">
        <f t="shared" si="38"/>
        <v/>
      </c>
    </row>
    <row r="12430" spans="1:1" x14ac:dyDescent="0.25">
      <c r="A12430" t="str">
        <f t="shared" si="38"/>
        <v/>
      </c>
    </row>
    <row r="12431" spans="1:1" x14ac:dyDescent="0.25">
      <c r="A12431" t="str">
        <f t="shared" si="38"/>
        <v/>
      </c>
    </row>
    <row r="12432" spans="1:1" x14ac:dyDescent="0.25">
      <c r="A12432" t="str">
        <f t="shared" si="38"/>
        <v/>
      </c>
    </row>
    <row r="12433" spans="1:1" x14ac:dyDescent="0.25">
      <c r="A12433" t="str">
        <f t="shared" si="38"/>
        <v/>
      </c>
    </row>
    <row r="12434" spans="1:1" x14ac:dyDescent="0.25">
      <c r="A12434" t="str">
        <f t="shared" si="38"/>
        <v/>
      </c>
    </row>
    <row r="12435" spans="1:1" x14ac:dyDescent="0.25">
      <c r="A12435" t="str">
        <f t="shared" si="38"/>
        <v/>
      </c>
    </row>
    <row r="12436" spans="1:1" x14ac:dyDescent="0.25">
      <c r="A12436" t="str">
        <f t="shared" si="38"/>
        <v/>
      </c>
    </row>
    <row r="12437" spans="1:1" x14ac:dyDescent="0.25">
      <c r="A12437" t="str">
        <f t="shared" si="38"/>
        <v/>
      </c>
    </row>
    <row r="12438" spans="1:1" x14ac:dyDescent="0.25">
      <c r="A12438" t="str">
        <f t="shared" si="38"/>
        <v/>
      </c>
    </row>
    <row r="12439" spans="1:1" x14ac:dyDescent="0.25">
      <c r="A12439" t="str">
        <f t="shared" si="38"/>
        <v/>
      </c>
    </row>
    <row r="12440" spans="1:1" x14ac:dyDescent="0.25">
      <c r="A12440" t="str">
        <f t="shared" si="38"/>
        <v/>
      </c>
    </row>
    <row r="12441" spans="1:1" x14ac:dyDescent="0.25">
      <c r="A12441" t="str">
        <f t="shared" si="38"/>
        <v/>
      </c>
    </row>
    <row r="12442" spans="1:1" x14ac:dyDescent="0.25">
      <c r="A12442" t="str">
        <f t="shared" si="38"/>
        <v/>
      </c>
    </row>
    <row r="12443" spans="1:1" x14ac:dyDescent="0.25">
      <c r="A12443" t="str">
        <f t="shared" si="38"/>
        <v/>
      </c>
    </row>
    <row r="12444" spans="1:1" x14ac:dyDescent="0.25">
      <c r="A12444" t="str">
        <f t="shared" si="38"/>
        <v/>
      </c>
    </row>
    <row r="12445" spans="1:1" x14ac:dyDescent="0.25">
      <c r="A12445" t="str">
        <f t="shared" si="38"/>
        <v/>
      </c>
    </row>
    <row r="12446" spans="1:1" x14ac:dyDescent="0.25">
      <c r="A12446" t="str">
        <f t="shared" si="38"/>
        <v/>
      </c>
    </row>
    <row r="12447" spans="1:1" x14ac:dyDescent="0.25">
      <c r="A12447" t="str">
        <f t="shared" si="38"/>
        <v/>
      </c>
    </row>
    <row r="12448" spans="1:1" x14ac:dyDescent="0.25">
      <c r="A12448" t="str">
        <f t="shared" si="38"/>
        <v/>
      </c>
    </row>
    <row r="12449" spans="1:1" x14ac:dyDescent="0.25">
      <c r="A12449" t="str">
        <f t="shared" si="38"/>
        <v/>
      </c>
    </row>
    <row r="12450" spans="1:1" x14ac:dyDescent="0.25">
      <c r="A12450" t="str">
        <f t="shared" si="38"/>
        <v/>
      </c>
    </row>
    <row r="12451" spans="1:1" x14ac:dyDescent="0.25">
      <c r="A12451" t="str">
        <f t="shared" si="38"/>
        <v/>
      </c>
    </row>
    <row r="12452" spans="1:1" x14ac:dyDescent="0.25">
      <c r="A12452" t="str">
        <f t="shared" si="38"/>
        <v/>
      </c>
    </row>
    <row r="12453" spans="1:1" x14ac:dyDescent="0.25">
      <c r="A12453" t="str">
        <f t="shared" si="38"/>
        <v/>
      </c>
    </row>
    <row r="12454" spans="1:1" x14ac:dyDescent="0.25">
      <c r="A12454" t="str">
        <f t="shared" si="38"/>
        <v/>
      </c>
    </row>
    <row r="12455" spans="1:1" x14ac:dyDescent="0.25">
      <c r="A12455" t="str">
        <f t="shared" si="38"/>
        <v/>
      </c>
    </row>
    <row r="12456" spans="1:1" x14ac:dyDescent="0.25">
      <c r="A12456" t="str">
        <f t="shared" si="38"/>
        <v/>
      </c>
    </row>
    <row r="12457" spans="1:1" x14ac:dyDescent="0.25">
      <c r="A12457" t="str">
        <f t="shared" si="38"/>
        <v/>
      </c>
    </row>
    <row r="12458" spans="1:1" x14ac:dyDescent="0.25">
      <c r="A12458" t="str">
        <f t="shared" si="38"/>
        <v/>
      </c>
    </row>
    <row r="12459" spans="1:1" x14ac:dyDescent="0.25">
      <c r="A12459" t="str">
        <f t="shared" si="38"/>
        <v/>
      </c>
    </row>
    <row r="12460" spans="1:1" x14ac:dyDescent="0.25">
      <c r="A12460" t="str">
        <f t="shared" si="38"/>
        <v/>
      </c>
    </row>
    <row r="12461" spans="1:1" x14ac:dyDescent="0.25">
      <c r="A12461" t="str">
        <f t="shared" si="38"/>
        <v/>
      </c>
    </row>
    <row r="12462" spans="1:1" x14ac:dyDescent="0.25">
      <c r="A12462" t="str">
        <f t="shared" si="38"/>
        <v/>
      </c>
    </row>
    <row r="12463" spans="1:1" x14ac:dyDescent="0.25">
      <c r="A12463" t="str">
        <f t="shared" si="38"/>
        <v/>
      </c>
    </row>
    <row r="12464" spans="1:1" x14ac:dyDescent="0.25">
      <c r="A12464" t="str">
        <f t="shared" si="38"/>
        <v/>
      </c>
    </row>
    <row r="12465" spans="1:1" x14ac:dyDescent="0.25">
      <c r="A12465" t="str">
        <f t="shared" si="38"/>
        <v/>
      </c>
    </row>
    <row r="12466" spans="1:1" x14ac:dyDescent="0.25">
      <c r="A12466" t="str">
        <f t="shared" si="38"/>
        <v/>
      </c>
    </row>
    <row r="12467" spans="1:1" x14ac:dyDescent="0.25">
      <c r="A12467" t="str">
        <f t="shared" si="38"/>
        <v/>
      </c>
    </row>
    <row r="12468" spans="1:1" x14ac:dyDescent="0.25">
      <c r="A12468" t="str">
        <f t="shared" si="38"/>
        <v/>
      </c>
    </row>
    <row r="12469" spans="1:1" x14ac:dyDescent="0.25">
      <c r="A12469" t="str">
        <f t="shared" ref="A12469:A12532" si="39">B12467&amp;D12467</f>
        <v/>
      </c>
    </row>
    <row r="12470" spans="1:1" x14ac:dyDescent="0.25">
      <c r="A12470" t="str">
        <f t="shared" si="39"/>
        <v/>
      </c>
    </row>
    <row r="12471" spans="1:1" x14ac:dyDescent="0.25">
      <c r="A12471" t="str">
        <f t="shared" si="39"/>
        <v/>
      </c>
    </row>
    <row r="12472" spans="1:1" x14ac:dyDescent="0.25">
      <c r="A12472" t="str">
        <f t="shared" si="39"/>
        <v/>
      </c>
    </row>
    <row r="12473" spans="1:1" x14ac:dyDescent="0.25">
      <c r="A12473" t="str">
        <f t="shared" si="39"/>
        <v/>
      </c>
    </row>
    <row r="12474" spans="1:1" x14ac:dyDescent="0.25">
      <c r="A12474" t="str">
        <f t="shared" si="39"/>
        <v/>
      </c>
    </row>
    <row r="12475" spans="1:1" x14ac:dyDescent="0.25">
      <c r="A12475" t="str">
        <f t="shared" si="39"/>
        <v/>
      </c>
    </row>
    <row r="12476" spans="1:1" x14ac:dyDescent="0.25">
      <c r="A12476" t="str">
        <f t="shared" si="39"/>
        <v/>
      </c>
    </row>
    <row r="12477" spans="1:1" x14ac:dyDescent="0.25">
      <c r="A12477" t="str">
        <f t="shared" si="39"/>
        <v/>
      </c>
    </row>
    <row r="12478" spans="1:1" x14ac:dyDescent="0.25">
      <c r="A12478" t="str">
        <f t="shared" si="39"/>
        <v/>
      </c>
    </row>
    <row r="12479" spans="1:1" x14ac:dyDescent="0.25">
      <c r="A12479" t="str">
        <f t="shared" si="39"/>
        <v/>
      </c>
    </row>
    <row r="12480" spans="1:1" x14ac:dyDescent="0.25">
      <c r="A12480" t="str">
        <f t="shared" si="39"/>
        <v/>
      </c>
    </row>
    <row r="12481" spans="1:1" x14ac:dyDescent="0.25">
      <c r="A12481" t="str">
        <f t="shared" si="39"/>
        <v/>
      </c>
    </row>
    <row r="12482" spans="1:1" x14ac:dyDescent="0.25">
      <c r="A12482" t="str">
        <f t="shared" si="39"/>
        <v/>
      </c>
    </row>
    <row r="12483" spans="1:1" x14ac:dyDescent="0.25">
      <c r="A12483" t="str">
        <f t="shared" si="39"/>
        <v/>
      </c>
    </row>
    <row r="12484" spans="1:1" x14ac:dyDescent="0.25">
      <c r="A12484" t="str">
        <f t="shared" si="39"/>
        <v/>
      </c>
    </row>
    <row r="12485" spans="1:1" x14ac:dyDescent="0.25">
      <c r="A12485" t="str">
        <f t="shared" si="39"/>
        <v/>
      </c>
    </row>
    <row r="12486" spans="1:1" x14ac:dyDescent="0.25">
      <c r="A12486" t="str">
        <f t="shared" si="39"/>
        <v/>
      </c>
    </row>
    <row r="12487" spans="1:1" x14ac:dyDescent="0.25">
      <c r="A12487" t="str">
        <f t="shared" si="39"/>
        <v/>
      </c>
    </row>
    <row r="12488" spans="1:1" x14ac:dyDescent="0.25">
      <c r="A12488" t="str">
        <f t="shared" si="39"/>
        <v/>
      </c>
    </row>
    <row r="12489" spans="1:1" x14ac:dyDescent="0.25">
      <c r="A12489" t="str">
        <f t="shared" si="39"/>
        <v/>
      </c>
    </row>
    <row r="12490" spans="1:1" x14ac:dyDescent="0.25">
      <c r="A12490" t="str">
        <f t="shared" si="39"/>
        <v/>
      </c>
    </row>
    <row r="12491" spans="1:1" x14ac:dyDescent="0.25">
      <c r="A12491" t="str">
        <f t="shared" si="39"/>
        <v/>
      </c>
    </row>
    <row r="12492" spans="1:1" x14ac:dyDescent="0.25">
      <c r="A12492" t="str">
        <f t="shared" si="39"/>
        <v/>
      </c>
    </row>
    <row r="12493" spans="1:1" x14ac:dyDescent="0.25">
      <c r="A12493" t="str">
        <f t="shared" si="39"/>
        <v/>
      </c>
    </row>
    <row r="12494" spans="1:1" x14ac:dyDescent="0.25">
      <c r="A12494" t="str">
        <f t="shared" si="39"/>
        <v/>
      </c>
    </row>
    <row r="12495" spans="1:1" x14ac:dyDescent="0.25">
      <c r="A12495" t="str">
        <f t="shared" si="39"/>
        <v/>
      </c>
    </row>
    <row r="12496" spans="1:1" x14ac:dyDescent="0.25">
      <c r="A12496" t="str">
        <f t="shared" si="39"/>
        <v/>
      </c>
    </row>
    <row r="12497" spans="1:1" x14ac:dyDescent="0.25">
      <c r="A12497" t="str">
        <f t="shared" si="39"/>
        <v/>
      </c>
    </row>
    <row r="12498" spans="1:1" x14ac:dyDescent="0.25">
      <c r="A12498" t="str">
        <f t="shared" si="39"/>
        <v/>
      </c>
    </row>
    <row r="12499" spans="1:1" x14ac:dyDescent="0.25">
      <c r="A12499" t="str">
        <f t="shared" si="39"/>
        <v/>
      </c>
    </row>
    <row r="12500" spans="1:1" x14ac:dyDescent="0.25">
      <c r="A12500" t="str">
        <f t="shared" si="39"/>
        <v/>
      </c>
    </row>
    <row r="12501" spans="1:1" x14ac:dyDescent="0.25">
      <c r="A12501" t="str">
        <f t="shared" si="39"/>
        <v/>
      </c>
    </row>
    <row r="12502" spans="1:1" x14ac:dyDescent="0.25">
      <c r="A12502" t="str">
        <f t="shared" si="39"/>
        <v/>
      </c>
    </row>
    <row r="12503" spans="1:1" x14ac:dyDescent="0.25">
      <c r="A12503" t="str">
        <f t="shared" si="39"/>
        <v/>
      </c>
    </row>
    <row r="12504" spans="1:1" x14ac:dyDescent="0.25">
      <c r="A12504" t="str">
        <f t="shared" si="39"/>
        <v/>
      </c>
    </row>
    <row r="12505" spans="1:1" x14ac:dyDescent="0.25">
      <c r="A12505" t="str">
        <f t="shared" si="39"/>
        <v/>
      </c>
    </row>
    <row r="12506" spans="1:1" x14ac:dyDescent="0.25">
      <c r="A12506" t="str">
        <f t="shared" si="39"/>
        <v/>
      </c>
    </row>
    <row r="12507" spans="1:1" x14ac:dyDescent="0.25">
      <c r="A12507" t="str">
        <f t="shared" si="39"/>
        <v/>
      </c>
    </row>
    <row r="12508" spans="1:1" x14ac:dyDescent="0.25">
      <c r="A12508" t="str">
        <f t="shared" si="39"/>
        <v/>
      </c>
    </row>
    <row r="12509" spans="1:1" x14ac:dyDescent="0.25">
      <c r="A12509" t="str">
        <f t="shared" si="39"/>
        <v/>
      </c>
    </row>
    <row r="12510" spans="1:1" x14ac:dyDescent="0.25">
      <c r="A12510" t="str">
        <f t="shared" si="39"/>
        <v/>
      </c>
    </row>
    <row r="12511" spans="1:1" x14ac:dyDescent="0.25">
      <c r="A12511" t="str">
        <f t="shared" si="39"/>
        <v/>
      </c>
    </row>
    <row r="12512" spans="1:1" x14ac:dyDescent="0.25">
      <c r="A12512" t="str">
        <f t="shared" si="39"/>
        <v/>
      </c>
    </row>
    <row r="12513" spans="1:1" x14ac:dyDescent="0.25">
      <c r="A12513" t="str">
        <f t="shared" si="39"/>
        <v/>
      </c>
    </row>
    <row r="12514" spans="1:1" x14ac:dyDescent="0.25">
      <c r="A12514" t="str">
        <f t="shared" si="39"/>
        <v/>
      </c>
    </row>
    <row r="12515" spans="1:1" x14ac:dyDescent="0.25">
      <c r="A12515" t="str">
        <f t="shared" si="39"/>
        <v/>
      </c>
    </row>
    <row r="12516" spans="1:1" x14ac:dyDescent="0.25">
      <c r="A12516" t="str">
        <f t="shared" si="39"/>
        <v/>
      </c>
    </row>
    <row r="12517" spans="1:1" x14ac:dyDescent="0.25">
      <c r="A12517" t="str">
        <f t="shared" si="39"/>
        <v/>
      </c>
    </row>
    <row r="12518" spans="1:1" x14ac:dyDescent="0.25">
      <c r="A12518" t="str">
        <f t="shared" si="39"/>
        <v/>
      </c>
    </row>
    <row r="12519" spans="1:1" x14ac:dyDescent="0.25">
      <c r="A12519" t="str">
        <f t="shared" si="39"/>
        <v/>
      </c>
    </row>
    <row r="12520" spans="1:1" x14ac:dyDescent="0.25">
      <c r="A12520" t="str">
        <f t="shared" si="39"/>
        <v/>
      </c>
    </row>
    <row r="12521" spans="1:1" x14ac:dyDescent="0.25">
      <c r="A12521" t="str">
        <f t="shared" si="39"/>
        <v/>
      </c>
    </row>
    <row r="12522" spans="1:1" x14ac:dyDescent="0.25">
      <c r="A12522" t="str">
        <f t="shared" si="39"/>
        <v/>
      </c>
    </row>
    <row r="12523" spans="1:1" x14ac:dyDescent="0.25">
      <c r="A12523" t="str">
        <f t="shared" si="39"/>
        <v/>
      </c>
    </row>
    <row r="12524" spans="1:1" x14ac:dyDescent="0.25">
      <c r="A12524" t="str">
        <f t="shared" si="39"/>
        <v/>
      </c>
    </row>
    <row r="12525" spans="1:1" x14ac:dyDescent="0.25">
      <c r="A12525" t="str">
        <f t="shared" si="39"/>
        <v/>
      </c>
    </row>
    <row r="12526" spans="1:1" x14ac:dyDescent="0.25">
      <c r="A12526" t="str">
        <f t="shared" si="39"/>
        <v/>
      </c>
    </row>
    <row r="12527" spans="1:1" x14ac:dyDescent="0.25">
      <c r="A12527" t="str">
        <f t="shared" si="39"/>
        <v/>
      </c>
    </row>
    <row r="12528" spans="1:1" x14ac:dyDescent="0.25">
      <c r="A12528" t="str">
        <f t="shared" si="39"/>
        <v/>
      </c>
    </row>
    <row r="12529" spans="1:1" x14ac:dyDescent="0.25">
      <c r="A12529" t="str">
        <f t="shared" si="39"/>
        <v/>
      </c>
    </row>
    <row r="12530" spans="1:1" x14ac:dyDescent="0.25">
      <c r="A12530" t="str">
        <f t="shared" si="39"/>
        <v/>
      </c>
    </row>
    <row r="12531" spans="1:1" x14ac:dyDescent="0.25">
      <c r="A12531" t="str">
        <f t="shared" si="39"/>
        <v/>
      </c>
    </row>
    <row r="12532" spans="1:1" x14ac:dyDescent="0.25">
      <c r="A12532" t="str">
        <f t="shared" si="39"/>
        <v/>
      </c>
    </row>
    <row r="12533" spans="1:1" x14ac:dyDescent="0.25">
      <c r="A12533" t="str">
        <f t="shared" ref="A12533:A12551" si="40">B12531&amp;D12531</f>
        <v/>
      </c>
    </row>
    <row r="12534" spans="1:1" x14ac:dyDescent="0.25">
      <c r="A12534" t="str">
        <f t="shared" si="40"/>
        <v/>
      </c>
    </row>
    <row r="12535" spans="1:1" x14ac:dyDescent="0.25">
      <c r="A12535" t="str">
        <f t="shared" si="40"/>
        <v/>
      </c>
    </row>
    <row r="12536" spans="1:1" x14ac:dyDescent="0.25">
      <c r="A12536" t="str">
        <f t="shared" si="40"/>
        <v/>
      </c>
    </row>
    <row r="12537" spans="1:1" x14ac:dyDescent="0.25">
      <c r="A12537" t="str">
        <f t="shared" si="40"/>
        <v/>
      </c>
    </row>
    <row r="12538" spans="1:1" x14ac:dyDescent="0.25">
      <c r="A12538" t="str">
        <f t="shared" si="40"/>
        <v/>
      </c>
    </row>
    <row r="12539" spans="1:1" x14ac:dyDescent="0.25">
      <c r="A12539" t="str">
        <f t="shared" si="40"/>
        <v/>
      </c>
    </row>
    <row r="12540" spans="1:1" x14ac:dyDescent="0.25">
      <c r="A12540" t="str">
        <f t="shared" si="40"/>
        <v/>
      </c>
    </row>
    <row r="12541" spans="1:1" x14ac:dyDescent="0.25">
      <c r="A12541" t="str">
        <f t="shared" si="40"/>
        <v/>
      </c>
    </row>
    <row r="12542" spans="1:1" x14ac:dyDescent="0.25">
      <c r="A12542" t="str">
        <f t="shared" si="40"/>
        <v/>
      </c>
    </row>
    <row r="12543" spans="1:1" x14ac:dyDescent="0.25">
      <c r="A12543" t="str">
        <f t="shared" si="40"/>
        <v/>
      </c>
    </row>
    <row r="12544" spans="1:1" x14ac:dyDescent="0.25">
      <c r="A12544" t="str">
        <f t="shared" si="40"/>
        <v/>
      </c>
    </row>
    <row r="12545" spans="1:1" x14ac:dyDescent="0.25">
      <c r="A12545" t="str">
        <f t="shared" si="40"/>
        <v/>
      </c>
    </row>
    <row r="12546" spans="1:1" x14ac:dyDescent="0.25">
      <c r="A12546" t="str">
        <f t="shared" si="40"/>
        <v/>
      </c>
    </row>
    <row r="12547" spans="1:1" x14ac:dyDescent="0.25">
      <c r="A12547" t="str">
        <f t="shared" si="40"/>
        <v/>
      </c>
    </row>
    <row r="12548" spans="1:1" x14ac:dyDescent="0.25">
      <c r="A12548" t="str">
        <f t="shared" si="40"/>
        <v/>
      </c>
    </row>
    <row r="12549" spans="1:1" x14ac:dyDescent="0.25">
      <c r="A12549" t="str">
        <f t="shared" si="40"/>
        <v/>
      </c>
    </row>
    <row r="12550" spans="1:1" x14ac:dyDescent="0.25">
      <c r="A12550" t="str">
        <f t="shared" si="40"/>
        <v/>
      </c>
    </row>
    <row r="12551" spans="1:1" x14ac:dyDescent="0.25">
      <c r="A12551" t="str">
        <f t="shared" si="40"/>
        <v/>
      </c>
    </row>
  </sheetData>
  <autoFilter ref="A5:S2937" xr:uid="{00000000-0001-0000-0400-000000000000}"/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theme="6" tint="0.59999389629810485"/>
  </sheetPr>
  <dimension ref="A2:M448"/>
  <sheetViews>
    <sheetView zoomScale="85" zoomScaleNormal="85" workbookViewId="0">
      <selection activeCell="L5" sqref="L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140625" bestFit="1" customWidth="1"/>
    <col min="7" max="7" width="14.42578125" customWidth="1"/>
    <col min="8" max="8" width="22.85546875" customWidth="1"/>
    <col min="9" max="9" width="13.85546875" customWidth="1"/>
    <col min="12" max="12" width="17.5703125" bestFit="1" customWidth="1"/>
    <col min="13" max="13" width="18.28515625" bestFit="1" customWidth="1"/>
  </cols>
  <sheetData>
    <row r="2" spans="1:13" x14ac:dyDescent="0.25">
      <c r="A2" s="1" t="s">
        <v>26</v>
      </c>
      <c r="B2" s="1" t="s">
        <v>27</v>
      </c>
      <c r="C2" s="1" t="s">
        <v>0</v>
      </c>
      <c r="D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326</v>
      </c>
    </row>
    <row r="3" spans="1:13" ht="39" x14ac:dyDescent="0.25">
      <c r="A3" s="49" t="s">
        <v>166</v>
      </c>
      <c r="B3" s="50" t="s">
        <v>395</v>
      </c>
      <c r="C3" s="50">
        <v>65501387259</v>
      </c>
      <c r="D3" s="51" t="s">
        <v>42</v>
      </c>
      <c r="E3" s="52">
        <v>31054.78</v>
      </c>
      <c r="F3" s="53">
        <v>0</v>
      </c>
      <c r="G3" s="53">
        <v>31054.78</v>
      </c>
      <c r="H3" s="67" t="s">
        <v>396</v>
      </c>
      <c r="I3" s="55">
        <v>44960.684398148151</v>
      </c>
    </row>
    <row r="4" spans="1:13" x14ac:dyDescent="0.25">
      <c r="A4" s="49"/>
      <c r="B4" s="50"/>
      <c r="C4" s="50"/>
      <c r="D4" s="51"/>
      <c r="E4" s="52"/>
      <c r="F4" s="53"/>
      <c r="G4" s="53"/>
      <c r="H4" s="67"/>
      <c r="I4" s="55"/>
    </row>
    <row r="5" spans="1:13" ht="26.25" x14ac:dyDescent="0.25">
      <c r="A5" s="49" t="s">
        <v>166</v>
      </c>
      <c r="B5" s="50" t="s">
        <v>395</v>
      </c>
      <c r="C5" s="50">
        <v>1033796</v>
      </c>
      <c r="D5" s="51" t="s">
        <v>397</v>
      </c>
      <c r="E5" s="52">
        <v>-647.04999999999995</v>
      </c>
      <c r="F5" s="53">
        <v>0</v>
      </c>
      <c r="G5" s="53">
        <v>-647.04999999999995</v>
      </c>
      <c r="H5" s="67" t="s">
        <v>398</v>
      </c>
      <c r="I5" s="55">
        <v>44970.614108796297</v>
      </c>
      <c r="L5" s="84" t="s">
        <v>19</v>
      </c>
      <c r="M5" t="s">
        <v>143</v>
      </c>
    </row>
    <row r="6" spans="1:13" x14ac:dyDescent="0.25">
      <c r="A6" s="49" t="s">
        <v>166</v>
      </c>
      <c r="B6" s="50" t="s">
        <v>395</v>
      </c>
      <c r="C6" s="50">
        <v>80820</v>
      </c>
      <c r="D6" s="51" t="s">
        <v>211</v>
      </c>
      <c r="E6" s="52">
        <v>-18704512.940000001</v>
      </c>
      <c r="F6" s="53">
        <v>0</v>
      </c>
      <c r="G6" s="53">
        <v>-18704512.940000001</v>
      </c>
      <c r="H6" s="67" t="s">
        <v>399</v>
      </c>
      <c r="I6" s="55">
        <v>45169</v>
      </c>
      <c r="L6" s="85">
        <v>2000182</v>
      </c>
      <c r="M6" s="92">
        <v>3</v>
      </c>
    </row>
    <row r="7" spans="1:13" x14ac:dyDescent="0.25">
      <c r="A7" s="49" t="s">
        <v>166</v>
      </c>
      <c r="B7" s="50" t="s">
        <v>395</v>
      </c>
      <c r="C7" s="50">
        <v>154702</v>
      </c>
      <c r="D7" s="51" t="s">
        <v>40</v>
      </c>
      <c r="E7" s="52">
        <v>-103140348.26000001</v>
      </c>
      <c r="F7" s="53">
        <v>0</v>
      </c>
      <c r="G7" s="53">
        <v>-103140348.26000001</v>
      </c>
      <c r="H7" s="67" t="s">
        <v>399</v>
      </c>
      <c r="I7" s="55">
        <v>45169</v>
      </c>
      <c r="L7" s="85">
        <v>2000183</v>
      </c>
      <c r="M7" s="92">
        <v>3</v>
      </c>
    </row>
    <row r="8" spans="1:13" ht="39" x14ac:dyDescent="0.25">
      <c r="A8" s="49" t="s">
        <v>198</v>
      </c>
      <c r="B8" s="50" t="s">
        <v>395</v>
      </c>
      <c r="C8" s="50">
        <v>2000569</v>
      </c>
      <c r="D8" s="51" t="s">
        <v>400</v>
      </c>
      <c r="E8" s="52">
        <v>2069057.89</v>
      </c>
      <c r="F8" s="53">
        <v>0</v>
      </c>
      <c r="G8" s="53">
        <v>2069057.89</v>
      </c>
      <c r="H8" s="67" t="s">
        <v>396</v>
      </c>
      <c r="I8" s="55">
        <v>45274.764606481483</v>
      </c>
      <c r="L8" s="85">
        <v>2000423</v>
      </c>
      <c r="M8" s="92">
        <v>3</v>
      </c>
    </row>
    <row r="9" spans="1:13" ht="39" x14ac:dyDescent="0.25">
      <c r="A9" s="49" t="s">
        <v>166</v>
      </c>
      <c r="B9" s="50" t="s">
        <v>395</v>
      </c>
      <c r="C9" s="50">
        <v>65501387259</v>
      </c>
      <c r="D9" s="51" t="s">
        <v>42</v>
      </c>
      <c r="E9" s="52">
        <v>-604601.4</v>
      </c>
      <c r="F9" s="53">
        <v>0</v>
      </c>
      <c r="G9" s="53">
        <v>-604601.4</v>
      </c>
      <c r="H9" s="67" t="s">
        <v>396</v>
      </c>
      <c r="I9" s="55">
        <v>45224.769814814812</v>
      </c>
      <c r="L9" s="85">
        <v>2000424</v>
      </c>
      <c r="M9" s="92">
        <v>3</v>
      </c>
    </row>
    <row r="10" spans="1:13" ht="45" x14ac:dyDescent="0.25">
      <c r="A10" s="49" t="s">
        <v>198</v>
      </c>
      <c r="B10" s="50" t="s">
        <v>395</v>
      </c>
      <c r="C10" s="48">
        <v>2000569</v>
      </c>
      <c r="D10" s="75" t="s">
        <v>400</v>
      </c>
      <c r="E10" s="62">
        <v>2061277.72</v>
      </c>
      <c r="F10" s="62">
        <v>0</v>
      </c>
      <c r="G10" s="62">
        <v>2061277.72</v>
      </c>
      <c r="H10" s="76" t="s">
        <v>396</v>
      </c>
      <c r="I10" s="55">
        <v>45282.33556712963</v>
      </c>
      <c r="L10" s="85">
        <v>2000569</v>
      </c>
      <c r="M10" s="92">
        <v>10</v>
      </c>
    </row>
    <row r="11" spans="1:13" ht="45" x14ac:dyDescent="0.25">
      <c r="A11" s="49" t="s">
        <v>198</v>
      </c>
      <c r="B11" s="50" t="s">
        <v>395</v>
      </c>
      <c r="C11" s="48">
        <v>2000569</v>
      </c>
      <c r="D11" s="75" t="s">
        <v>400</v>
      </c>
      <c r="E11" s="62">
        <v>2038359.8</v>
      </c>
      <c r="F11" s="62">
        <v>0</v>
      </c>
      <c r="G11" s="62">
        <v>2038359.8</v>
      </c>
      <c r="H11" s="76" t="s">
        <v>396</v>
      </c>
      <c r="I11" s="55">
        <v>45294.744791666664</v>
      </c>
      <c r="L11" s="85">
        <v>2000722</v>
      </c>
      <c r="M11" s="92">
        <v>32</v>
      </c>
    </row>
    <row r="12" spans="1:13" ht="45" x14ac:dyDescent="0.25">
      <c r="A12" s="49" t="s">
        <v>198</v>
      </c>
      <c r="B12" s="50" t="s">
        <v>395</v>
      </c>
      <c r="C12" s="48">
        <v>2000569</v>
      </c>
      <c r="D12" s="75" t="s">
        <v>400</v>
      </c>
      <c r="E12" s="62">
        <v>1960623.51</v>
      </c>
      <c r="F12" s="62">
        <v>0</v>
      </c>
      <c r="G12" s="62">
        <v>1960623.51</v>
      </c>
      <c r="H12" s="76" t="s">
        <v>396</v>
      </c>
      <c r="I12" s="55">
        <v>45303</v>
      </c>
      <c r="L12" s="85" t="s">
        <v>20</v>
      </c>
      <c r="M12" s="92"/>
    </row>
    <row r="13" spans="1:13" ht="45" x14ac:dyDescent="0.25">
      <c r="A13" s="49" t="s">
        <v>198</v>
      </c>
      <c r="B13" s="50" t="s">
        <v>395</v>
      </c>
      <c r="C13" s="48">
        <v>2000569</v>
      </c>
      <c r="D13" s="75" t="s">
        <v>400</v>
      </c>
      <c r="E13" s="62">
        <v>2170433.7200000002</v>
      </c>
      <c r="F13" s="62">
        <v>0</v>
      </c>
      <c r="G13" s="62">
        <v>2170433.7200000002</v>
      </c>
      <c r="H13" s="76" t="s">
        <v>396</v>
      </c>
      <c r="I13" s="55">
        <v>45313.723194444443</v>
      </c>
      <c r="L13" s="85">
        <v>78665</v>
      </c>
      <c r="M13" s="92">
        <v>3</v>
      </c>
    </row>
    <row r="14" spans="1:13" ht="45" x14ac:dyDescent="0.25">
      <c r="A14" s="49" t="s">
        <v>198</v>
      </c>
      <c r="B14" s="50" t="s">
        <v>395</v>
      </c>
      <c r="C14" s="48">
        <v>2000569</v>
      </c>
      <c r="D14" s="75" t="s">
        <v>400</v>
      </c>
      <c r="E14" s="62">
        <v>1942702.82</v>
      </c>
      <c r="F14" s="62">
        <v>0</v>
      </c>
      <c r="G14" s="62">
        <v>1942702.82</v>
      </c>
      <c r="H14" s="76" t="s">
        <v>396</v>
      </c>
      <c r="I14" s="55">
        <v>45324.64267361111</v>
      </c>
      <c r="L14" s="85">
        <v>1012259</v>
      </c>
      <c r="M14" s="92">
        <v>3</v>
      </c>
    </row>
    <row r="15" spans="1:13" ht="45" x14ac:dyDescent="0.25">
      <c r="A15" s="49" t="s">
        <v>198</v>
      </c>
      <c r="B15" s="50" t="s">
        <v>395</v>
      </c>
      <c r="C15" s="48">
        <v>2000569</v>
      </c>
      <c r="D15" s="75" t="s">
        <v>400</v>
      </c>
      <c r="E15" s="62">
        <v>-2419615.39</v>
      </c>
      <c r="F15" s="62">
        <v>0</v>
      </c>
      <c r="G15" s="62">
        <v>-2419615.39</v>
      </c>
      <c r="H15" s="76" t="s">
        <v>396</v>
      </c>
      <c r="I15" s="55">
        <v>45335.711076388892</v>
      </c>
      <c r="L15" s="85">
        <v>1012260</v>
      </c>
      <c r="M15" s="92">
        <v>3</v>
      </c>
    </row>
    <row r="16" spans="1:13" ht="39" x14ac:dyDescent="0.25">
      <c r="A16" s="49" t="s">
        <v>259</v>
      </c>
      <c r="B16" s="50" t="s">
        <v>395</v>
      </c>
      <c r="C16" s="50">
        <v>2000722</v>
      </c>
      <c r="D16" s="51" t="s">
        <v>401</v>
      </c>
      <c r="E16" s="52">
        <v>55020.52</v>
      </c>
      <c r="F16" s="53">
        <v>0</v>
      </c>
      <c r="G16" s="53">
        <v>55020.52</v>
      </c>
      <c r="H16" s="67" t="s">
        <v>396</v>
      </c>
      <c r="I16" s="55">
        <v>45222.748171296298</v>
      </c>
      <c r="L16" s="85">
        <v>2000216</v>
      </c>
      <c r="M16" s="92">
        <v>4</v>
      </c>
    </row>
    <row r="17" spans="1:13" ht="39" x14ac:dyDescent="0.25">
      <c r="A17" s="49" t="s">
        <v>259</v>
      </c>
      <c r="B17" s="50" t="s">
        <v>395</v>
      </c>
      <c r="C17" s="50">
        <v>2000722</v>
      </c>
      <c r="D17" s="51" t="s">
        <v>401</v>
      </c>
      <c r="E17" s="52">
        <v>-661842.36</v>
      </c>
      <c r="F17" s="53">
        <v>0</v>
      </c>
      <c r="G17" s="53">
        <v>-661842.36</v>
      </c>
      <c r="H17" s="67" t="s">
        <v>396</v>
      </c>
      <c r="I17" s="55">
        <v>45239.722141203703</v>
      </c>
      <c r="L17" s="85">
        <v>2000217</v>
      </c>
      <c r="M17" s="92">
        <v>4</v>
      </c>
    </row>
    <row r="18" spans="1:13" ht="39" x14ac:dyDescent="0.25">
      <c r="A18" s="49" t="s">
        <v>166</v>
      </c>
      <c r="B18" s="50" t="s">
        <v>395</v>
      </c>
      <c r="C18" s="50">
        <v>65501387259</v>
      </c>
      <c r="D18" s="51" t="s">
        <v>42</v>
      </c>
      <c r="E18" s="52">
        <v>331073.77</v>
      </c>
      <c r="F18" s="53">
        <v>0</v>
      </c>
      <c r="G18" s="53">
        <v>331073.77</v>
      </c>
      <c r="H18" s="67" t="s">
        <v>396</v>
      </c>
      <c r="I18" s="55">
        <v>45268.34815972222</v>
      </c>
      <c r="L18" s="85">
        <v>2000218</v>
      </c>
      <c r="M18" s="92">
        <v>4</v>
      </c>
    </row>
    <row r="19" spans="1:13" ht="39" x14ac:dyDescent="0.25">
      <c r="A19" s="49" t="s">
        <v>166</v>
      </c>
      <c r="B19" s="50" t="s">
        <v>395</v>
      </c>
      <c r="C19" s="50">
        <v>65501387259</v>
      </c>
      <c r="D19" s="51" t="s">
        <v>42</v>
      </c>
      <c r="E19" s="52">
        <v>298356.01</v>
      </c>
      <c r="F19" s="53">
        <v>0</v>
      </c>
      <c r="G19" s="53">
        <v>298356.01</v>
      </c>
      <c r="H19" s="67" t="s">
        <v>396</v>
      </c>
      <c r="I19" s="55">
        <v>45273.259189814817</v>
      </c>
      <c r="L19" s="85">
        <v>154702</v>
      </c>
      <c r="M19" s="92">
        <v>1</v>
      </c>
    </row>
    <row r="20" spans="1:13" ht="39" x14ac:dyDescent="0.25">
      <c r="A20" s="49" t="s">
        <v>259</v>
      </c>
      <c r="B20" s="50" t="s">
        <v>395</v>
      </c>
      <c r="C20" s="50">
        <v>2000722</v>
      </c>
      <c r="D20" s="51" t="s">
        <v>401</v>
      </c>
      <c r="E20" s="52">
        <v>18000</v>
      </c>
      <c r="F20" s="53">
        <v>0</v>
      </c>
      <c r="G20" s="53">
        <v>18000</v>
      </c>
      <c r="H20" s="67" t="s">
        <v>396</v>
      </c>
      <c r="I20" s="55">
        <v>45243.346273148149</v>
      </c>
      <c r="L20" s="85">
        <v>2000469</v>
      </c>
      <c r="M20" s="92">
        <v>1</v>
      </c>
    </row>
    <row r="21" spans="1:13" ht="39" x14ac:dyDescent="0.25">
      <c r="A21" s="49" t="s">
        <v>259</v>
      </c>
      <c r="B21" s="50" t="s">
        <v>395</v>
      </c>
      <c r="C21" s="50">
        <v>2000722</v>
      </c>
      <c r="D21" s="51" t="s">
        <v>401</v>
      </c>
      <c r="E21" s="52">
        <v>66863.91</v>
      </c>
      <c r="F21" s="53">
        <v>0</v>
      </c>
      <c r="G21" s="53">
        <v>66863.91</v>
      </c>
      <c r="H21" s="67" t="s">
        <v>396</v>
      </c>
      <c r="I21" s="55">
        <v>45244.735717592594</v>
      </c>
      <c r="L21" s="85">
        <v>80820</v>
      </c>
      <c r="M21" s="92">
        <v>1</v>
      </c>
    </row>
    <row r="22" spans="1:13" ht="39" x14ac:dyDescent="0.25">
      <c r="A22" s="49" t="s">
        <v>259</v>
      </c>
      <c r="B22" s="50" t="s">
        <v>395</v>
      </c>
      <c r="C22" s="50">
        <v>2000722</v>
      </c>
      <c r="D22" s="51" t="s">
        <v>401</v>
      </c>
      <c r="E22" s="52">
        <v>11670</v>
      </c>
      <c r="F22" s="53">
        <v>0</v>
      </c>
      <c r="G22" s="53">
        <v>11670</v>
      </c>
      <c r="H22" s="67" t="s">
        <v>396</v>
      </c>
      <c r="I22" s="55">
        <v>45251.771122685182</v>
      </c>
      <c r="L22" s="85">
        <v>2000219</v>
      </c>
      <c r="M22" s="92">
        <v>1</v>
      </c>
    </row>
    <row r="23" spans="1:13" ht="39" x14ac:dyDescent="0.25">
      <c r="A23" s="49" t="s">
        <v>259</v>
      </c>
      <c r="B23" s="50" t="s">
        <v>395</v>
      </c>
      <c r="C23" s="50">
        <v>2000722</v>
      </c>
      <c r="D23" s="51" t="s">
        <v>401</v>
      </c>
      <c r="E23" s="52">
        <v>82784.75</v>
      </c>
      <c r="F23" s="53">
        <v>0</v>
      </c>
      <c r="G23" s="53">
        <v>82784.75</v>
      </c>
      <c r="H23" s="67" t="s">
        <v>396</v>
      </c>
      <c r="I23" s="55">
        <v>45257.732708333337</v>
      </c>
      <c r="L23" s="85">
        <v>2000220</v>
      </c>
      <c r="M23" s="92">
        <v>1</v>
      </c>
    </row>
    <row r="24" spans="1:13" ht="39" x14ac:dyDescent="0.25">
      <c r="A24" s="49" t="s">
        <v>259</v>
      </c>
      <c r="B24" s="50" t="s">
        <v>395</v>
      </c>
      <c r="C24" s="50">
        <v>2000722</v>
      </c>
      <c r="D24" s="51" t="s">
        <v>401</v>
      </c>
      <c r="E24" s="52">
        <v>82784.75</v>
      </c>
      <c r="F24" s="53">
        <v>0</v>
      </c>
      <c r="G24" s="53">
        <v>82784.75</v>
      </c>
      <c r="H24" s="67" t="s">
        <v>396</v>
      </c>
      <c r="I24" s="55">
        <v>45257.734050925923</v>
      </c>
      <c r="L24" s="85">
        <v>2000221</v>
      </c>
      <c r="M24" s="92">
        <v>1</v>
      </c>
    </row>
    <row r="25" spans="1:13" ht="39" x14ac:dyDescent="0.25">
      <c r="A25" s="49" t="s">
        <v>259</v>
      </c>
      <c r="B25" s="50" t="s">
        <v>395</v>
      </c>
      <c r="C25" s="50">
        <v>2000722</v>
      </c>
      <c r="D25" s="51" t="s">
        <v>401</v>
      </c>
      <c r="E25" s="52">
        <v>4230.76</v>
      </c>
      <c r="F25" s="53">
        <v>0</v>
      </c>
      <c r="G25" s="53">
        <v>4230.76</v>
      </c>
      <c r="H25" s="67" t="s">
        <v>396</v>
      </c>
      <c r="I25" s="55">
        <v>45261.521643518521</v>
      </c>
      <c r="L25" s="85">
        <v>2001049</v>
      </c>
      <c r="M25" s="92">
        <v>6</v>
      </c>
    </row>
    <row r="26" spans="1:13" ht="45" x14ac:dyDescent="0.25">
      <c r="A26" s="49" t="s">
        <v>166</v>
      </c>
      <c r="B26" s="50" t="s">
        <v>395</v>
      </c>
      <c r="C26" s="48">
        <v>65501387259</v>
      </c>
      <c r="D26" s="75" t="s">
        <v>42</v>
      </c>
      <c r="E26" s="62">
        <v>434948.02</v>
      </c>
      <c r="F26" s="62">
        <v>0</v>
      </c>
      <c r="G26" s="62">
        <v>434948.02</v>
      </c>
      <c r="H26" s="76" t="s">
        <v>396</v>
      </c>
      <c r="I26" s="55">
        <v>45295.720613425925</v>
      </c>
      <c r="L26" s="85">
        <v>2001050</v>
      </c>
      <c r="M26" s="92">
        <v>1</v>
      </c>
    </row>
    <row r="27" spans="1:13" ht="39" x14ac:dyDescent="0.25">
      <c r="A27" s="72" t="s">
        <v>259</v>
      </c>
      <c r="B27" s="73" t="s">
        <v>395</v>
      </c>
      <c r="C27" s="73">
        <v>2000722</v>
      </c>
      <c r="D27" s="80" t="s">
        <v>401</v>
      </c>
      <c r="E27" s="81">
        <v>48482.13</v>
      </c>
      <c r="F27" s="82">
        <v>0</v>
      </c>
      <c r="G27" s="82">
        <v>48482.13</v>
      </c>
      <c r="H27" s="83" t="s">
        <v>396</v>
      </c>
      <c r="I27" s="74">
        <v>45268.34815972222</v>
      </c>
      <c r="L27" s="85">
        <v>2001046</v>
      </c>
      <c r="M27" s="92">
        <v>2</v>
      </c>
    </row>
    <row r="28" spans="1:13" ht="39" x14ac:dyDescent="0.25">
      <c r="A28" s="72" t="s">
        <v>259</v>
      </c>
      <c r="B28" s="73" t="s">
        <v>395</v>
      </c>
      <c r="C28" s="73">
        <v>2000722</v>
      </c>
      <c r="D28" s="80" t="s">
        <v>401</v>
      </c>
      <c r="E28" s="81">
        <v>141692.41</v>
      </c>
      <c r="F28" s="82">
        <v>0</v>
      </c>
      <c r="G28" s="82">
        <v>141692.41</v>
      </c>
      <c r="H28" s="83" t="s">
        <v>396</v>
      </c>
      <c r="I28" s="74">
        <v>45279.307141203702</v>
      </c>
      <c r="L28" s="85">
        <v>2001047</v>
      </c>
      <c r="M28" s="92">
        <v>3</v>
      </c>
    </row>
    <row r="29" spans="1:13" ht="39" x14ac:dyDescent="0.25">
      <c r="A29" s="72" t="s">
        <v>259</v>
      </c>
      <c r="B29" s="73" t="s">
        <v>395</v>
      </c>
      <c r="C29" s="73">
        <v>2000722</v>
      </c>
      <c r="D29" s="80" t="s">
        <v>401</v>
      </c>
      <c r="E29" s="81">
        <v>-350095.95</v>
      </c>
      <c r="F29" s="82">
        <v>0</v>
      </c>
      <c r="G29" s="82">
        <v>-350095.95</v>
      </c>
      <c r="H29" s="83" t="s">
        <v>396</v>
      </c>
      <c r="I29" s="74">
        <v>45280.642743055556</v>
      </c>
      <c r="L29" s="85">
        <v>65501387259</v>
      </c>
      <c r="M29" s="92">
        <v>11</v>
      </c>
    </row>
    <row r="30" spans="1:13" ht="45" x14ac:dyDescent="0.25">
      <c r="A30" s="49" t="s">
        <v>259</v>
      </c>
      <c r="B30" s="50" t="s">
        <v>395</v>
      </c>
      <c r="C30" s="48">
        <v>2000722</v>
      </c>
      <c r="D30" s="75" t="s">
        <v>401</v>
      </c>
      <c r="E30" s="62">
        <v>62651.09</v>
      </c>
      <c r="F30" s="62">
        <v>0</v>
      </c>
      <c r="G30" s="62">
        <v>62651.09</v>
      </c>
      <c r="H30" s="76" t="s">
        <v>396</v>
      </c>
      <c r="I30" s="55">
        <v>45294.744791666664</v>
      </c>
      <c r="L30" s="85">
        <v>1033545</v>
      </c>
      <c r="M30" s="92">
        <v>2</v>
      </c>
    </row>
    <row r="31" spans="1:13" ht="45" x14ac:dyDescent="0.25">
      <c r="A31" s="49" t="s">
        <v>166</v>
      </c>
      <c r="B31" s="50" t="s">
        <v>395</v>
      </c>
      <c r="C31" s="48">
        <v>65501387259</v>
      </c>
      <c r="D31" s="75" t="s">
        <v>42</v>
      </c>
      <c r="E31" s="62">
        <v>1817831.03</v>
      </c>
      <c r="F31" s="62">
        <v>0</v>
      </c>
      <c r="G31" s="62">
        <v>1817831.03</v>
      </c>
      <c r="H31" s="76" t="s">
        <v>396</v>
      </c>
      <c r="I31" s="55">
        <v>45303</v>
      </c>
      <c r="L31" s="85">
        <v>1033546</v>
      </c>
      <c r="M31" s="92">
        <v>2</v>
      </c>
    </row>
    <row r="32" spans="1:13" ht="45" x14ac:dyDescent="0.25">
      <c r="A32" s="49" t="s">
        <v>259</v>
      </c>
      <c r="B32" s="50" t="s">
        <v>395</v>
      </c>
      <c r="C32" s="48">
        <v>2000722</v>
      </c>
      <c r="D32" s="75" t="s">
        <v>401</v>
      </c>
      <c r="E32" s="62">
        <v>-87534.38</v>
      </c>
      <c r="F32" s="62">
        <v>0</v>
      </c>
      <c r="G32" s="62">
        <v>-87534.38</v>
      </c>
      <c r="H32" s="76" t="s">
        <v>396</v>
      </c>
      <c r="I32" s="55">
        <v>45299.7497337963</v>
      </c>
      <c r="L32" s="85">
        <v>1033796</v>
      </c>
      <c r="M32" s="92">
        <v>1</v>
      </c>
    </row>
    <row r="33" spans="1:13" ht="45" x14ac:dyDescent="0.25">
      <c r="A33" s="49" t="s">
        <v>166</v>
      </c>
      <c r="B33" s="50" t="s">
        <v>395</v>
      </c>
      <c r="C33" s="48">
        <v>65501387259</v>
      </c>
      <c r="D33" s="75" t="s">
        <v>42</v>
      </c>
      <c r="E33" s="62">
        <v>51199.7</v>
      </c>
      <c r="F33" s="62">
        <v>0</v>
      </c>
      <c r="G33" s="62">
        <v>51199.7</v>
      </c>
      <c r="H33" s="76" t="s">
        <v>396</v>
      </c>
      <c r="I33" s="55">
        <v>45307.751886574071</v>
      </c>
      <c r="L33" s="85">
        <v>65507528400</v>
      </c>
      <c r="M33" s="92">
        <v>1</v>
      </c>
    </row>
    <row r="34" spans="1:13" ht="45" x14ac:dyDescent="0.25">
      <c r="A34" s="49" t="s">
        <v>259</v>
      </c>
      <c r="B34" s="50" t="s">
        <v>395</v>
      </c>
      <c r="C34" s="48">
        <v>2000722</v>
      </c>
      <c r="D34" s="75" t="s">
        <v>401</v>
      </c>
      <c r="E34" s="62">
        <v>-623994.22</v>
      </c>
      <c r="F34" s="62">
        <v>0</v>
      </c>
      <c r="G34" s="62">
        <v>-623994.22</v>
      </c>
      <c r="H34" s="76" t="s">
        <v>396</v>
      </c>
      <c r="I34" s="55">
        <v>45300.750601851854</v>
      </c>
      <c r="L34" s="85">
        <v>65507671187</v>
      </c>
      <c r="M34" s="92">
        <v>1</v>
      </c>
    </row>
    <row r="35" spans="1:13" ht="45" x14ac:dyDescent="0.25">
      <c r="A35" s="49" t="s">
        <v>259</v>
      </c>
      <c r="B35" s="50" t="s">
        <v>395</v>
      </c>
      <c r="C35" s="48">
        <v>2000722</v>
      </c>
      <c r="D35" s="75" t="s">
        <v>401</v>
      </c>
      <c r="E35" s="62">
        <v>-208800</v>
      </c>
      <c r="F35" s="62">
        <v>0</v>
      </c>
      <c r="G35" s="62">
        <v>-208800</v>
      </c>
      <c r="H35" s="76" t="s">
        <v>396</v>
      </c>
      <c r="I35" s="55">
        <v>45301.738877314812</v>
      </c>
      <c r="L35" s="85">
        <v>65507684389</v>
      </c>
      <c r="M35" s="92">
        <v>1</v>
      </c>
    </row>
    <row r="36" spans="1:13" ht="45" x14ac:dyDescent="0.25">
      <c r="A36" s="49" t="s">
        <v>259</v>
      </c>
      <c r="B36" s="50" t="s">
        <v>395</v>
      </c>
      <c r="C36" s="48">
        <v>2000722</v>
      </c>
      <c r="D36" s="75" t="s">
        <v>401</v>
      </c>
      <c r="E36" s="62">
        <v>6156.73</v>
      </c>
      <c r="F36" s="62">
        <v>0</v>
      </c>
      <c r="G36" s="62">
        <v>6156.73</v>
      </c>
      <c r="H36" s="76" t="s">
        <v>396</v>
      </c>
      <c r="I36" s="55">
        <v>45306.745381944442</v>
      </c>
      <c r="L36" s="85">
        <v>1037090</v>
      </c>
      <c r="M36" s="92">
        <v>1</v>
      </c>
    </row>
    <row r="37" spans="1:13" ht="45" x14ac:dyDescent="0.25">
      <c r="A37" s="49" t="s">
        <v>259</v>
      </c>
      <c r="B37" s="50" t="s">
        <v>395</v>
      </c>
      <c r="C37" s="48">
        <v>2000722</v>
      </c>
      <c r="D37" s="75" t="s">
        <v>401</v>
      </c>
      <c r="E37" s="62">
        <v>3639.06</v>
      </c>
      <c r="F37" s="62">
        <v>0</v>
      </c>
      <c r="G37" s="62">
        <v>3639.06</v>
      </c>
      <c r="H37" s="76" t="s">
        <v>396</v>
      </c>
      <c r="I37" s="55">
        <v>45308</v>
      </c>
      <c r="L37" s="85">
        <v>1037124</v>
      </c>
      <c r="M37" s="92">
        <v>1</v>
      </c>
    </row>
    <row r="38" spans="1:13" ht="45" x14ac:dyDescent="0.25">
      <c r="A38" s="49" t="s">
        <v>259</v>
      </c>
      <c r="B38" s="50" t="s">
        <v>395</v>
      </c>
      <c r="C38" s="48">
        <v>2000722</v>
      </c>
      <c r="D38" s="75" t="s">
        <v>401</v>
      </c>
      <c r="E38" s="62">
        <v>-658792.95999999996</v>
      </c>
      <c r="F38" s="62">
        <v>0</v>
      </c>
      <c r="G38" s="62">
        <v>-658792.95999999996</v>
      </c>
      <c r="H38" s="76" t="s">
        <v>396</v>
      </c>
      <c r="I38" s="55">
        <v>45313.723194444443</v>
      </c>
      <c r="L38" s="85">
        <v>1037085</v>
      </c>
      <c r="M38" s="92">
        <v>1</v>
      </c>
    </row>
    <row r="39" spans="1:13" ht="45" x14ac:dyDescent="0.25">
      <c r="A39" s="49" t="s">
        <v>259</v>
      </c>
      <c r="B39" s="50" t="s">
        <v>395</v>
      </c>
      <c r="C39" s="48">
        <v>2000722</v>
      </c>
      <c r="D39" s="75" t="s">
        <v>401</v>
      </c>
      <c r="E39" s="62">
        <v>90000</v>
      </c>
      <c r="F39" s="62">
        <v>0</v>
      </c>
      <c r="G39" s="62">
        <v>90000</v>
      </c>
      <c r="H39" s="76" t="s">
        <v>396</v>
      </c>
      <c r="I39" s="55">
        <v>45315.72724537037</v>
      </c>
      <c r="L39" s="85">
        <v>1037117</v>
      </c>
      <c r="M39" s="92">
        <v>1</v>
      </c>
    </row>
    <row r="40" spans="1:13" ht="45" x14ac:dyDescent="0.25">
      <c r="A40" s="49" t="s">
        <v>259</v>
      </c>
      <c r="B40" s="50" t="s">
        <v>395</v>
      </c>
      <c r="C40" s="48">
        <v>2000722</v>
      </c>
      <c r="D40" s="75" t="s">
        <v>401</v>
      </c>
      <c r="E40" s="62">
        <v>70000</v>
      </c>
      <c r="F40" s="62">
        <v>0</v>
      </c>
      <c r="G40" s="62">
        <v>70000</v>
      </c>
      <c r="H40" s="76" t="s">
        <v>396</v>
      </c>
      <c r="I40" s="55">
        <v>45320.753587962965</v>
      </c>
      <c r="L40" s="85">
        <v>1037086</v>
      </c>
      <c r="M40" s="92">
        <v>1</v>
      </c>
    </row>
    <row r="41" spans="1:13" ht="45" x14ac:dyDescent="0.25">
      <c r="A41" s="49" t="s">
        <v>166</v>
      </c>
      <c r="B41" s="50" t="s">
        <v>395</v>
      </c>
      <c r="C41" s="48">
        <v>65501387259</v>
      </c>
      <c r="D41" s="75" t="s">
        <v>42</v>
      </c>
      <c r="E41" s="62">
        <v>109453.71</v>
      </c>
      <c r="F41" s="62">
        <v>0</v>
      </c>
      <c r="G41" s="62">
        <v>109453.71</v>
      </c>
      <c r="H41" s="76" t="s">
        <v>396</v>
      </c>
      <c r="I41" s="55">
        <v>45330.726481481484</v>
      </c>
      <c r="L41" s="85">
        <v>1037113</v>
      </c>
      <c r="M41" s="92">
        <v>1</v>
      </c>
    </row>
    <row r="42" spans="1:13" ht="45" x14ac:dyDescent="0.25">
      <c r="A42" s="49" t="s">
        <v>259</v>
      </c>
      <c r="B42" s="50" t="s">
        <v>395</v>
      </c>
      <c r="C42" s="48">
        <v>2000722</v>
      </c>
      <c r="D42" s="75" t="s">
        <v>401</v>
      </c>
      <c r="E42" s="62">
        <v>13461.52</v>
      </c>
      <c r="F42" s="62">
        <v>0</v>
      </c>
      <c r="G42" s="62">
        <v>13461.52</v>
      </c>
      <c r="H42" s="76" t="s">
        <v>396</v>
      </c>
      <c r="I42" s="55">
        <v>45323.720520833333</v>
      </c>
      <c r="L42" s="85">
        <v>1037118</v>
      </c>
      <c r="M42" s="92">
        <v>1</v>
      </c>
    </row>
    <row r="43" spans="1:13" ht="45" x14ac:dyDescent="0.25">
      <c r="A43" s="49" t="s">
        <v>259</v>
      </c>
      <c r="B43" s="50" t="s">
        <v>395</v>
      </c>
      <c r="C43" s="48">
        <v>2000722</v>
      </c>
      <c r="D43" s="75" t="s">
        <v>401</v>
      </c>
      <c r="E43" s="62">
        <v>18999.98</v>
      </c>
      <c r="F43" s="62">
        <v>0</v>
      </c>
      <c r="G43" s="62">
        <v>18999.98</v>
      </c>
      <c r="H43" s="76" t="s">
        <v>396</v>
      </c>
      <c r="I43" s="55">
        <v>45331.661909722221</v>
      </c>
      <c r="L43" s="85">
        <v>1000003292</v>
      </c>
      <c r="M43" s="92">
        <v>1</v>
      </c>
    </row>
    <row r="44" spans="1:13" ht="45" x14ac:dyDescent="0.25">
      <c r="A44" s="49" t="s">
        <v>259</v>
      </c>
      <c r="B44" s="50" t="s">
        <v>395</v>
      </c>
      <c r="C44" s="48">
        <v>2000722</v>
      </c>
      <c r="D44" s="75" t="s">
        <v>401</v>
      </c>
      <c r="E44" s="62">
        <v>176286.21</v>
      </c>
      <c r="F44" s="62">
        <v>0</v>
      </c>
      <c r="G44" s="62">
        <v>176286.21</v>
      </c>
      <c r="H44" s="76" t="s">
        <v>396</v>
      </c>
      <c r="I44" s="55">
        <v>45334.70952546296</v>
      </c>
      <c r="L44" s="85">
        <v>1000003297</v>
      </c>
      <c r="M44" s="92">
        <v>1</v>
      </c>
    </row>
    <row r="45" spans="1:13" ht="45" x14ac:dyDescent="0.25">
      <c r="A45" s="49" t="s">
        <v>259</v>
      </c>
      <c r="B45" s="50" t="s">
        <v>395</v>
      </c>
      <c r="C45" s="48">
        <v>2000722</v>
      </c>
      <c r="D45" s="75" t="s">
        <v>401</v>
      </c>
      <c r="E45" s="62">
        <v>10616</v>
      </c>
      <c r="F45" s="62">
        <v>0</v>
      </c>
      <c r="G45" s="62">
        <v>10616</v>
      </c>
      <c r="H45" s="76" t="s">
        <v>396</v>
      </c>
      <c r="I45" s="55">
        <v>45337.761238425926</v>
      </c>
      <c r="L45" s="85">
        <v>1000003298</v>
      </c>
      <c r="M45" s="92">
        <v>1</v>
      </c>
    </row>
    <row r="46" spans="1:13" ht="45" x14ac:dyDescent="0.25">
      <c r="A46" s="49" t="s">
        <v>259</v>
      </c>
      <c r="B46" s="50" t="s">
        <v>395</v>
      </c>
      <c r="C46" s="48">
        <v>2000722</v>
      </c>
      <c r="D46" s="75" t="s">
        <v>401</v>
      </c>
      <c r="E46" s="62">
        <v>-389115.65</v>
      </c>
      <c r="F46" s="62">
        <v>0</v>
      </c>
      <c r="G46" s="62">
        <v>-389115.65</v>
      </c>
      <c r="H46" s="76" t="s">
        <v>396</v>
      </c>
      <c r="I46" s="55">
        <v>45349.769456018519</v>
      </c>
      <c r="L46" s="85">
        <v>1000003302</v>
      </c>
      <c r="M46" s="92">
        <v>1</v>
      </c>
    </row>
    <row r="47" spans="1:13" ht="45" x14ac:dyDescent="0.25">
      <c r="A47" s="49" t="s">
        <v>259</v>
      </c>
      <c r="B47" s="50" t="s">
        <v>395</v>
      </c>
      <c r="C47" s="48">
        <v>2000722</v>
      </c>
      <c r="D47" s="75" t="s">
        <v>401</v>
      </c>
      <c r="E47" s="62">
        <v>4281</v>
      </c>
      <c r="F47" s="62">
        <v>0</v>
      </c>
      <c r="G47" s="62">
        <v>4281</v>
      </c>
      <c r="H47" s="76" t="s">
        <v>396</v>
      </c>
      <c r="I47" s="55">
        <v>45350.716168981482</v>
      </c>
      <c r="L47" s="85">
        <v>1000003293</v>
      </c>
      <c r="M47" s="92">
        <v>1</v>
      </c>
    </row>
    <row r="48" spans="1:13" ht="45" x14ac:dyDescent="0.25">
      <c r="A48" s="49" t="s">
        <v>259</v>
      </c>
      <c r="B48" s="50" t="s">
        <v>395</v>
      </c>
      <c r="C48" s="48">
        <v>2000722</v>
      </c>
      <c r="D48" s="75" t="s">
        <v>401</v>
      </c>
      <c r="E48" s="62">
        <v>4292.3599999999997</v>
      </c>
      <c r="F48" s="62">
        <v>0</v>
      </c>
      <c r="G48" s="62">
        <v>4292.3599999999997</v>
      </c>
      <c r="H48" s="76" t="s">
        <v>396</v>
      </c>
      <c r="I48" s="55">
        <v>45355.362986111111</v>
      </c>
      <c r="L48" s="85">
        <v>1000003291</v>
      </c>
      <c r="M48" s="92">
        <v>1</v>
      </c>
    </row>
    <row r="49" spans="1:13" x14ac:dyDescent="0.25">
      <c r="A49" s="49" t="s">
        <v>198</v>
      </c>
      <c r="B49" s="50" t="s">
        <v>395</v>
      </c>
      <c r="C49" s="50">
        <v>2000469</v>
      </c>
      <c r="D49" s="51" t="s">
        <v>266</v>
      </c>
      <c r="E49" s="52">
        <v>-3446505.38</v>
      </c>
      <c r="F49" s="53">
        <v>0</v>
      </c>
      <c r="G49" s="53">
        <v>-3446505.38</v>
      </c>
      <c r="H49" s="67" t="s">
        <v>402</v>
      </c>
      <c r="I49" s="55">
        <v>44922.697824074072</v>
      </c>
      <c r="L49" s="85">
        <v>1000003299</v>
      </c>
      <c r="M49" s="92">
        <v>1</v>
      </c>
    </row>
    <row r="50" spans="1:13" ht="45" x14ac:dyDescent="0.25">
      <c r="A50" s="49" t="s">
        <v>166</v>
      </c>
      <c r="B50" s="50" t="s">
        <v>395</v>
      </c>
      <c r="C50" s="48">
        <v>65501387259</v>
      </c>
      <c r="D50" s="75" t="s">
        <v>42</v>
      </c>
      <c r="E50" s="62">
        <v>268564.27</v>
      </c>
      <c r="F50" s="62">
        <v>0</v>
      </c>
      <c r="G50" s="62">
        <v>268564.27</v>
      </c>
      <c r="H50" s="76" t="s">
        <v>396</v>
      </c>
      <c r="I50" s="55">
        <v>45357.686388888891</v>
      </c>
      <c r="L50" s="85">
        <v>1000003295</v>
      </c>
      <c r="M50" s="92">
        <v>1</v>
      </c>
    </row>
    <row r="51" spans="1:13" ht="45" x14ac:dyDescent="0.25">
      <c r="A51" s="49" t="s">
        <v>198</v>
      </c>
      <c r="B51" s="50" t="s">
        <v>395</v>
      </c>
      <c r="C51" s="48">
        <v>2000569</v>
      </c>
      <c r="D51" s="75" t="s">
        <v>400</v>
      </c>
      <c r="E51" s="62">
        <v>1967081.69</v>
      </c>
      <c r="F51" s="62">
        <v>0</v>
      </c>
      <c r="G51" s="62">
        <v>1967081.69</v>
      </c>
      <c r="H51" s="76" t="s">
        <v>396</v>
      </c>
      <c r="I51" s="55">
        <v>45359.314803240741</v>
      </c>
      <c r="L51" s="85">
        <v>1000002861</v>
      </c>
      <c r="M51" s="92">
        <v>1</v>
      </c>
    </row>
    <row r="52" spans="1:13" ht="45" x14ac:dyDescent="0.25">
      <c r="A52" s="49" t="s">
        <v>259</v>
      </c>
      <c r="B52" s="50" t="s">
        <v>395</v>
      </c>
      <c r="C52" s="48">
        <v>2000722</v>
      </c>
      <c r="D52" s="75" t="s">
        <v>401</v>
      </c>
      <c r="E52" s="62">
        <v>119241.17</v>
      </c>
      <c r="F52" s="62">
        <v>0</v>
      </c>
      <c r="G52" s="62">
        <v>119241.17</v>
      </c>
      <c r="H52" s="76" t="s">
        <v>396</v>
      </c>
      <c r="I52" s="55">
        <v>45359.314803240741</v>
      </c>
      <c r="L52" s="85" t="s">
        <v>21</v>
      </c>
      <c r="M52" s="92">
        <v>128</v>
      </c>
    </row>
    <row r="53" spans="1:13" ht="45" x14ac:dyDescent="0.25">
      <c r="A53" s="49" t="s">
        <v>198</v>
      </c>
      <c r="B53" s="50" t="s">
        <v>395</v>
      </c>
      <c r="C53" s="48">
        <v>2001049</v>
      </c>
      <c r="D53" s="75" t="s">
        <v>272</v>
      </c>
      <c r="E53" s="62">
        <v>508146.72</v>
      </c>
      <c r="F53" s="62">
        <v>0</v>
      </c>
      <c r="G53" s="62">
        <v>508146.72</v>
      </c>
      <c r="H53" s="76" t="s">
        <v>396</v>
      </c>
      <c r="I53" s="55">
        <v>45359.314803240741</v>
      </c>
    </row>
    <row r="54" spans="1:13" ht="45" x14ac:dyDescent="0.25">
      <c r="A54" s="49" t="s">
        <v>166</v>
      </c>
      <c r="B54" s="50" t="s">
        <v>395</v>
      </c>
      <c r="C54" s="48">
        <v>65507528400</v>
      </c>
      <c r="D54" s="75" t="s">
        <v>403</v>
      </c>
      <c r="E54" s="62">
        <v>873686.84</v>
      </c>
      <c r="F54" s="62">
        <v>855777.31</v>
      </c>
      <c r="G54" s="62">
        <v>17909.529999999799</v>
      </c>
      <c r="H54" s="76" t="s">
        <v>396</v>
      </c>
      <c r="I54" s="55">
        <v>45359.314803240741</v>
      </c>
    </row>
    <row r="55" spans="1:13" ht="45" x14ac:dyDescent="0.25">
      <c r="A55" s="49" t="s">
        <v>166</v>
      </c>
      <c r="B55" s="50" t="s">
        <v>395</v>
      </c>
      <c r="C55" s="48">
        <v>65507671187</v>
      </c>
      <c r="D55" s="75" t="s">
        <v>403</v>
      </c>
      <c r="E55" s="62">
        <v>351097.05</v>
      </c>
      <c r="F55" s="62">
        <v>318240.8</v>
      </c>
      <c r="G55" s="62">
        <v>32856.250000000298</v>
      </c>
      <c r="H55" s="76" t="s">
        <v>396</v>
      </c>
      <c r="I55" s="55">
        <v>45359.314803240741</v>
      </c>
    </row>
    <row r="56" spans="1:13" ht="45" x14ac:dyDescent="0.25">
      <c r="A56" s="49" t="s">
        <v>166</v>
      </c>
      <c r="B56" s="50" t="s">
        <v>395</v>
      </c>
      <c r="C56" s="48">
        <v>65507684389</v>
      </c>
      <c r="D56" s="75" t="s">
        <v>403</v>
      </c>
      <c r="E56" s="62">
        <v>2831914.35</v>
      </c>
      <c r="F56" s="62">
        <v>1828029.32</v>
      </c>
      <c r="G56" s="62">
        <v>1003885.03</v>
      </c>
      <c r="H56" s="76" t="s">
        <v>396</v>
      </c>
      <c r="I56" s="55">
        <v>45359.314803240741</v>
      </c>
    </row>
    <row r="57" spans="1:13" x14ac:dyDescent="0.25">
      <c r="A57" s="49" t="s">
        <v>166</v>
      </c>
      <c r="B57" s="50" t="s">
        <v>395</v>
      </c>
      <c r="C57" s="48">
        <v>2000216</v>
      </c>
      <c r="D57" s="75" t="s">
        <v>225</v>
      </c>
      <c r="E57" s="62">
        <v>-28432.35</v>
      </c>
      <c r="F57" s="62">
        <v>0</v>
      </c>
      <c r="G57" s="62">
        <v>-28432.35</v>
      </c>
      <c r="H57" s="76" t="s">
        <v>404</v>
      </c>
      <c r="I57" s="55">
        <v>45364.317013888889</v>
      </c>
    </row>
    <row r="58" spans="1:13" x14ac:dyDescent="0.25">
      <c r="A58" s="49" t="s">
        <v>166</v>
      </c>
      <c r="B58" s="50" t="s">
        <v>395</v>
      </c>
      <c r="C58" s="48">
        <v>2000219</v>
      </c>
      <c r="D58" s="75" t="s">
        <v>228</v>
      </c>
      <c r="E58" s="62">
        <v>-58311.03</v>
      </c>
      <c r="F58" s="62">
        <v>0</v>
      </c>
      <c r="G58" s="62">
        <v>-58311.03</v>
      </c>
      <c r="H58" s="76" t="s">
        <v>404</v>
      </c>
      <c r="I58" s="55">
        <v>45364.317013888889</v>
      </c>
    </row>
    <row r="59" spans="1:13" ht="45" x14ac:dyDescent="0.25">
      <c r="A59" s="49" t="s">
        <v>166</v>
      </c>
      <c r="B59" s="50" t="s">
        <v>395</v>
      </c>
      <c r="C59" s="48">
        <v>65501387259</v>
      </c>
      <c r="D59" s="75" t="s">
        <v>42</v>
      </c>
      <c r="E59" s="62">
        <v>327759.62</v>
      </c>
      <c r="F59" s="62">
        <v>0</v>
      </c>
      <c r="G59" s="62">
        <v>327759.62</v>
      </c>
      <c r="H59" s="76" t="s">
        <v>396</v>
      </c>
      <c r="I59" s="55">
        <v>45364.317013888889</v>
      </c>
    </row>
    <row r="60" spans="1:13" ht="45" x14ac:dyDescent="0.25">
      <c r="A60" s="49" t="s">
        <v>198</v>
      </c>
      <c r="B60" s="50" t="s">
        <v>395</v>
      </c>
      <c r="C60" s="48">
        <v>2000569</v>
      </c>
      <c r="D60" s="75" t="s">
        <v>400</v>
      </c>
      <c r="E60" s="62">
        <v>1872439.43</v>
      </c>
      <c r="F60" s="62">
        <v>0</v>
      </c>
      <c r="G60" s="62">
        <v>1872439.43</v>
      </c>
      <c r="H60" s="76" t="s">
        <v>396</v>
      </c>
      <c r="I60" s="55">
        <v>45366.626747685186</v>
      </c>
    </row>
    <row r="61" spans="1:13" ht="45" x14ac:dyDescent="0.25">
      <c r="A61" s="49" t="s">
        <v>259</v>
      </c>
      <c r="B61" s="50" t="s">
        <v>395</v>
      </c>
      <c r="C61" s="48">
        <v>2000722</v>
      </c>
      <c r="D61" s="75" t="s">
        <v>401</v>
      </c>
      <c r="E61" s="62">
        <v>-294867.21999999997</v>
      </c>
      <c r="F61" s="62">
        <v>0</v>
      </c>
      <c r="G61" s="62">
        <v>-294867.21999999997</v>
      </c>
      <c r="H61" s="76" t="s">
        <v>396</v>
      </c>
      <c r="I61" s="55">
        <v>45366.626747685186</v>
      </c>
    </row>
    <row r="62" spans="1:13" ht="45" x14ac:dyDescent="0.25">
      <c r="A62" s="49" t="s">
        <v>198</v>
      </c>
      <c r="B62" s="50" t="s">
        <v>395</v>
      </c>
      <c r="C62" s="48">
        <v>2001049</v>
      </c>
      <c r="D62" s="75" t="s">
        <v>272</v>
      </c>
      <c r="E62" s="62">
        <v>517259.28</v>
      </c>
      <c r="F62" s="62">
        <v>0</v>
      </c>
      <c r="G62" s="62">
        <v>517259.28</v>
      </c>
      <c r="H62" s="76" t="s">
        <v>396</v>
      </c>
      <c r="I62" s="55">
        <v>45366.626747685186</v>
      </c>
    </row>
    <row r="63" spans="1:13" ht="45" x14ac:dyDescent="0.25">
      <c r="A63" s="49" t="s">
        <v>166</v>
      </c>
      <c r="B63" s="50" t="s">
        <v>395</v>
      </c>
      <c r="C63" s="48">
        <v>65501387259</v>
      </c>
      <c r="D63" s="75" t="s">
        <v>42</v>
      </c>
      <c r="E63" s="62">
        <v>184746</v>
      </c>
      <c r="F63" s="62">
        <v>0</v>
      </c>
      <c r="G63" s="62">
        <v>184746</v>
      </c>
      <c r="H63" s="76" t="s">
        <v>396</v>
      </c>
      <c r="I63" s="55">
        <v>45370.329386574071</v>
      </c>
    </row>
    <row r="64" spans="1:13" ht="45" x14ac:dyDescent="0.25">
      <c r="A64" s="49" t="s">
        <v>198</v>
      </c>
      <c r="B64" s="50" t="s">
        <v>395</v>
      </c>
      <c r="C64" s="48">
        <v>2001049</v>
      </c>
      <c r="D64" s="75" t="s">
        <v>272</v>
      </c>
      <c r="E64" s="62">
        <v>497664.44</v>
      </c>
      <c r="F64" s="62">
        <v>0</v>
      </c>
      <c r="G64" s="62">
        <v>497664.44</v>
      </c>
      <c r="H64" s="76" t="s">
        <v>396</v>
      </c>
      <c r="I64" s="55">
        <v>45372.721863425926</v>
      </c>
    </row>
    <row r="65" spans="1:9" x14ac:dyDescent="0.25">
      <c r="A65" s="49" t="s">
        <v>166</v>
      </c>
      <c r="B65" s="50" t="s">
        <v>395</v>
      </c>
      <c r="C65" s="48">
        <v>78665</v>
      </c>
      <c r="D65" s="75" t="s">
        <v>223</v>
      </c>
      <c r="E65" s="62">
        <v>3390671.97</v>
      </c>
      <c r="F65" s="62">
        <v>0</v>
      </c>
      <c r="G65" s="62">
        <v>3390671.97</v>
      </c>
      <c r="H65" s="76" t="s">
        <v>404</v>
      </c>
      <c r="I65" s="55">
        <v>45373.32236111111</v>
      </c>
    </row>
    <row r="66" spans="1:9" x14ac:dyDescent="0.25">
      <c r="A66" s="49" t="s">
        <v>166</v>
      </c>
      <c r="B66" s="50" t="s">
        <v>395</v>
      </c>
      <c r="C66" s="48">
        <v>1012259</v>
      </c>
      <c r="D66" s="75" t="s">
        <v>284</v>
      </c>
      <c r="E66" s="62">
        <v>115985.68</v>
      </c>
      <c r="F66" s="62">
        <v>0</v>
      </c>
      <c r="G66" s="62">
        <v>115985.68</v>
      </c>
      <c r="H66" s="76" t="s">
        <v>404</v>
      </c>
      <c r="I66" s="55">
        <v>45373.32236111111</v>
      </c>
    </row>
    <row r="67" spans="1:9" x14ac:dyDescent="0.25">
      <c r="A67" s="49" t="s">
        <v>166</v>
      </c>
      <c r="B67" s="50" t="s">
        <v>395</v>
      </c>
      <c r="C67" s="48">
        <v>1012260</v>
      </c>
      <c r="D67" s="75" t="s">
        <v>285</v>
      </c>
      <c r="E67" s="62">
        <v>242424.47</v>
      </c>
      <c r="F67" s="62">
        <v>0</v>
      </c>
      <c r="G67" s="62">
        <v>242424.47</v>
      </c>
      <c r="H67" s="76" t="s">
        <v>404</v>
      </c>
      <c r="I67" s="55">
        <v>45373.32236111111</v>
      </c>
    </row>
    <row r="68" spans="1:9" x14ac:dyDescent="0.25">
      <c r="A68" s="49" t="s">
        <v>166</v>
      </c>
      <c r="B68" s="50" t="s">
        <v>395</v>
      </c>
      <c r="C68" s="48">
        <v>1033545</v>
      </c>
      <c r="D68" s="75" t="s">
        <v>405</v>
      </c>
      <c r="E68" s="62">
        <v>44711.37</v>
      </c>
      <c r="F68" s="62">
        <v>0</v>
      </c>
      <c r="G68" s="62">
        <v>44711.37</v>
      </c>
      <c r="H68" s="76" t="s">
        <v>404</v>
      </c>
      <c r="I68" s="55">
        <v>45373.32236111111</v>
      </c>
    </row>
    <row r="69" spans="1:9" x14ac:dyDescent="0.25">
      <c r="A69" s="49" t="s">
        <v>166</v>
      </c>
      <c r="B69" s="50" t="s">
        <v>395</v>
      </c>
      <c r="C69" s="48">
        <v>1033546</v>
      </c>
      <c r="D69" s="75" t="s">
        <v>405</v>
      </c>
      <c r="E69" s="62">
        <v>19029.52</v>
      </c>
      <c r="F69" s="62">
        <v>0</v>
      </c>
      <c r="G69" s="62">
        <v>19029.52</v>
      </c>
      <c r="H69" s="76" t="s">
        <v>404</v>
      </c>
      <c r="I69" s="55">
        <v>45373.32236111111</v>
      </c>
    </row>
    <row r="70" spans="1:9" x14ac:dyDescent="0.25">
      <c r="A70" s="49" t="s">
        <v>166</v>
      </c>
      <c r="B70" s="50" t="s">
        <v>395</v>
      </c>
      <c r="C70" s="48">
        <v>2000182</v>
      </c>
      <c r="D70" s="75" t="s">
        <v>141</v>
      </c>
      <c r="E70" s="62">
        <v>74306.69</v>
      </c>
      <c r="F70" s="62">
        <v>0</v>
      </c>
      <c r="G70" s="62">
        <v>74306.69</v>
      </c>
      <c r="H70" s="76" t="s">
        <v>404</v>
      </c>
      <c r="I70" s="55">
        <v>45373.32236111111</v>
      </c>
    </row>
    <row r="71" spans="1:9" x14ac:dyDescent="0.25">
      <c r="A71" s="49" t="s">
        <v>166</v>
      </c>
      <c r="B71" s="50" t="s">
        <v>395</v>
      </c>
      <c r="C71" s="48">
        <v>2000183</v>
      </c>
      <c r="D71" s="75" t="s">
        <v>244</v>
      </c>
      <c r="E71" s="62">
        <v>159827.01</v>
      </c>
      <c r="F71" s="62">
        <v>0</v>
      </c>
      <c r="G71" s="62">
        <v>159827.01</v>
      </c>
      <c r="H71" s="76" t="s">
        <v>404</v>
      </c>
      <c r="I71" s="55">
        <v>45373.32236111111</v>
      </c>
    </row>
    <row r="72" spans="1:9" x14ac:dyDescent="0.25">
      <c r="A72" s="49" t="s">
        <v>166</v>
      </c>
      <c r="B72" s="50" t="s">
        <v>395</v>
      </c>
      <c r="C72" s="48">
        <v>2000216</v>
      </c>
      <c r="D72" s="75" t="s">
        <v>225</v>
      </c>
      <c r="E72" s="62">
        <v>4328510.0999999996</v>
      </c>
      <c r="F72" s="62">
        <v>0</v>
      </c>
      <c r="G72" s="62">
        <v>4328510.0999999996</v>
      </c>
      <c r="H72" s="76" t="s">
        <v>404</v>
      </c>
      <c r="I72" s="55">
        <v>45373.32236111111</v>
      </c>
    </row>
    <row r="73" spans="1:9" x14ac:dyDescent="0.25">
      <c r="A73" s="49" t="s">
        <v>166</v>
      </c>
      <c r="B73" s="50" t="s">
        <v>395</v>
      </c>
      <c r="C73" s="48">
        <v>2000217</v>
      </c>
      <c r="D73" s="75" t="s">
        <v>226</v>
      </c>
      <c r="E73" s="62">
        <v>1309456.73</v>
      </c>
      <c r="F73" s="62">
        <v>0</v>
      </c>
      <c r="G73" s="62">
        <v>1309456.73</v>
      </c>
      <c r="H73" s="76" t="s">
        <v>404</v>
      </c>
      <c r="I73" s="55">
        <v>45373.32236111111</v>
      </c>
    </row>
    <row r="74" spans="1:9" x14ac:dyDescent="0.25">
      <c r="A74" s="49" t="s">
        <v>166</v>
      </c>
      <c r="B74" s="50" t="s">
        <v>395</v>
      </c>
      <c r="C74" s="48">
        <v>2000218</v>
      </c>
      <c r="D74" s="75" t="s">
        <v>227</v>
      </c>
      <c r="E74" s="62">
        <v>1298922.24</v>
      </c>
      <c r="F74" s="62">
        <v>0</v>
      </c>
      <c r="G74" s="62">
        <v>1298922.24</v>
      </c>
      <c r="H74" s="76" t="s">
        <v>404</v>
      </c>
      <c r="I74" s="55">
        <v>45373.32236111111</v>
      </c>
    </row>
    <row r="75" spans="1:9" x14ac:dyDescent="0.25">
      <c r="A75" s="49" t="s">
        <v>166</v>
      </c>
      <c r="B75" s="50" t="s">
        <v>395</v>
      </c>
      <c r="C75" s="48">
        <v>2000423</v>
      </c>
      <c r="D75" s="75" t="s">
        <v>178</v>
      </c>
      <c r="E75" s="62">
        <v>23167.33</v>
      </c>
      <c r="F75" s="62">
        <v>0</v>
      </c>
      <c r="G75" s="62">
        <v>23167.33</v>
      </c>
      <c r="H75" s="76" t="s">
        <v>404</v>
      </c>
      <c r="I75" s="55">
        <v>45373.32236111111</v>
      </c>
    </row>
    <row r="76" spans="1:9" x14ac:dyDescent="0.25">
      <c r="A76" s="49" t="s">
        <v>166</v>
      </c>
      <c r="B76" s="50" t="s">
        <v>395</v>
      </c>
      <c r="C76" s="48">
        <v>2000424</v>
      </c>
      <c r="D76" s="75" t="s">
        <v>179</v>
      </c>
      <c r="E76" s="62">
        <v>50859.16</v>
      </c>
      <c r="F76" s="62">
        <v>0</v>
      </c>
      <c r="G76" s="62">
        <v>50859.16</v>
      </c>
      <c r="H76" s="76" t="s">
        <v>404</v>
      </c>
      <c r="I76" s="55">
        <v>45373.32236111111</v>
      </c>
    </row>
    <row r="77" spans="1:9" ht="45" x14ac:dyDescent="0.25">
      <c r="A77" s="49" t="s">
        <v>259</v>
      </c>
      <c r="B77" s="50" t="s">
        <v>395</v>
      </c>
      <c r="C77" s="48">
        <v>2000722</v>
      </c>
      <c r="D77" s="75" t="s">
        <v>401</v>
      </c>
      <c r="E77" s="62">
        <v>121332.75</v>
      </c>
      <c r="F77" s="62">
        <v>0</v>
      </c>
      <c r="G77" s="62">
        <v>121332.75</v>
      </c>
      <c r="H77" s="76" t="s">
        <v>396</v>
      </c>
      <c r="I77" s="55">
        <v>45373.32236111111</v>
      </c>
    </row>
    <row r="78" spans="1:9" x14ac:dyDescent="0.25">
      <c r="A78" s="49" t="s">
        <v>166</v>
      </c>
      <c r="B78" s="50" t="s">
        <v>395</v>
      </c>
      <c r="C78" s="48">
        <v>2001046</v>
      </c>
      <c r="D78" s="75" t="s">
        <v>289</v>
      </c>
      <c r="E78" s="62">
        <v>120471.67</v>
      </c>
      <c r="F78" s="62">
        <v>0</v>
      </c>
      <c r="G78" s="62">
        <v>120471.67</v>
      </c>
      <c r="H78" s="76" t="s">
        <v>404</v>
      </c>
      <c r="I78" s="55">
        <v>45373.32236111111</v>
      </c>
    </row>
    <row r="79" spans="1:9" x14ac:dyDescent="0.25">
      <c r="A79" s="49" t="s">
        <v>166</v>
      </c>
      <c r="B79" s="50" t="s">
        <v>395</v>
      </c>
      <c r="C79" s="48">
        <v>2001047</v>
      </c>
      <c r="D79" s="75" t="s">
        <v>288</v>
      </c>
      <c r="E79" s="62">
        <v>56551.03</v>
      </c>
      <c r="F79" s="62">
        <v>0</v>
      </c>
      <c r="G79" s="62">
        <v>56551.03</v>
      </c>
      <c r="H79" s="76" t="s">
        <v>404</v>
      </c>
      <c r="I79" s="55">
        <v>45373.32236111111</v>
      </c>
    </row>
    <row r="80" spans="1:9" x14ac:dyDescent="0.25">
      <c r="A80" s="49" t="s">
        <v>166</v>
      </c>
      <c r="B80" s="50" t="s">
        <v>395</v>
      </c>
      <c r="C80" s="48">
        <v>2001047</v>
      </c>
      <c r="D80" s="75" t="s">
        <v>288</v>
      </c>
      <c r="E80" s="62">
        <v>-7023.91</v>
      </c>
      <c r="F80" s="62">
        <v>0</v>
      </c>
      <c r="G80" s="62">
        <v>-7023.91</v>
      </c>
      <c r="H80" s="76" t="s">
        <v>406</v>
      </c>
      <c r="I80" s="55">
        <v>45377.326365740744</v>
      </c>
    </row>
    <row r="81" spans="1:9" x14ac:dyDescent="0.25">
      <c r="A81" s="49" t="s">
        <v>166</v>
      </c>
      <c r="B81" s="50" t="s">
        <v>395</v>
      </c>
      <c r="C81" s="48">
        <v>1012259</v>
      </c>
      <c r="D81" s="75" t="s">
        <v>284</v>
      </c>
      <c r="E81" s="62">
        <v>-210603.38</v>
      </c>
      <c r="F81" s="62">
        <v>0</v>
      </c>
      <c r="G81" s="62">
        <v>-210603.38</v>
      </c>
      <c r="H81" s="76" t="s">
        <v>404</v>
      </c>
      <c r="I81" s="55">
        <v>45378.686643518522</v>
      </c>
    </row>
    <row r="82" spans="1:9" x14ac:dyDescent="0.25">
      <c r="A82" s="49" t="s">
        <v>166</v>
      </c>
      <c r="B82" s="50" t="s">
        <v>395</v>
      </c>
      <c r="C82" s="48">
        <v>1012260</v>
      </c>
      <c r="D82" s="75" t="s">
        <v>285</v>
      </c>
      <c r="E82" s="62">
        <v>-225952.55</v>
      </c>
      <c r="F82" s="62">
        <v>0</v>
      </c>
      <c r="G82" s="62">
        <v>-225952.55</v>
      </c>
      <c r="H82" s="76" t="s">
        <v>404</v>
      </c>
      <c r="I82" s="55">
        <v>45378.686643518522</v>
      </c>
    </row>
    <row r="83" spans="1:9" ht="45" x14ac:dyDescent="0.25">
      <c r="A83" s="49" t="s">
        <v>198</v>
      </c>
      <c r="B83" s="50" t="s">
        <v>395</v>
      </c>
      <c r="C83" s="48">
        <v>2001049</v>
      </c>
      <c r="D83" s="75" t="s">
        <v>272</v>
      </c>
      <c r="E83" s="62">
        <v>542109.96</v>
      </c>
      <c r="F83" s="62">
        <v>0</v>
      </c>
      <c r="G83" s="62">
        <v>542109.96</v>
      </c>
      <c r="H83" s="76" t="s">
        <v>396</v>
      </c>
      <c r="I83" s="55">
        <v>45383.729710648149</v>
      </c>
    </row>
    <row r="84" spans="1:9" ht="45" x14ac:dyDescent="0.25">
      <c r="A84" s="49" t="s">
        <v>259</v>
      </c>
      <c r="B84" s="50" t="s">
        <v>395</v>
      </c>
      <c r="C84" s="48">
        <v>2000722</v>
      </c>
      <c r="D84" s="75" t="s">
        <v>401</v>
      </c>
      <c r="E84" s="62">
        <v>37515.54</v>
      </c>
      <c r="F84" s="62">
        <v>0</v>
      </c>
      <c r="G84" s="62">
        <v>37515.54</v>
      </c>
      <c r="H84" s="76" t="s">
        <v>396</v>
      </c>
      <c r="I84" s="55">
        <v>45384.758553240739</v>
      </c>
    </row>
    <row r="85" spans="1:9" x14ac:dyDescent="0.25">
      <c r="A85" s="49" t="s">
        <v>166</v>
      </c>
      <c r="B85" s="50" t="s">
        <v>395</v>
      </c>
      <c r="C85" s="48">
        <v>78665</v>
      </c>
      <c r="D85" s="75" t="s">
        <v>223</v>
      </c>
      <c r="E85" s="62">
        <v>-3906939.16</v>
      </c>
      <c r="F85" s="62">
        <v>0</v>
      </c>
      <c r="G85" s="62">
        <v>-3906939.16</v>
      </c>
      <c r="H85" s="76" t="s">
        <v>404</v>
      </c>
      <c r="I85" s="55">
        <v>45385.396909722222</v>
      </c>
    </row>
    <row r="86" spans="1:9" x14ac:dyDescent="0.25">
      <c r="A86" s="49" t="s">
        <v>166</v>
      </c>
      <c r="B86" s="50" t="s">
        <v>395</v>
      </c>
      <c r="C86" s="48">
        <v>2000216</v>
      </c>
      <c r="D86" s="75" t="s">
        <v>225</v>
      </c>
      <c r="E86" s="62">
        <v>-9039171.5600000005</v>
      </c>
      <c r="F86" s="62">
        <v>0</v>
      </c>
      <c r="G86" s="62">
        <v>-9039171.5600000005</v>
      </c>
      <c r="H86" s="76" t="s">
        <v>404</v>
      </c>
      <c r="I86" s="55">
        <v>45385.396909722222</v>
      </c>
    </row>
    <row r="87" spans="1:9" x14ac:dyDescent="0.25">
      <c r="A87" s="49" t="s">
        <v>166</v>
      </c>
      <c r="B87" s="50" t="s">
        <v>395</v>
      </c>
      <c r="C87" s="48">
        <v>2000217</v>
      </c>
      <c r="D87" s="75" t="s">
        <v>226</v>
      </c>
      <c r="E87" s="62">
        <v>-4414481.1500000004</v>
      </c>
      <c r="F87" s="62">
        <v>0</v>
      </c>
      <c r="G87" s="62">
        <v>-4414481.1500000004</v>
      </c>
      <c r="H87" s="76" t="s">
        <v>404</v>
      </c>
      <c r="I87" s="55">
        <v>45385</v>
      </c>
    </row>
    <row r="88" spans="1:9" x14ac:dyDescent="0.25">
      <c r="A88" s="49" t="s">
        <v>166</v>
      </c>
      <c r="B88" s="50" t="s">
        <v>395</v>
      </c>
      <c r="C88" s="48">
        <v>2000218</v>
      </c>
      <c r="D88" s="75" t="s">
        <v>227</v>
      </c>
      <c r="E88" s="62">
        <v>3602034.32</v>
      </c>
      <c r="F88" s="62">
        <v>0</v>
      </c>
      <c r="G88" s="62">
        <v>3602034.32</v>
      </c>
      <c r="H88" s="76" t="s">
        <v>404</v>
      </c>
      <c r="I88" s="55">
        <v>45385</v>
      </c>
    </row>
    <row r="89" spans="1:9" ht="45" x14ac:dyDescent="0.25">
      <c r="A89" s="49">
        <v>0</v>
      </c>
      <c r="B89" s="50">
        <v>0</v>
      </c>
      <c r="C89" s="48">
        <v>1000002861</v>
      </c>
      <c r="D89" s="75" t="s">
        <v>360</v>
      </c>
      <c r="E89" s="62">
        <v>1741792</v>
      </c>
      <c r="F89" s="62">
        <v>0</v>
      </c>
      <c r="G89" s="62">
        <v>1741792</v>
      </c>
      <c r="H89" s="76" t="s">
        <v>396</v>
      </c>
      <c r="I89" s="55">
        <v>45386.739224537036</v>
      </c>
    </row>
    <row r="90" spans="1:9" x14ac:dyDescent="0.25">
      <c r="A90" s="49" t="s">
        <v>166</v>
      </c>
      <c r="B90" s="50" t="s">
        <v>395</v>
      </c>
      <c r="C90" s="48">
        <v>78665</v>
      </c>
      <c r="D90" s="75" t="s">
        <v>223</v>
      </c>
      <c r="E90" s="62">
        <v>3529258.74</v>
      </c>
      <c r="F90" s="62">
        <v>0</v>
      </c>
      <c r="G90" s="62">
        <v>3529258.74</v>
      </c>
      <c r="H90" s="76" t="s">
        <v>404</v>
      </c>
      <c r="I90" s="55">
        <v>45387.664479166669</v>
      </c>
    </row>
    <row r="91" spans="1:9" x14ac:dyDescent="0.25">
      <c r="A91" s="49" t="s">
        <v>166</v>
      </c>
      <c r="B91" s="50" t="s">
        <v>395</v>
      </c>
      <c r="C91" s="48">
        <v>1012259</v>
      </c>
      <c r="D91" s="75" t="s">
        <v>284</v>
      </c>
      <c r="E91" s="62">
        <v>122330.12</v>
      </c>
      <c r="F91" s="62">
        <v>0</v>
      </c>
      <c r="G91" s="62">
        <v>122330.12</v>
      </c>
      <c r="H91" s="76" t="s">
        <v>404</v>
      </c>
      <c r="I91" s="55">
        <v>45387.664479166669</v>
      </c>
    </row>
    <row r="92" spans="1:9" x14ac:dyDescent="0.25">
      <c r="A92" s="49" t="s">
        <v>166</v>
      </c>
      <c r="B92" s="50" t="s">
        <v>395</v>
      </c>
      <c r="C92" s="48">
        <v>1012260</v>
      </c>
      <c r="D92" s="75" t="s">
        <v>285</v>
      </c>
      <c r="E92" s="62">
        <v>257539.06</v>
      </c>
      <c r="F92" s="62">
        <v>0</v>
      </c>
      <c r="G92" s="62">
        <v>257539.06</v>
      </c>
      <c r="H92" s="76" t="s">
        <v>404</v>
      </c>
      <c r="I92" s="55">
        <v>45387.664479166669</v>
      </c>
    </row>
    <row r="93" spans="1:9" x14ac:dyDescent="0.25">
      <c r="A93" s="49" t="s">
        <v>166</v>
      </c>
      <c r="B93" s="50" t="s">
        <v>395</v>
      </c>
      <c r="C93" s="48">
        <v>1033545</v>
      </c>
      <c r="D93" s="75" t="s">
        <v>405</v>
      </c>
      <c r="E93" s="62">
        <v>46706.37</v>
      </c>
      <c r="F93" s="62">
        <v>0</v>
      </c>
      <c r="G93" s="62">
        <v>46706.37</v>
      </c>
      <c r="H93" s="76" t="s">
        <v>404</v>
      </c>
      <c r="I93" s="55">
        <v>45387.664479166669</v>
      </c>
    </row>
    <row r="94" spans="1:9" x14ac:dyDescent="0.25">
      <c r="A94" s="49" t="s">
        <v>166</v>
      </c>
      <c r="B94" s="50" t="s">
        <v>395</v>
      </c>
      <c r="C94" s="48">
        <v>1033546</v>
      </c>
      <c r="D94" s="75" t="s">
        <v>405</v>
      </c>
      <c r="E94" s="62">
        <v>19694.52</v>
      </c>
      <c r="F94" s="62">
        <v>0</v>
      </c>
      <c r="G94" s="62">
        <v>19694.52</v>
      </c>
      <c r="H94" s="76" t="s">
        <v>404</v>
      </c>
      <c r="I94" s="55">
        <v>45387.664479166669</v>
      </c>
    </row>
    <row r="95" spans="1:9" x14ac:dyDescent="0.25">
      <c r="A95" s="49" t="s">
        <v>166</v>
      </c>
      <c r="B95" s="50" t="s">
        <v>395</v>
      </c>
      <c r="C95" s="48">
        <v>2000182</v>
      </c>
      <c r="D95" s="75" t="s">
        <v>141</v>
      </c>
      <c r="E95" s="62">
        <v>75086.67</v>
      </c>
      <c r="F95" s="62">
        <v>0</v>
      </c>
      <c r="G95" s="62">
        <v>75086.67</v>
      </c>
      <c r="H95" s="76" t="s">
        <v>404</v>
      </c>
      <c r="I95" s="55">
        <v>45387.664479166669</v>
      </c>
    </row>
    <row r="96" spans="1:9" x14ac:dyDescent="0.25">
      <c r="A96" s="49" t="s">
        <v>166</v>
      </c>
      <c r="B96" s="50" t="s">
        <v>395</v>
      </c>
      <c r="C96" s="48">
        <v>2000183</v>
      </c>
      <c r="D96" s="75" t="s">
        <v>244</v>
      </c>
      <c r="E96" s="62">
        <v>162362.76999999999</v>
      </c>
      <c r="F96" s="62">
        <v>0</v>
      </c>
      <c r="G96" s="62">
        <v>162362.76999999999</v>
      </c>
      <c r="H96" s="76" t="s">
        <v>404</v>
      </c>
      <c r="I96" s="55">
        <v>45387.664479166669</v>
      </c>
    </row>
    <row r="97" spans="1:9" x14ac:dyDescent="0.25">
      <c r="A97" s="49" t="s">
        <v>166</v>
      </c>
      <c r="B97" s="50" t="s">
        <v>395</v>
      </c>
      <c r="C97" s="48">
        <v>2000216</v>
      </c>
      <c r="D97" s="75" t="s">
        <v>225</v>
      </c>
      <c r="E97" s="62">
        <v>4306948.6900000004</v>
      </c>
      <c r="F97" s="62">
        <v>0</v>
      </c>
      <c r="G97" s="62">
        <v>4306948.6900000004</v>
      </c>
      <c r="H97" s="76" t="s">
        <v>404</v>
      </c>
      <c r="I97" s="55">
        <v>45387.664479166669</v>
      </c>
    </row>
    <row r="98" spans="1:9" x14ac:dyDescent="0.25">
      <c r="A98" s="49" t="s">
        <v>166</v>
      </c>
      <c r="B98" s="50" t="s">
        <v>395</v>
      </c>
      <c r="C98" s="48">
        <v>2000217</v>
      </c>
      <c r="D98" s="75" t="s">
        <v>226</v>
      </c>
      <c r="E98" s="62">
        <v>1349325.79</v>
      </c>
      <c r="F98" s="62">
        <v>0</v>
      </c>
      <c r="G98" s="62">
        <v>1349325.79</v>
      </c>
      <c r="H98" s="76" t="s">
        <v>404</v>
      </c>
      <c r="I98" s="55">
        <v>45387.664479166669</v>
      </c>
    </row>
    <row r="99" spans="1:9" x14ac:dyDescent="0.25">
      <c r="A99" s="49" t="s">
        <v>166</v>
      </c>
      <c r="B99" s="50" t="s">
        <v>395</v>
      </c>
      <c r="C99" s="48">
        <v>2000218</v>
      </c>
      <c r="D99" s="75" t="s">
        <v>227</v>
      </c>
      <c r="E99" s="62">
        <v>1333999.6499999999</v>
      </c>
      <c r="F99" s="62">
        <v>0</v>
      </c>
      <c r="G99" s="62">
        <v>1333999.6499999999</v>
      </c>
      <c r="H99" s="76" t="s">
        <v>404</v>
      </c>
      <c r="I99" s="55">
        <v>45387.664479166669</v>
      </c>
    </row>
    <row r="100" spans="1:9" x14ac:dyDescent="0.25">
      <c r="A100" s="49" t="s">
        <v>166</v>
      </c>
      <c r="B100" s="50" t="s">
        <v>395</v>
      </c>
      <c r="C100" s="48">
        <v>2000423</v>
      </c>
      <c r="D100" s="75" t="s">
        <v>178</v>
      </c>
      <c r="E100" s="62">
        <v>20030.91</v>
      </c>
      <c r="F100" s="62">
        <v>0</v>
      </c>
      <c r="G100" s="62">
        <v>20030.91</v>
      </c>
      <c r="H100" s="76" t="s">
        <v>404</v>
      </c>
      <c r="I100" s="55">
        <v>45387.664479166669</v>
      </c>
    </row>
    <row r="101" spans="1:9" x14ac:dyDescent="0.25">
      <c r="A101" s="49" t="s">
        <v>166</v>
      </c>
      <c r="B101" s="50" t="s">
        <v>395</v>
      </c>
      <c r="C101" s="48">
        <v>2000424</v>
      </c>
      <c r="D101" s="75" t="s">
        <v>179</v>
      </c>
      <c r="E101" s="62">
        <v>45351.11</v>
      </c>
      <c r="F101" s="62">
        <v>0</v>
      </c>
      <c r="G101" s="62">
        <v>45351.11</v>
      </c>
      <c r="H101" s="76" t="s">
        <v>404</v>
      </c>
      <c r="I101" s="55">
        <v>45387.664479166669</v>
      </c>
    </row>
    <row r="102" spans="1:9" x14ac:dyDescent="0.25">
      <c r="A102" s="49" t="s">
        <v>166</v>
      </c>
      <c r="B102" s="50" t="s">
        <v>395</v>
      </c>
      <c r="C102" s="48">
        <v>2001046</v>
      </c>
      <c r="D102" s="75" t="s">
        <v>289</v>
      </c>
      <c r="E102" s="62">
        <v>124027.91</v>
      </c>
      <c r="F102" s="62">
        <v>0</v>
      </c>
      <c r="G102" s="62">
        <v>124027.91</v>
      </c>
      <c r="H102" s="76" t="s">
        <v>404</v>
      </c>
      <c r="I102" s="55">
        <v>45387.664479166669</v>
      </c>
    </row>
    <row r="103" spans="1:9" x14ac:dyDescent="0.25">
      <c r="A103" s="49" t="s">
        <v>166</v>
      </c>
      <c r="B103" s="50" t="s">
        <v>395</v>
      </c>
      <c r="C103" s="48">
        <v>2001047</v>
      </c>
      <c r="D103" s="75" t="s">
        <v>288</v>
      </c>
      <c r="E103" s="62">
        <v>57654.1</v>
      </c>
      <c r="F103" s="62">
        <v>0</v>
      </c>
      <c r="G103" s="62">
        <v>57654.1</v>
      </c>
      <c r="H103" s="76" t="s">
        <v>404</v>
      </c>
      <c r="I103" s="55">
        <v>45387.664479166669</v>
      </c>
    </row>
    <row r="104" spans="1:9" ht="45" x14ac:dyDescent="0.25">
      <c r="A104" s="49" t="s">
        <v>198</v>
      </c>
      <c r="B104" s="50" t="s">
        <v>395</v>
      </c>
      <c r="C104" s="48">
        <v>2001049</v>
      </c>
      <c r="D104" s="75" t="s">
        <v>272</v>
      </c>
      <c r="E104" s="62">
        <v>488879.84</v>
      </c>
      <c r="F104" s="62">
        <v>0</v>
      </c>
      <c r="G104" s="62">
        <v>488879.84</v>
      </c>
      <c r="H104" s="76" t="s">
        <v>396</v>
      </c>
      <c r="I104" s="55">
        <v>45387.664479166669</v>
      </c>
    </row>
    <row r="105" spans="1:9" ht="45" x14ac:dyDescent="0.25">
      <c r="A105" s="49" t="s">
        <v>259</v>
      </c>
      <c r="B105" s="50" t="s">
        <v>395</v>
      </c>
      <c r="C105" s="48">
        <v>2000722</v>
      </c>
      <c r="D105" s="75" t="s">
        <v>401</v>
      </c>
      <c r="E105" s="62">
        <v>13846.16</v>
      </c>
      <c r="F105" s="62">
        <v>0</v>
      </c>
      <c r="G105" s="62">
        <v>13846.16</v>
      </c>
      <c r="H105" s="76" t="s">
        <v>396</v>
      </c>
      <c r="I105" s="55">
        <v>45391.73065972222</v>
      </c>
    </row>
    <row r="106" spans="1:9" ht="45" x14ac:dyDescent="0.25">
      <c r="A106" s="49" t="s">
        <v>198</v>
      </c>
      <c r="B106" s="50" t="s">
        <v>395</v>
      </c>
      <c r="C106" s="48">
        <v>2000569</v>
      </c>
      <c r="D106" s="75" t="s">
        <v>400</v>
      </c>
      <c r="E106" s="62">
        <v>1972975.65</v>
      </c>
      <c r="F106" s="62">
        <v>0</v>
      </c>
      <c r="G106" s="62">
        <v>1972975.65</v>
      </c>
      <c r="H106" s="76" t="s">
        <v>396</v>
      </c>
      <c r="I106" s="55">
        <v>45392.746111111112</v>
      </c>
    </row>
    <row r="107" spans="1:9" ht="45" x14ac:dyDescent="0.25">
      <c r="A107" s="49" t="s">
        <v>198</v>
      </c>
      <c r="B107" s="50" t="s">
        <v>395</v>
      </c>
      <c r="C107" s="48">
        <v>1037124</v>
      </c>
      <c r="D107" s="75" t="s">
        <v>63</v>
      </c>
      <c r="E107" s="62">
        <v>353633.8</v>
      </c>
      <c r="F107" s="62">
        <v>0</v>
      </c>
      <c r="G107" s="62">
        <v>353633.8</v>
      </c>
      <c r="H107" s="76" t="s">
        <v>396</v>
      </c>
      <c r="I107" s="55">
        <v>45393.722083333334</v>
      </c>
    </row>
    <row r="108" spans="1:9" x14ac:dyDescent="0.25">
      <c r="A108" s="49" t="s">
        <v>166</v>
      </c>
      <c r="B108" s="50" t="s">
        <v>395</v>
      </c>
      <c r="C108" s="48">
        <v>2000182</v>
      </c>
      <c r="D108" s="75" t="s">
        <v>141</v>
      </c>
      <c r="E108" s="62">
        <v>4939.75</v>
      </c>
      <c r="F108" s="62">
        <v>0</v>
      </c>
      <c r="G108" s="62">
        <v>4939.75</v>
      </c>
      <c r="H108" s="76" t="s">
        <v>404</v>
      </c>
      <c r="I108" s="55">
        <v>45393.722083333334</v>
      </c>
    </row>
    <row r="109" spans="1:9" x14ac:dyDescent="0.25">
      <c r="A109" s="49" t="s">
        <v>166</v>
      </c>
      <c r="B109" s="50" t="s">
        <v>395</v>
      </c>
      <c r="C109" s="48">
        <v>2000183</v>
      </c>
      <c r="D109" s="75" t="s">
        <v>244</v>
      </c>
      <c r="E109" s="62">
        <v>14813.16</v>
      </c>
      <c r="F109" s="62">
        <v>0</v>
      </c>
      <c r="G109" s="62">
        <v>14813.16</v>
      </c>
      <c r="H109" s="76" t="s">
        <v>404</v>
      </c>
      <c r="I109" s="55">
        <v>45393.722083333334</v>
      </c>
    </row>
    <row r="110" spans="1:9" x14ac:dyDescent="0.25">
      <c r="A110" s="49" t="s">
        <v>166</v>
      </c>
      <c r="B110" s="50" t="s">
        <v>395</v>
      </c>
      <c r="C110" s="48">
        <v>2000423</v>
      </c>
      <c r="D110" s="75" t="s">
        <v>178</v>
      </c>
      <c r="E110" s="62">
        <v>-517001.14</v>
      </c>
      <c r="F110" s="62">
        <v>0</v>
      </c>
      <c r="G110" s="62">
        <v>-517001.14</v>
      </c>
      <c r="H110" s="76" t="s">
        <v>404</v>
      </c>
      <c r="I110" s="55">
        <v>45393.722083333334</v>
      </c>
    </row>
    <row r="111" spans="1:9" x14ac:dyDescent="0.25">
      <c r="A111" s="49" t="s">
        <v>166</v>
      </c>
      <c r="B111" s="50" t="s">
        <v>395</v>
      </c>
      <c r="C111" s="48">
        <v>2000424</v>
      </c>
      <c r="D111" s="75" t="s">
        <v>179</v>
      </c>
      <c r="E111" s="62">
        <v>-1027544.14</v>
      </c>
      <c r="F111" s="62">
        <v>0</v>
      </c>
      <c r="G111" s="62">
        <v>-1027544.14</v>
      </c>
      <c r="H111" s="76" t="s">
        <v>404</v>
      </c>
      <c r="I111" s="55">
        <v>45393.722083333334</v>
      </c>
    </row>
    <row r="112" spans="1:9" ht="45" x14ac:dyDescent="0.25">
      <c r="A112" s="49" t="s">
        <v>198</v>
      </c>
      <c r="B112" s="50" t="s">
        <v>395</v>
      </c>
      <c r="C112" s="48">
        <v>1037085</v>
      </c>
      <c r="D112" s="75" t="s">
        <v>343</v>
      </c>
      <c r="E112" s="62">
        <v>2064207.96</v>
      </c>
      <c r="F112" s="62">
        <v>0</v>
      </c>
      <c r="G112" s="62">
        <v>2064207.96</v>
      </c>
      <c r="H112" s="76" t="s">
        <v>396</v>
      </c>
      <c r="I112" s="55">
        <v>45394.65042824074</v>
      </c>
    </row>
    <row r="113" spans="1:9" ht="45" x14ac:dyDescent="0.25">
      <c r="A113" s="49" t="s">
        <v>198</v>
      </c>
      <c r="B113" s="50" t="s">
        <v>395</v>
      </c>
      <c r="C113" s="48">
        <v>1037086</v>
      </c>
      <c r="D113" s="75" t="s">
        <v>407</v>
      </c>
      <c r="E113" s="62">
        <v>4812430.88</v>
      </c>
      <c r="F113" s="62">
        <v>0</v>
      </c>
      <c r="G113" s="62">
        <v>4812430.88</v>
      </c>
      <c r="H113" s="76" t="s">
        <v>396</v>
      </c>
      <c r="I113" s="55">
        <v>45394.65042824074</v>
      </c>
    </row>
    <row r="114" spans="1:9" ht="45" x14ac:dyDescent="0.25">
      <c r="A114" s="49" t="s">
        <v>307</v>
      </c>
      <c r="B114" s="50" t="s">
        <v>395</v>
      </c>
      <c r="C114" s="48">
        <v>1037090</v>
      </c>
      <c r="D114" s="75" t="s">
        <v>309</v>
      </c>
      <c r="E114" s="62">
        <v>719603.28</v>
      </c>
      <c r="F114" s="62">
        <v>0</v>
      </c>
      <c r="G114" s="62">
        <v>719603.28</v>
      </c>
      <c r="H114" s="76" t="s">
        <v>396</v>
      </c>
      <c r="I114" s="55">
        <v>45394.65042824074</v>
      </c>
    </row>
    <row r="115" spans="1:9" ht="45" x14ac:dyDescent="0.25">
      <c r="A115" s="49" t="s">
        <v>198</v>
      </c>
      <c r="B115" s="50" t="s">
        <v>395</v>
      </c>
      <c r="C115" s="48">
        <v>1037113</v>
      </c>
      <c r="D115" s="75" t="s">
        <v>339</v>
      </c>
      <c r="E115" s="62">
        <v>2494079.54</v>
      </c>
      <c r="F115" s="62">
        <v>0</v>
      </c>
      <c r="G115" s="62">
        <v>2494079.54</v>
      </c>
      <c r="H115" s="76" t="s">
        <v>396</v>
      </c>
      <c r="I115" s="55">
        <v>45394.65042824074</v>
      </c>
    </row>
    <row r="116" spans="1:9" ht="45" x14ac:dyDescent="0.25">
      <c r="A116" s="49" t="s">
        <v>198</v>
      </c>
      <c r="B116" s="50" t="s">
        <v>395</v>
      </c>
      <c r="C116" s="48">
        <v>1037117</v>
      </c>
      <c r="D116" s="75" t="s">
        <v>341</v>
      </c>
      <c r="E116" s="62">
        <v>411634.52</v>
      </c>
      <c r="F116" s="62">
        <v>0</v>
      </c>
      <c r="G116" s="62">
        <v>411634.52</v>
      </c>
      <c r="H116" s="76" t="s">
        <v>396</v>
      </c>
      <c r="I116" s="55">
        <v>45394.650439814817</v>
      </c>
    </row>
    <row r="117" spans="1:9" ht="45" x14ac:dyDescent="0.25">
      <c r="A117" s="49" t="s">
        <v>198</v>
      </c>
      <c r="B117" s="50" t="s">
        <v>395</v>
      </c>
      <c r="C117" s="48">
        <v>1037118</v>
      </c>
      <c r="D117" s="75" t="s">
        <v>408</v>
      </c>
      <c r="E117" s="62">
        <v>1349158.58</v>
      </c>
      <c r="F117" s="62">
        <v>0</v>
      </c>
      <c r="G117" s="62">
        <v>1349158.58</v>
      </c>
      <c r="H117" s="76" t="s">
        <v>396</v>
      </c>
      <c r="I117" s="55">
        <v>45394.650439814817</v>
      </c>
    </row>
    <row r="118" spans="1:9" x14ac:dyDescent="0.25">
      <c r="A118" s="49" t="s">
        <v>166</v>
      </c>
      <c r="B118" s="50" t="s">
        <v>395</v>
      </c>
      <c r="C118" s="48">
        <v>2000217</v>
      </c>
      <c r="D118" s="75" t="s">
        <v>226</v>
      </c>
      <c r="E118" s="62">
        <v>-30149.45</v>
      </c>
      <c r="F118" s="62">
        <v>0</v>
      </c>
      <c r="G118" s="62">
        <v>-30149.45</v>
      </c>
      <c r="H118" s="76" t="s">
        <v>404</v>
      </c>
      <c r="I118" s="55">
        <v>45394.650439814817</v>
      </c>
    </row>
    <row r="119" spans="1:9" x14ac:dyDescent="0.25">
      <c r="A119" s="49" t="s">
        <v>166</v>
      </c>
      <c r="B119" s="50" t="s">
        <v>395</v>
      </c>
      <c r="C119" s="48">
        <v>2000218</v>
      </c>
      <c r="D119" s="75" t="s">
        <v>227</v>
      </c>
      <c r="E119" s="62">
        <v>-4939.75</v>
      </c>
      <c r="F119" s="62">
        <v>0</v>
      </c>
      <c r="G119" s="62">
        <v>-4939.75</v>
      </c>
      <c r="H119" s="76" t="s">
        <v>404</v>
      </c>
      <c r="I119" s="55">
        <v>45394.650439814817</v>
      </c>
    </row>
    <row r="120" spans="1:9" x14ac:dyDescent="0.25">
      <c r="A120" s="49" t="s">
        <v>166</v>
      </c>
      <c r="B120" s="50" t="s">
        <v>395</v>
      </c>
      <c r="C120" s="48">
        <v>2000220</v>
      </c>
      <c r="D120" s="75" t="s">
        <v>229</v>
      </c>
      <c r="E120" s="62">
        <v>-90283.26</v>
      </c>
      <c r="F120" s="62">
        <v>0</v>
      </c>
      <c r="G120" s="62">
        <v>-90283.26</v>
      </c>
      <c r="H120" s="76" t="s">
        <v>404</v>
      </c>
      <c r="I120" s="55">
        <v>45394.650439814817</v>
      </c>
    </row>
    <row r="121" spans="1:9" x14ac:dyDescent="0.25">
      <c r="A121" s="49" t="s">
        <v>166</v>
      </c>
      <c r="B121" s="50" t="s">
        <v>395</v>
      </c>
      <c r="C121" s="48">
        <v>2000221</v>
      </c>
      <c r="D121" s="75" t="s">
        <v>230</v>
      </c>
      <c r="E121" s="62">
        <v>-14813.16</v>
      </c>
      <c r="F121" s="62">
        <v>0</v>
      </c>
      <c r="G121" s="62">
        <v>-14813.16</v>
      </c>
      <c r="H121" s="76" t="s">
        <v>404</v>
      </c>
      <c r="I121" s="55">
        <v>45394.650439814817</v>
      </c>
    </row>
    <row r="122" spans="1:9" ht="45" x14ac:dyDescent="0.25">
      <c r="A122" s="49" t="s">
        <v>198</v>
      </c>
      <c r="B122" s="50" t="s">
        <v>395</v>
      </c>
      <c r="C122" s="48">
        <v>2001049</v>
      </c>
      <c r="D122" s="75" t="s">
        <v>272</v>
      </c>
      <c r="E122" s="62">
        <v>992471.08</v>
      </c>
      <c r="F122" s="62">
        <v>0</v>
      </c>
      <c r="G122" s="62">
        <v>992471.08</v>
      </c>
      <c r="H122" s="76" t="s">
        <v>396</v>
      </c>
      <c r="I122" s="55">
        <v>45394.650439814817</v>
      </c>
    </row>
    <row r="123" spans="1:9" ht="45" x14ac:dyDescent="0.25">
      <c r="A123" s="49" t="s">
        <v>198</v>
      </c>
      <c r="B123" s="50" t="s">
        <v>395</v>
      </c>
      <c r="C123" s="48">
        <v>2001050</v>
      </c>
      <c r="D123" s="75" t="s">
        <v>270</v>
      </c>
      <c r="E123" s="62">
        <v>1342934.68</v>
      </c>
      <c r="F123" s="62">
        <v>0</v>
      </c>
      <c r="G123" s="62">
        <v>1342934.68</v>
      </c>
      <c r="H123" s="76" t="s">
        <v>396</v>
      </c>
      <c r="I123" s="55">
        <v>45394.650439814817</v>
      </c>
    </row>
    <row r="124" spans="1:9" ht="45" x14ac:dyDescent="0.25">
      <c r="A124" s="49" t="s">
        <v>307</v>
      </c>
      <c r="B124" s="50" t="s">
        <v>395</v>
      </c>
      <c r="C124" s="48">
        <v>1000003291</v>
      </c>
      <c r="D124" s="75" t="s">
        <v>373</v>
      </c>
      <c r="E124" s="62">
        <v>1472872.78</v>
      </c>
      <c r="F124" s="62">
        <v>0</v>
      </c>
      <c r="G124" s="62">
        <v>1472872.78</v>
      </c>
      <c r="H124" s="76" t="s">
        <v>396</v>
      </c>
      <c r="I124" s="55">
        <v>45394.650439814817</v>
      </c>
    </row>
    <row r="125" spans="1:9" ht="45" x14ac:dyDescent="0.25">
      <c r="A125" s="49" t="s">
        <v>307</v>
      </c>
      <c r="B125" s="50" t="s">
        <v>395</v>
      </c>
      <c r="C125" s="48">
        <v>1000003292</v>
      </c>
      <c r="D125" s="75" t="s">
        <v>374</v>
      </c>
      <c r="E125" s="62">
        <v>235415.54</v>
      </c>
      <c r="F125" s="62">
        <v>0</v>
      </c>
      <c r="G125" s="62">
        <v>235415.54</v>
      </c>
      <c r="H125" s="76" t="s">
        <v>396</v>
      </c>
      <c r="I125" s="55">
        <v>45394.650439814817</v>
      </c>
    </row>
    <row r="126" spans="1:9" ht="45" x14ac:dyDescent="0.25">
      <c r="A126" s="49" t="s">
        <v>307</v>
      </c>
      <c r="B126" s="50" t="s">
        <v>395</v>
      </c>
      <c r="C126" s="48">
        <v>1000003293</v>
      </c>
      <c r="D126" s="75" t="s">
        <v>375</v>
      </c>
      <c r="E126" s="62">
        <v>1691448.94</v>
      </c>
      <c r="F126" s="62">
        <v>0</v>
      </c>
      <c r="G126" s="62">
        <v>1691448.94</v>
      </c>
      <c r="H126" s="76" t="s">
        <v>396</v>
      </c>
      <c r="I126" s="55">
        <v>45394.650439814817</v>
      </c>
    </row>
    <row r="127" spans="1:9" ht="45" x14ac:dyDescent="0.25">
      <c r="A127" s="49" t="s">
        <v>307</v>
      </c>
      <c r="B127" s="50" t="s">
        <v>395</v>
      </c>
      <c r="C127" s="48">
        <v>1000003295</v>
      </c>
      <c r="D127" s="75" t="s">
        <v>377</v>
      </c>
      <c r="E127" s="62">
        <v>127747.52</v>
      </c>
      <c r="F127" s="62">
        <v>0</v>
      </c>
      <c r="G127" s="62">
        <v>127747.52</v>
      </c>
      <c r="H127" s="76" t="s">
        <v>396</v>
      </c>
      <c r="I127" s="55">
        <v>45394.650439814817</v>
      </c>
    </row>
    <row r="128" spans="1:9" ht="45" x14ac:dyDescent="0.25">
      <c r="A128" s="49" t="s">
        <v>307</v>
      </c>
      <c r="B128" s="50" t="s">
        <v>395</v>
      </c>
      <c r="C128" s="48">
        <v>1000003297</v>
      </c>
      <c r="D128" s="75" t="s">
        <v>379</v>
      </c>
      <c r="E128" s="62">
        <v>495640.24</v>
      </c>
      <c r="F128" s="62">
        <v>0</v>
      </c>
      <c r="G128" s="62">
        <v>495640.24</v>
      </c>
      <c r="H128" s="76" t="s">
        <v>396</v>
      </c>
      <c r="I128" s="55">
        <v>45394.650439814817</v>
      </c>
    </row>
    <row r="129" spans="1:9" ht="45" x14ac:dyDescent="0.25">
      <c r="A129" s="49" t="s">
        <v>307</v>
      </c>
      <c r="B129" s="50" t="s">
        <v>395</v>
      </c>
      <c r="C129" s="48">
        <v>1000003298</v>
      </c>
      <c r="D129" s="75" t="s">
        <v>380</v>
      </c>
      <c r="E129" s="62">
        <v>1287842.92</v>
      </c>
      <c r="F129" s="62">
        <v>0</v>
      </c>
      <c r="G129" s="62">
        <v>1287842.92</v>
      </c>
      <c r="H129" s="76" t="s">
        <v>396</v>
      </c>
      <c r="I129" s="55">
        <v>45394.650439814817</v>
      </c>
    </row>
    <row r="130" spans="1:9" ht="45" x14ac:dyDescent="0.25">
      <c r="A130" s="49" t="s">
        <v>307</v>
      </c>
      <c r="B130" s="50">
        <v>0</v>
      </c>
      <c r="C130" s="48">
        <v>1000003299</v>
      </c>
      <c r="D130" s="75" t="s">
        <v>381</v>
      </c>
      <c r="E130" s="62">
        <v>4306110.5199999996</v>
      </c>
      <c r="F130" s="62">
        <v>0</v>
      </c>
      <c r="G130" s="62">
        <v>4306110.5199999996</v>
      </c>
      <c r="H130" s="76" t="s">
        <v>396</v>
      </c>
      <c r="I130" s="55">
        <v>45394.650439814817</v>
      </c>
    </row>
    <row r="131" spans="1:9" ht="45" x14ac:dyDescent="0.25">
      <c r="A131" s="49">
        <v>0</v>
      </c>
      <c r="B131" s="50">
        <v>0</v>
      </c>
      <c r="C131" s="48">
        <v>1000003302</v>
      </c>
      <c r="D131" s="75" t="s">
        <v>384</v>
      </c>
      <c r="E131" s="62">
        <v>6110.72</v>
      </c>
      <c r="F131" s="62">
        <v>0</v>
      </c>
      <c r="G131" s="62">
        <v>6110.72</v>
      </c>
      <c r="H131" s="76" t="s">
        <v>396</v>
      </c>
      <c r="I131" s="55">
        <v>45394.650439814817</v>
      </c>
    </row>
    <row r="132" spans="1:9" x14ac:dyDescent="0.25">
      <c r="A132" s="49"/>
      <c r="B132" s="50"/>
      <c r="C132" s="48"/>
      <c r="D132" s="75"/>
      <c r="E132" s="62"/>
      <c r="F132" s="62"/>
      <c r="G132" s="62"/>
      <c r="H132" s="76"/>
      <c r="I132" s="55"/>
    </row>
    <row r="133" spans="1:9" x14ac:dyDescent="0.25">
      <c r="A133" s="49"/>
      <c r="B133" s="50"/>
      <c r="C133" s="48"/>
      <c r="D133" s="75"/>
      <c r="E133" s="62"/>
      <c r="F133" s="62"/>
      <c r="G133" s="62"/>
      <c r="H133" s="76"/>
      <c r="I133" s="55"/>
    </row>
    <row r="134" spans="1:9" x14ac:dyDescent="0.25">
      <c r="A134" s="49"/>
      <c r="B134" s="50"/>
      <c r="C134" s="48"/>
      <c r="D134" s="75"/>
      <c r="E134" s="62"/>
      <c r="F134" s="62"/>
      <c r="G134" s="62"/>
      <c r="H134" s="76"/>
      <c r="I134" s="55"/>
    </row>
    <row r="135" spans="1:9" x14ac:dyDescent="0.25">
      <c r="A135" s="49"/>
      <c r="B135" s="50"/>
      <c r="C135" s="48"/>
      <c r="D135" s="75"/>
      <c r="E135" s="62"/>
      <c r="F135" s="62"/>
      <c r="G135" s="62"/>
      <c r="H135" s="76"/>
      <c r="I135" s="55"/>
    </row>
    <row r="136" spans="1:9" x14ac:dyDescent="0.25">
      <c r="A136" s="60"/>
      <c r="B136" s="61"/>
      <c r="C136" s="50"/>
      <c r="D136" s="51"/>
      <c r="E136" s="62"/>
      <c r="F136" s="63"/>
      <c r="G136" s="53"/>
      <c r="H136" s="54"/>
      <c r="I136" s="55"/>
    </row>
    <row r="137" spans="1:9" x14ac:dyDescent="0.25">
      <c r="A137" s="60"/>
      <c r="B137" s="61"/>
      <c r="C137" s="50"/>
      <c r="D137" s="51"/>
      <c r="E137" s="62"/>
      <c r="F137" s="63"/>
      <c r="G137" s="53"/>
      <c r="H137" s="54"/>
      <c r="I137" s="55"/>
    </row>
    <row r="138" spans="1:9" x14ac:dyDescent="0.25">
      <c r="A138" s="60"/>
      <c r="B138" s="61"/>
      <c r="C138" s="50"/>
      <c r="D138" s="51"/>
      <c r="E138" s="62"/>
      <c r="F138" s="63"/>
      <c r="G138" s="53"/>
      <c r="H138" s="54"/>
      <c r="I138" s="55"/>
    </row>
    <row r="139" spans="1:9" x14ac:dyDescent="0.25">
      <c r="A139" s="60"/>
      <c r="B139" s="61"/>
      <c r="C139" s="50"/>
      <c r="D139" s="51"/>
      <c r="E139" s="62"/>
      <c r="F139" s="63"/>
      <c r="G139" s="53"/>
      <c r="H139" s="54"/>
      <c r="I139" s="55"/>
    </row>
    <row r="140" spans="1:9" x14ac:dyDescent="0.25">
      <c r="A140" s="60"/>
      <c r="B140" s="61"/>
      <c r="C140" s="50"/>
      <c r="D140" s="51"/>
      <c r="E140" s="62"/>
      <c r="F140" s="63"/>
      <c r="G140" s="53"/>
      <c r="H140" s="54"/>
      <c r="I140" s="55"/>
    </row>
    <row r="141" spans="1:9" x14ac:dyDescent="0.25">
      <c r="A141" s="60"/>
      <c r="B141" s="61"/>
      <c r="C141" s="50"/>
      <c r="D141" s="51"/>
      <c r="E141" s="62"/>
      <c r="F141" s="63"/>
      <c r="G141" s="53"/>
      <c r="H141" s="54"/>
      <c r="I141" s="55"/>
    </row>
    <row r="142" spans="1:9" x14ac:dyDescent="0.25">
      <c r="A142" s="60"/>
      <c r="B142" s="61"/>
      <c r="C142" s="50"/>
      <c r="D142" s="51"/>
      <c r="E142" s="62"/>
      <c r="F142" s="63"/>
      <c r="G142" s="53"/>
      <c r="H142" s="54"/>
      <c r="I142" s="55"/>
    </row>
    <row r="143" spans="1:9" x14ac:dyDescent="0.25">
      <c r="A143" s="60"/>
      <c r="B143" s="61"/>
      <c r="C143" s="50"/>
      <c r="D143" s="51"/>
      <c r="E143" s="62"/>
      <c r="F143" s="63"/>
      <c r="G143" s="53"/>
      <c r="H143" s="54"/>
      <c r="I143" s="55"/>
    </row>
    <row r="144" spans="1:9" x14ac:dyDescent="0.25">
      <c r="A144" s="60"/>
      <c r="B144" s="61"/>
      <c r="C144" s="50"/>
      <c r="D144" s="51"/>
      <c r="E144" s="62"/>
      <c r="F144" s="63"/>
      <c r="G144" s="53"/>
      <c r="H144" s="54"/>
      <c r="I144" s="55"/>
    </row>
    <row r="145" spans="1:9" x14ac:dyDescent="0.25">
      <c r="A145" s="60"/>
      <c r="B145" s="61"/>
      <c r="C145" s="50"/>
      <c r="D145" s="51"/>
      <c r="E145" s="62"/>
      <c r="F145" s="63"/>
      <c r="G145" s="53"/>
      <c r="H145" s="54"/>
      <c r="I145" s="55"/>
    </row>
    <row r="146" spans="1:9" x14ac:dyDescent="0.25">
      <c r="A146" s="60"/>
      <c r="B146" s="61"/>
      <c r="C146" s="50"/>
      <c r="D146" s="51"/>
      <c r="E146" s="62"/>
      <c r="F146" s="63"/>
      <c r="G146" s="53"/>
      <c r="H146" s="54"/>
      <c r="I146" s="55"/>
    </row>
    <row r="147" spans="1:9" x14ac:dyDescent="0.25">
      <c r="A147" s="60"/>
      <c r="B147" s="61"/>
      <c r="C147" s="50"/>
      <c r="D147" s="51"/>
      <c r="E147" s="62"/>
      <c r="F147" s="63"/>
      <c r="G147" s="53"/>
      <c r="H147" s="54"/>
      <c r="I147" s="55"/>
    </row>
    <row r="148" spans="1:9" x14ac:dyDescent="0.25">
      <c r="A148" s="60"/>
      <c r="B148" s="61"/>
      <c r="C148" s="50"/>
      <c r="D148" s="51"/>
      <c r="E148" s="62"/>
      <c r="F148" s="63"/>
      <c r="G148" s="53"/>
      <c r="H148" s="54"/>
      <c r="I148" s="55"/>
    </row>
    <row r="149" spans="1:9" x14ac:dyDescent="0.25">
      <c r="A149" s="60"/>
      <c r="B149" s="61"/>
      <c r="C149" s="50"/>
      <c r="D149" s="51"/>
      <c r="E149" s="62"/>
      <c r="F149" s="63"/>
      <c r="G149" s="53"/>
      <c r="H149" s="54"/>
      <c r="I149" s="55"/>
    </row>
    <row r="150" spans="1:9" x14ac:dyDescent="0.25">
      <c r="A150" s="60"/>
      <c r="B150" s="61"/>
      <c r="C150" s="50"/>
      <c r="D150" s="51"/>
      <c r="E150" s="62"/>
      <c r="F150" s="63"/>
      <c r="G150" s="53"/>
      <c r="H150" s="54"/>
      <c r="I150" s="55"/>
    </row>
    <row r="151" spans="1:9" x14ac:dyDescent="0.25">
      <c r="A151" s="60"/>
      <c r="B151" s="61"/>
      <c r="C151" s="50"/>
      <c r="D151" s="51"/>
      <c r="E151" s="62"/>
      <c r="F151" s="63"/>
      <c r="G151" s="53"/>
      <c r="H151" s="54"/>
      <c r="I151" s="55"/>
    </row>
    <row r="152" spans="1:9" x14ac:dyDescent="0.25">
      <c r="A152" s="2"/>
      <c r="B152" s="2"/>
      <c r="D152" s="3"/>
      <c r="E152" s="2"/>
      <c r="F152" s="2"/>
      <c r="G152" s="2"/>
      <c r="H152" s="2"/>
    </row>
    <row r="153" spans="1:9" x14ac:dyDescent="0.25">
      <c r="A153" s="2"/>
      <c r="B153" s="2"/>
      <c r="E153" s="2"/>
      <c r="F153" s="2"/>
      <c r="G153" s="2"/>
      <c r="H153" s="2"/>
    </row>
    <row r="154" spans="1:9" x14ac:dyDescent="0.25">
      <c r="A154" s="2"/>
      <c r="B154" s="2"/>
      <c r="D154" s="3"/>
      <c r="E154" s="2"/>
      <c r="F154" s="2"/>
      <c r="G154" s="2"/>
      <c r="H154" s="2"/>
    </row>
    <row r="155" spans="1:9" x14ac:dyDescent="0.25">
      <c r="A155" s="2"/>
      <c r="B155" s="2"/>
      <c r="E155" s="2"/>
      <c r="F155" s="2"/>
      <c r="G155" s="2"/>
      <c r="H155" s="2"/>
    </row>
    <row r="156" spans="1:9" x14ac:dyDescent="0.25">
      <c r="A156" s="2"/>
      <c r="B156" s="2"/>
      <c r="D156" s="3"/>
      <c r="E156" s="2"/>
      <c r="F156" s="2"/>
      <c r="G156" s="2"/>
      <c r="H156" s="2"/>
    </row>
    <row r="157" spans="1:9" x14ac:dyDescent="0.25">
      <c r="A157" s="2"/>
      <c r="B157" s="2"/>
      <c r="E157" s="2"/>
      <c r="F157" s="2"/>
      <c r="G157" s="2"/>
      <c r="H157" s="2"/>
    </row>
    <row r="158" spans="1:9" x14ac:dyDescent="0.25">
      <c r="A158" s="2"/>
      <c r="B158" s="2"/>
      <c r="D158" s="3"/>
      <c r="E158" s="2"/>
      <c r="F158" s="2"/>
      <c r="G158" s="2"/>
      <c r="H158" s="2"/>
    </row>
    <row r="159" spans="1:9" x14ac:dyDescent="0.25">
      <c r="A159" s="2"/>
      <c r="B159" s="2"/>
      <c r="E159" s="2"/>
      <c r="F159" s="2"/>
      <c r="G159" s="2"/>
      <c r="H159" s="2"/>
    </row>
    <row r="160" spans="1:9" x14ac:dyDescent="0.25">
      <c r="A160" s="2"/>
      <c r="B160" s="2"/>
      <c r="D160" s="3"/>
      <c r="E160" s="2"/>
      <c r="F160" s="2"/>
      <c r="G160" s="2"/>
      <c r="H160" s="2"/>
    </row>
    <row r="161" spans="1:8" x14ac:dyDescent="0.25">
      <c r="A161" s="2"/>
      <c r="B161" s="2"/>
      <c r="E161" s="2"/>
      <c r="F161" s="2"/>
      <c r="G161" s="2"/>
      <c r="H161" s="2"/>
    </row>
    <row r="162" spans="1:8" x14ac:dyDescent="0.25">
      <c r="A162" s="2"/>
      <c r="B162" s="2"/>
      <c r="D162" s="3"/>
      <c r="E162" s="2"/>
      <c r="F162" s="2"/>
      <c r="G162" s="2"/>
      <c r="H162" s="2"/>
    </row>
    <row r="163" spans="1:8" x14ac:dyDescent="0.25">
      <c r="A163" s="2"/>
      <c r="B163" s="2"/>
      <c r="E163" s="2"/>
      <c r="F163" s="2"/>
      <c r="G163" s="2"/>
      <c r="H163" s="2"/>
    </row>
    <row r="164" spans="1:8" x14ac:dyDescent="0.25">
      <c r="A164" s="2"/>
      <c r="B164" s="2"/>
      <c r="D164" s="3"/>
      <c r="E164" s="2"/>
      <c r="F164" s="2"/>
      <c r="G164" s="2"/>
      <c r="H164" s="2"/>
    </row>
    <row r="165" spans="1:8" x14ac:dyDescent="0.25">
      <c r="A165" s="2"/>
      <c r="B165" s="2"/>
      <c r="E165" s="2"/>
      <c r="F165" s="2"/>
      <c r="G165" s="2"/>
      <c r="H165" s="2"/>
    </row>
    <row r="166" spans="1:8" x14ac:dyDescent="0.25">
      <c r="A166" s="2"/>
      <c r="B166" s="2"/>
      <c r="D166" s="3"/>
      <c r="E166" s="2"/>
      <c r="F166" s="2"/>
      <c r="G166" s="2"/>
      <c r="H166" s="2"/>
    </row>
    <row r="167" spans="1:8" x14ac:dyDescent="0.25">
      <c r="A167" s="2"/>
      <c r="B167" s="2"/>
      <c r="E167" s="2"/>
      <c r="F167" s="2"/>
      <c r="G167" s="2"/>
      <c r="H167" s="2"/>
    </row>
    <row r="168" spans="1:8" x14ac:dyDescent="0.25">
      <c r="A168" s="2"/>
      <c r="B168" s="2"/>
      <c r="D168" s="3"/>
      <c r="E168" s="2"/>
      <c r="F168" s="2"/>
      <c r="G168" s="2"/>
      <c r="H168" s="2"/>
    </row>
    <row r="169" spans="1:8" x14ac:dyDescent="0.25">
      <c r="A169" s="2"/>
      <c r="B169" s="2"/>
      <c r="E169" s="2"/>
      <c r="F169" s="2"/>
      <c r="G169" s="2"/>
      <c r="H169" s="2"/>
    </row>
    <row r="170" spans="1:8" x14ac:dyDescent="0.25">
      <c r="A170" s="2"/>
      <c r="B170" s="2"/>
      <c r="D170" s="3"/>
      <c r="E170" s="2"/>
      <c r="F170" s="2"/>
      <c r="G170" s="2"/>
      <c r="H170" s="2"/>
    </row>
    <row r="171" spans="1:8" x14ac:dyDescent="0.25">
      <c r="A171" s="2"/>
      <c r="B171" s="2"/>
      <c r="E171" s="2"/>
      <c r="F171" s="2"/>
      <c r="G171" s="2"/>
      <c r="H171" s="2"/>
    </row>
    <row r="172" spans="1:8" x14ac:dyDescent="0.25">
      <c r="A172" s="2"/>
      <c r="B172" s="2"/>
      <c r="D172" s="3"/>
      <c r="E172" s="2"/>
      <c r="F172" s="2"/>
      <c r="G172" s="2"/>
      <c r="H172" s="2"/>
    </row>
    <row r="173" spans="1:8" x14ac:dyDescent="0.25">
      <c r="A173" s="2"/>
      <c r="B173" s="2"/>
      <c r="E173" s="2"/>
      <c r="F173" s="2"/>
      <c r="G173" s="2"/>
      <c r="H173" s="2"/>
    </row>
    <row r="174" spans="1:8" x14ac:dyDescent="0.25">
      <c r="A174" s="2"/>
      <c r="B174" s="2"/>
      <c r="D174" s="3"/>
      <c r="E174" s="2"/>
      <c r="F174" s="2"/>
      <c r="G174" s="2"/>
      <c r="H174" s="2"/>
    </row>
    <row r="175" spans="1:8" x14ac:dyDescent="0.25">
      <c r="A175" s="2"/>
      <c r="B175" s="2"/>
      <c r="E175" s="2"/>
      <c r="F175" s="2"/>
      <c r="G175" s="2"/>
      <c r="H175" s="2"/>
    </row>
    <row r="176" spans="1:8" x14ac:dyDescent="0.25">
      <c r="A176" s="2"/>
      <c r="B176" s="2"/>
      <c r="D176" s="3"/>
      <c r="E176" s="2"/>
      <c r="F176" s="2"/>
      <c r="G176" s="2"/>
      <c r="H176" s="2"/>
    </row>
    <row r="177" spans="1:8" x14ac:dyDescent="0.25">
      <c r="A177" s="2"/>
      <c r="B177" s="2"/>
      <c r="E177" s="2"/>
      <c r="F177" s="2"/>
      <c r="G177" s="2"/>
      <c r="H177" s="2"/>
    </row>
    <row r="178" spans="1:8" x14ac:dyDescent="0.25">
      <c r="A178" s="2"/>
      <c r="B178" s="2"/>
      <c r="D178" s="3"/>
      <c r="E178" s="2"/>
      <c r="F178" s="2"/>
      <c r="G178" s="2"/>
      <c r="H178" s="2"/>
    </row>
    <row r="179" spans="1:8" x14ac:dyDescent="0.25">
      <c r="A179" s="2"/>
      <c r="B179" s="2"/>
      <c r="E179" s="2"/>
      <c r="F179" s="2"/>
      <c r="G179" s="2"/>
      <c r="H179" s="2"/>
    </row>
    <row r="180" spans="1:8" x14ac:dyDescent="0.25">
      <c r="A180" s="2"/>
      <c r="B180" s="2"/>
      <c r="D180" s="3"/>
      <c r="E180" s="2"/>
      <c r="F180" s="2"/>
      <c r="G180" s="2"/>
      <c r="H180" s="2"/>
    </row>
    <row r="181" spans="1:8" x14ac:dyDescent="0.25">
      <c r="A181" s="2"/>
      <c r="B181" s="2"/>
      <c r="E181" s="2"/>
      <c r="F181" s="2"/>
      <c r="G181" s="2"/>
      <c r="H181" s="2"/>
    </row>
    <row r="182" spans="1:8" x14ac:dyDescent="0.25">
      <c r="A182" s="2"/>
      <c r="B182" s="2"/>
      <c r="D182" s="3"/>
      <c r="E182" s="2"/>
      <c r="F182" s="2"/>
      <c r="G182" s="2"/>
      <c r="H182" s="2"/>
    </row>
    <row r="183" spans="1:8" x14ac:dyDescent="0.25">
      <c r="A183" s="2"/>
      <c r="B183" s="2"/>
      <c r="E183" s="2"/>
      <c r="F183" s="2"/>
      <c r="G183" s="2"/>
      <c r="H183" s="2"/>
    </row>
    <row r="184" spans="1:8" x14ac:dyDescent="0.25">
      <c r="A184" s="2"/>
      <c r="B184" s="2"/>
      <c r="D184" s="3"/>
      <c r="E184" s="2"/>
      <c r="F184" s="2"/>
      <c r="G184" s="2"/>
      <c r="H184" s="2"/>
    </row>
    <row r="185" spans="1:8" x14ac:dyDescent="0.25">
      <c r="A185" s="2"/>
      <c r="B185" s="2"/>
      <c r="E185" s="2"/>
      <c r="F185" s="2"/>
      <c r="G185" s="2"/>
      <c r="H185" s="2"/>
    </row>
    <row r="186" spans="1:8" x14ac:dyDescent="0.25">
      <c r="A186" s="2"/>
      <c r="B186" s="2"/>
      <c r="D186" s="3"/>
      <c r="E186" s="2"/>
      <c r="F186" s="2"/>
      <c r="G186" s="2"/>
      <c r="H186" s="2"/>
    </row>
    <row r="187" spans="1:8" x14ac:dyDescent="0.25">
      <c r="A187" s="2"/>
      <c r="B187" s="2"/>
      <c r="E187" s="2"/>
      <c r="F187" s="2"/>
      <c r="G187" s="2"/>
      <c r="H187" s="2"/>
    </row>
    <row r="188" spans="1:8" x14ac:dyDescent="0.25">
      <c r="A188" s="2"/>
      <c r="B188" s="2"/>
      <c r="D188" s="3"/>
      <c r="E188" s="2"/>
      <c r="F188" s="2"/>
      <c r="G188" s="2"/>
      <c r="H188" s="2"/>
    </row>
    <row r="189" spans="1:8" x14ac:dyDescent="0.25">
      <c r="A189" s="2"/>
      <c r="B189" s="2"/>
      <c r="E189" s="2"/>
      <c r="F189" s="2"/>
      <c r="G189" s="2"/>
      <c r="H189" s="2"/>
    </row>
    <row r="190" spans="1:8" x14ac:dyDescent="0.25">
      <c r="A190" s="2"/>
      <c r="B190" s="2"/>
      <c r="D190" s="3"/>
      <c r="E190" s="2"/>
      <c r="F190" s="2"/>
      <c r="G190" s="2"/>
      <c r="H190" s="2"/>
    </row>
    <row r="191" spans="1:8" x14ac:dyDescent="0.25">
      <c r="A191" s="2"/>
      <c r="B191" s="2"/>
      <c r="E191" s="2"/>
      <c r="F191" s="2"/>
      <c r="G191" s="2"/>
      <c r="H191" s="2"/>
    </row>
    <row r="192" spans="1:8" x14ac:dyDescent="0.25">
      <c r="A192" s="2"/>
      <c r="B192" s="2"/>
      <c r="D192" s="3"/>
      <c r="E192" s="2"/>
      <c r="F192" s="2"/>
      <c r="G192" s="2"/>
      <c r="H192" s="2"/>
    </row>
    <row r="193" spans="1:8" x14ac:dyDescent="0.25">
      <c r="A193" s="2"/>
      <c r="B193" s="2"/>
      <c r="E193" s="2"/>
      <c r="F193" s="2"/>
      <c r="G193" s="2"/>
      <c r="H193" s="2"/>
    </row>
    <row r="194" spans="1:8" x14ac:dyDescent="0.25">
      <c r="A194" s="2"/>
      <c r="B194" s="2"/>
      <c r="D194" s="3"/>
      <c r="E194" s="2"/>
      <c r="F194" s="2"/>
      <c r="G194" s="2"/>
      <c r="H194" s="2"/>
    </row>
    <row r="195" spans="1:8" x14ac:dyDescent="0.25">
      <c r="A195" s="2"/>
      <c r="B195" s="2"/>
      <c r="E195" s="2"/>
      <c r="F195" s="2"/>
      <c r="G195" s="2"/>
      <c r="H195" s="2"/>
    </row>
    <row r="196" spans="1:8" x14ac:dyDescent="0.25">
      <c r="A196" s="2"/>
      <c r="B196" s="2"/>
      <c r="D196" s="3"/>
      <c r="E196" s="2"/>
      <c r="F196" s="2"/>
      <c r="G196" s="2"/>
      <c r="H196" s="2"/>
    </row>
    <row r="197" spans="1:8" x14ac:dyDescent="0.25">
      <c r="A197" s="2"/>
      <c r="B197" s="2"/>
      <c r="E197" s="2"/>
      <c r="F197" s="2"/>
      <c r="G197" s="2"/>
      <c r="H197" s="2"/>
    </row>
    <row r="198" spans="1:8" x14ac:dyDescent="0.25">
      <c r="A198" s="2"/>
      <c r="B198" s="2"/>
      <c r="D198" s="3"/>
      <c r="E198" s="2"/>
      <c r="F198" s="2"/>
      <c r="G198" s="2"/>
      <c r="H198" s="2"/>
    </row>
    <row r="199" spans="1:8" x14ac:dyDescent="0.25">
      <c r="A199" s="2"/>
      <c r="B199" s="2"/>
      <c r="E199" s="2"/>
      <c r="F199" s="2"/>
      <c r="G199" s="2"/>
      <c r="H199" s="2"/>
    </row>
    <row r="200" spans="1:8" x14ac:dyDescent="0.25">
      <c r="A200" s="2"/>
      <c r="B200" s="2"/>
      <c r="D200" s="3"/>
      <c r="E200" s="2"/>
      <c r="F200" s="2"/>
      <c r="G200" s="2"/>
      <c r="H200" s="2"/>
    </row>
    <row r="201" spans="1:8" x14ac:dyDescent="0.25">
      <c r="A201" s="2"/>
      <c r="B201" s="2"/>
      <c r="E201" s="2"/>
      <c r="F201" s="2"/>
      <c r="G201" s="2"/>
      <c r="H201" s="2"/>
    </row>
    <row r="202" spans="1:8" x14ac:dyDescent="0.25">
      <c r="A202" s="2"/>
      <c r="B202" s="2"/>
      <c r="D202" s="3"/>
      <c r="E202" s="2"/>
      <c r="F202" s="2"/>
      <c r="G202" s="2"/>
      <c r="H202" s="2"/>
    </row>
    <row r="203" spans="1:8" x14ac:dyDescent="0.25">
      <c r="A203" s="2"/>
      <c r="B203" s="2"/>
      <c r="E203" s="2"/>
      <c r="F203" s="2"/>
      <c r="G203" s="2"/>
      <c r="H203" s="2"/>
    </row>
    <row r="204" spans="1:8" x14ac:dyDescent="0.25">
      <c r="A204" s="2"/>
      <c r="B204" s="2"/>
      <c r="D204" s="3"/>
      <c r="E204" s="2"/>
      <c r="F204" s="2"/>
      <c r="G204" s="2"/>
      <c r="H204" s="2"/>
    </row>
    <row r="205" spans="1:8" x14ac:dyDescent="0.25">
      <c r="A205" s="2"/>
      <c r="B205" s="2"/>
      <c r="E205" s="2"/>
      <c r="F205" s="2"/>
      <c r="G205" s="2"/>
      <c r="H205" s="2"/>
    </row>
    <row r="206" spans="1:8" x14ac:dyDescent="0.25">
      <c r="A206" s="2"/>
      <c r="B206" s="2"/>
      <c r="D206" s="3"/>
      <c r="E206" s="2"/>
      <c r="F206" s="2"/>
      <c r="G206" s="2"/>
      <c r="H206" s="2"/>
    </row>
    <row r="207" spans="1:8" x14ac:dyDescent="0.25">
      <c r="A207" s="2"/>
      <c r="B207" s="2"/>
      <c r="E207" s="2"/>
      <c r="F207" s="2"/>
      <c r="G207" s="2"/>
      <c r="H207" s="2"/>
    </row>
    <row r="208" spans="1:8" x14ac:dyDescent="0.25">
      <c r="A208" s="2"/>
      <c r="B208" s="2"/>
      <c r="D208" s="3"/>
      <c r="E208" s="2"/>
      <c r="F208" s="2"/>
      <c r="G208" s="2"/>
      <c r="H208" s="2"/>
    </row>
    <row r="209" spans="1:8" x14ac:dyDescent="0.25">
      <c r="A209" s="2"/>
      <c r="B209" s="2"/>
      <c r="E209" s="2"/>
      <c r="F209" s="2"/>
      <c r="G209" s="2"/>
      <c r="H209" s="2"/>
    </row>
    <row r="210" spans="1:8" x14ac:dyDescent="0.25">
      <c r="A210" s="2"/>
      <c r="B210" s="2"/>
      <c r="D210" s="3"/>
      <c r="E210" s="2"/>
      <c r="F210" s="2"/>
      <c r="G210" s="2"/>
      <c r="H210" s="2"/>
    </row>
    <row r="211" spans="1:8" x14ac:dyDescent="0.25">
      <c r="A211" s="2"/>
      <c r="B211" s="2"/>
      <c r="E211" s="2"/>
      <c r="F211" s="2"/>
      <c r="G211" s="2"/>
      <c r="H211" s="2"/>
    </row>
    <row r="212" spans="1:8" x14ac:dyDescent="0.25">
      <c r="A212" s="2"/>
      <c r="B212" s="2"/>
      <c r="D212" s="3"/>
      <c r="E212" s="2"/>
      <c r="F212" s="2"/>
      <c r="G212" s="2"/>
      <c r="H212" s="2"/>
    </row>
    <row r="213" spans="1:8" x14ac:dyDescent="0.25">
      <c r="A213" s="2"/>
      <c r="B213" s="2"/>
      <c r="E213" s="2"/>
      <c r="F213" s="2"/>
      <c r="G213" s="2"/>
      <c r="H213" s="2"/>
    </row>
    <row r="214" spans="1:8" x14ac:dyDescent="0.25">
      <c r="A214" s="2"/>
      <c r="B214" s="2"/>
      <c r="D214" s="3"/>
      <c r="E214" s="2"/>
      <c r="F214" s="2"/>
      <c r="G214" s="2"/>
      <c r="H214" s="2"/>
    </row>
    <row r="215" spans="1:8" x14ac:dyDescent="0.25">
      <c r="A215" s="2"/>
      <c r="B215" s="2"/>
      <c r="E215" s="2"/>
      <c r="F215" s="2"/>
      <c r="G215" s="2"/>
      <c r="H215" s="2"/>
    </row>
    <row r="216" spans="1:8" x14ac:dyDescent="0.25">
      <c r="A216" s="2"/>
      <c r="B216" s="2"/>
      <c r="D216" s="3"/>
      <c r="E216" s="2"/>
      <c r="F216" s="2"/>
      <c r="G216" s="2"/>
      <c r="H216" s="2"/>
    </row>
    <row r="217" spans="1:8" x14ac:dyDescent="0.25">
      <c r="A217" s="2"/>
      <c r="B217" s="2"/>
      <c r="E217" s="2"/>
      <c r="F217" s="2"/>
      <c r="G217" s="2"/>
      <c r="H217" s="2"/>
    </row>
    <row r="218" spans="1:8" x14ac:dyDescent="0.25">
      <c r="A218" s="2"/>
      <c r="B218" s="2"/>
      <c r="D218" s="3"/>
      <c r="E218" s="2"/>
      <c r="F218" s="2"/>
      <c r="G218" s="2"/>
      <c r="H218" s="2"/>
    </row>
    <row r="219" spans="1:8" x14ac:dyDescent="0.25">
      <c r="A219" s="2"/>
      <c r="B219" s="2"/>
      <c r="E219" s="2"/>
      <c r="F219" s="2"/>
      <c r="G219" s="2"/>
      <c r="H219" s="2"/>
    </row>
    <row r="220" spans="1:8" x14ac:dyDescent="0.25">
      <c r="A220" s="2"/>
      <c r="B220" s="2"/>
      <c r="D220" s="3"/>
      <c r="E220" s="2"/>
      <c r="F220" s="2"/>
      <c r="G220" s="2"/>
      <c r="H220" s="2"/>
    </row>
    <row r="221" spans="1:8" x14ac:dyDescent="0.25">
      <c r="A221" s="2"/>
      <c r="B221" s="2"/>
      <c r="E221" s="2"/>
      <c r="F221" s="2"/>
      <c r="G221" s="2"/>
      <c r="H221" s="2"/>
    </row>
    <row r="222" spans="1:8" x14ac:dyDescent="0.25">
      <c r="A222" s="2"/>
      <c r="B222" s="2"/>
      <c r="D222" s="3"/>
      <c r="E222" s="2"/>
      <c r="F222" s="2"/>
      <c r="G222" s="2"/>
      <c r="H222" s="2"/>
    </row>
    <row r="223" spans="1:8" x14ac:dyDescent="0.25">
      <c r="A223" s="2"/>
      <c r="B223" s="2"/>
      <c r="E223" s="2"/>
      <c r="F223" s="2"/>
      <c r="G223" s="2"/>
      <c r="H223" s="2"/>
    </row>
    <row r="224" spans="1:8" x14ac:dyDescent="0.25">
      <c r="A224" s="2"/>
      <c r="B224" s="2"/>
      <c r="D224" s="3"/>
      <c r="E224" s="2"/>
      <c r="F224" s="2"/>
      <c r="G224" s="2"/>
      <c r="H224" s="2"/>
    </row>
    <row r="225" spans="1:8" x14ac:dyDescent="0.25">
      <c r="A225" s="2"/>
      <c r="B225" s="2"/>
      <c r="E225" s="2"/>
      <c r="F225" s="2"/>
      <c r="G225" s="2"/>
      <c r="H225" s="2"/>
    </row>
    <row r="226" spans="1:8" x14ac:dyDescent="0.25">
      <c r="A226" s="2"/>
      <c r="B226" s="2"/>
      <c r="D226" s="3"/>
      <c r="E226" s="2"/>
      <c r="F226" s="2"/>
      <c r="G226" s="2"/>
      <c r="H226" s="2"/>
    </row>
    <row r="227" spans="1:8" x14ac:dyDescent="0.25">
      <c r="A227" s="2"/>
      <c r="B227" s="2"/>
      <c r="E227" s="2"/>
      <c r="F227" s="2"/>
      <c r="G227" s="2"/>
      <c r="H227" s="2"/>
    </row>
    <row r="228" spans="1:8" x14ac:dyDescent="0.25">
      <c r="A228" s="2"/>
      <c r="B228" s="2"/>
      <c r="D228" s="3"/>
      <c r="E228" s="2"/>
      <c r="F228" s="2"/>
      <c r="G228" s="2"/>
      <c r="H228" s="2"/>
    </row>
    <row r="229" spans="1:8" x14ac:dyDescent="0.25">
      <c r="A229" s="2"/>
      <c r="B229" s="2"/>
      <c r="E229" s="2"/>
      <c r="F229" s="2"/>
      <c r="G229" s="2"/>
      <c r="H229" s="2"/>
    </row>
    <row r="230" spans="1:8" x14ac:dyDescent="0.25">
      <c r="A230" s="2"/>
      <c r="B230" s="2"/>
      <c r="D230" s="3"/>
      <c r="E230" s="2"/>
      <c r="F230" s="2"/>
      <c r="G230" s="2"/>
      <c r="H230" s="2"/>
    </row>
    <row r="231" spans="1:8" x14ac:dyDescent="0.25">
      <c r="A231" s="2"/>
      <c r="B231" s="2"/>
      <c r="E231" s="2"/>
      <c r="F231" s="2"/>
      <c r="G231" s="2"/>
      <c r="H231" s="2"/>
    </row>
    <row r="232" spans="1:8" x14ac:dyDescent="0.25">
      <c r="A232" s="2"/>
      <c r="B232" s="2"/>
      <c r="D232" s="3"/>
      <c r="E232" s="2"/>
      <c r="F232" s="2"/>
      <c r="G232" s="2"/>
      <c r="H232" s="2"/>
    </row>
    <row r="233" spans="1:8" x14ac:dyDescent="0.25">
      <c r="A233" s="2"/>
      <c r="B233" s="2"/>
      <c r="E233" s="2"/>
      <c r="F233" s="2"/>
      <c r="G233" s="2"/>
      <c r="H233" s="2"/>
    </row>
    <row r="234" spans="1:8" x14ac:dyDescent="0.25">
      <c r="A234" s="2"/>
      <c r="B234" s="2"/>
      <c r="D234" s="3"/>
      <c r="E234" s="2"/>
      <c r="F234" s="2"/>
      <c r="G234" s="2"/>
      <c r="H234" s="2"/>
    </row>
    <row r="235" spans="1:8" x14ac:dyDescent="0.25">
      <c r="A235" s="2"/>
      <c r="B235" s="2"/>
      <c r="E235" s="2"/>
      <c r="F235" s="2"/>
      <c r="G235" s="2"/>
      <c r="H235" s="2"/>
    </row>
    <row r="236" spans="1:8" x14ac:dyDescent="0.25">
      <c r="A236" s="2"/>
      <c r="B236" s="2"/>
      <c r="D236" s="3"/>
      <c r="E236" s="2"/>
      <c r="F236" s="2"/>
      <c r="G236" s="2"/>
      <c r="H236" s="2"/>
    </row>
    <row r="237" spans="1:8" x14ac:dyDescent="0.25">
      <c r="A237" s="2"/>
      <c r="B237" s="2"/>
      <c r="E237" s="2"/>
      <c r="F237" s="2"/>
      <c r="G237" s="2"/>
      <c r="H237" s="2"/>
    </row>
    <row r="238" spans="1:8" x14ac:dyDescent="0.25">
      <c r="A238" s="2"/>
      <c r="B238" s="2"/>
      <c r="D238" s="3"/>
      <c r="E238" s="2"/>
      <c r="F238" s="2"/>
      <c r="G238" s="2"/>
      <c r="H238" s="2"/>
    </row>
    <row r="239" spans="1:8" x14ac:dyDescent="0.25">
      <c r="A239" s="2"/>
      <c r="B239" s="2"/>
      <c r="E239" s="2"/>
      <c r="F239" s="2"/>
      <c r="G239" s="2"/>
      <c r="H239" s="2"/>
    </row>
    <row r="240" spans="1:8" x14ac:dyDescent="0.25">
      <c r="A240" s="2"/>
      <c r="B240" s="2"/>
      <c r="D240" s="3"/>
      <c r="E240" s="2"/>
      <c r="F240" s="2"/>
      <c r="G240" s="2"/>
      <c r="H240" s="2"/>
    </row>
    <row r="241" spans="1:8" x14ac:dyDescent="0.25">
      <c r="A241" s="2"/>
      <c r="B241" s="2"/>
      <c r="E241" s="2"/>
      <c r="F241" s="2"/>
      <c r="G241" s="2"/>
      <c r="H241" s="2"/>
    </row>
    <row r="242" spans="1:8" x14ac:dyDescent="0.25">
      <c r="A242" s="2"/>
      <c r="B242" s="2"/>
      <c r="D242" s="3"/>
      <c r="E242" s="2"/>
      <c r="F242" s="2"/>
      <c r="G242" s="2"/>
      <c r="H242" s="2"/>
    </row>
    <row r="243" spans="1:8" x14ac:dyDescent="0.25">
      <c r="A243" s="2"/>
      <c r="B243" s="2"/>
      <c r="E243" s="2"/>
      <c r="F243" s="2"/>
      <c r="G243" s="2"/>
      <c r="H243" s="2"/>
    </row>
    <row r="244" spans="1:8" x14ac:dyDescent="0.25">
      <c r="A244" s="2"/>
      <c r="B244" s="2"/>
      <c r="D244" s="3"/>
      <c r="E244" s="2"/>
      <c r="F244" s="2"/>
      <c r="G244" s="2"/>
      <c r="H244" s="2"/>
    </row>
    <row r="245" spans="1:8" x14ac:dyDescent="0.25">
      <c r="A245" s="2"/>
      <c r="B245" s="2"/>
      <c r="E245" s="2"/>
      <c r="F245" s="2"/>
      <c r="G245" s="2"/>
      <c r="H245" s="2"/>
    </row>
    <row r="246" spans="1:8" x14ac:dyDescent="0.25">
      <c r="A246" s="2"/>
      <c r="B246" s="2"/>
      <c r="D246" s="3"/>
      <c r="E246" s="2"/>
      <c r="F246" s="2"/>
      <c r="G246" s="2"/>
      <c r="H246" s="2"/>
    </row>
    <row r="247" spans="1:8" x14ac:dyDescent="0.25">
      <c r="A247" s="2"/>
      <c r="B247" s="2"/>
      <c r="E247" s="2"/>
      <c r="F247" s="2"/>
      <c r="G247" s="2"/>
      <c r="H247" s="2"/>
    </row>
    <row r="248" spans="1:8" x14ac:dyDescent="0.25">
      <c r="A248" s="2"/>
      <c r="B248" s="2"/>
      <c r="D248" s="3"/>
      <c r="E248" s="2"/>
      <c r="F248" s="2"/>
      <c r="G248" s="2"/>
      <c r="H248" s="2"/>
    </row>
    <row r="249" spans="1:8" x14ac:dyDescent="0.25">
      <c r="A249" s="2"/>
      <c r="B249" s="2"/>
      <c r="E249" s="2"/>
      <c r="F249" s="2"/>
      <c r="G249" s="2"/>
      <c r="H249" s="2"/>
    </row>
    <row r="250" spans="1:8" x14ac:dyDescent="0.25">
      <c r="A250" s="2"/>
      <c r="B250" s="2"/>
      <c r="D250" s="3"/>
      <c r="E250" s="2"/>
      <c r="F250" s="2"/>
      <c r="G250" s="2"/>
      <c r="H250" s="2"/>
    </row>
    <row r="251" spans="1:8" x14ac:dyDescent="0.25">
      <c r="A251" s="2"/>
      <c r="B251" s="2"/>
      <c r="E251" s="2"/>
      <c r="F251" s="2"/>
      <c r="G251" s="2"/>
      <c r="H251" s="2"/>
    </row>
    <row r="252" spans="1:8" x14ac:dyDescent="0.25">
      <c r="A252" s="2"/>
      <c r="B252" s="2"/>
      <c r="D252" s="3"/>
      <c r="E252" s="2"/>
      <c r="F252" s="2"/>
      <c r="G252" s="2"/>
      <c r="H252" s="2"/>
    </row>
    <row r="253" spans="1:8" x14ac:dyDescent="0.25">
      <c r="A253" s="2"/>
      <c r="B253" s="2"/>
      <c r="E253" s="2"/>
      <c r="F253" s="2"/>
      <c r="G253" s="2"/>
      <c r="H253" s="2"/>
    </row>
    <row r="254" spans="1:8" x14ac:dyDescent="0.25">
      <c r="A254" s="2"/>
      <c r="B254" s="2"/>
      <c r="D254" s="3"/>
      <c r="E254" s="2"/>
      <c r="F254" s="2"/>
      <c r="G254" s="2"/>
      <c r="H254" s="2"/>
    </row>
    <row r="255" spans="1:8" x14ac:dyDescent="0.25">
      <c r="A255" s="2"/>
      <c r="B255" s="2"/>
      <c r="E255" s="2"/>
      <c r="F255" s="2"/>
      <c r="G255" s="2"/>
      <c r="H255" s="2"/>
    </row>
    <row r="256" spans="1:8" x14ac:dyDescent="0.25">
      <c r="A256" s="2"/>
      <c r="B256" s="2"/>
      <c r="D256" s="3"/>
      <c r="E256" s="2"/>
      <c r="F256" s="2"/>
      <c r="G256" s="2"/>
      <c r="H256" s="2"/>
    </row>
    <row r="257" spans="1:8" x14ac:dyDescent="0.25">
      <c r="A257" s="2"/>
      <c r="B257" s="2"/>
      <c r="E257" s="2"/>
      <c r="F257" s="2"/>
      <c r="G257" s="2"/>
      <c r="H257" s="2"/>
    </row>
    <row r="258" spans="1:8" x14ac:dyDescent="0.25">
      <c r="A258" s="2"/>
      <c r="B258" s="2"/>
      <c r="D258" s="3"/>
      <c r="E258" s="2"/>
      <c r="F258" s="2"/>
      <c r="G258" s="2"/>
      <c r="H258" s="2"/>
    </row>
    <row r="259" spans="1:8" x14ac:dyDescent="0.25">
      <c r="A259" s="2"/>
      <c r="B259" s="2"/>
      <c r="E259" s="2"/>
      <c r="F259" s="2"/>
      <c r="G259" s="2"/>
      <c r="H259" s="2"/>
    </row>
    <row r="260" spans="1:8" x14ac:dyDescent="0.25">
      <c r="A260" s="2"/>
      <c r="B260" s="2"/>
      <c r="D260" s="3"/>
      <c r="E260" s="2"/>
      <c r="F260" s="2"/>
      <c r="G260" s="2"/>
      <c r="H260" s="2"/>
    </row>
    <row r="261" spans="1:8" x14ac:dyDescent="0.25">
      <c r="A261" s="2"/>
      <c r="B261" s="2"/>
      <c r="E261" s="2"/>
      <c r="F261" s="2"/>
      <c r="G261" s="2"/>
      <c r="H261" s="2"/>
    </row>
    <row r="262" spans="1:8" x14ac:dyDescent="0.25">
      <c r="A262" s="2"/>
      <c r="B262" s="2"/>
      <c r="D262" s="3"/>
      <c r="E262" s="2"/>
      <c r="F262" s="2"/>
      <c r="G262" s="2"/>
      <c r="H262" s="2"/>
    </row>
    <row r="263" spans="1:8" x14ac:dyDescent="0.25">
      <c r="A263" s="2"/>
      <c r="B263" s="2"/>
      <c r="E263" s="2"/>
      <c r="F263" s="2"/>
      <c r="G263" s="2"/>
      <c r="H263" s="2"/>
    </row>
    <row r="264" spans="1:8" x14ac:dyDescent="0.25">
      <c r="A264" s="2"/>
      <c r="B264" s="2"/>
      <c r="D264" s="3"/>
      <c r="E264" s="2"/>
      <c r="F264" s="2"/>
      <c r="G264" s="2"/>
      <c r="H264" s="2"/>
    </row>
    <row r="265" spans="1:8" x14ac:dyDescent="0.25">
      <c r="A265" s="2"/>
      <c r="B265" s="2"/>
      <c r="E265" s="2"/>
      <c r="F265" s="2"/>
      <c r="G265" s="2"/>
      <c r="H265" s="2"/>
    </row>
    <row r="266" spans="1:8" x14ac:dyDescent="0.25">
      <c r="A266" s="2"/>
      <c r="B266" s="2"/>
      <c r="D266" s="3"/>
      <c r="E266" s="2"/>
      <c r="F266" s="2"/>
      <c r="G266" s="2"/>
      <c r="H266" s="2"/>
    </row>
    <row r="267" spans="1:8" x14ac:dyDescent="0.25">
      <c r="A267" s="2"/>
      <c r="B267" s="2"/>
      <c r="E267" s="2"/>
      <c r="F267" s="2"/>
      <c r="G267" s="2"/>
      <c r="H267" s="2"/>
    </row>
    <row r="268" spans="1:8" x14ac:dyDescent="0.25">
      <c r="A268" s="2"/>
      <c r="B268" s="2"/>
      <c r="D268" s="3"/>
      <c r="E268" s="2"/>
      <c r="F268" s="2"/>
      <c r="G268" s="2"/>
      <c r="H268" s="2"/>
    </row>
    <row r="269" spans="1:8" x14ac:dyDescent="0.25">
      <c r="A269" s="2"/>
      <c r="B269" s="2"/>
      <c r="E269" s="2"/>
      <c r="F269" s="2"/>
      <c r="G269" s="2"/>
      <c r="H269" s="2"/>
    </row>
    <row r="270" spans="1:8" x14ac:dyDescent="0.25">
      <c r="A270" s="2"/>
      <c r="B270" s="2"/>
      <c r="D270" s="3"/>
      <c r="E270" s="2"/>
      <c r="F270" s="2"/>
      <c r="G270" s="2"/>
      <c r="H270" s="2"/>
    </row>
    <row r="271" spans="1:8" x14ac:dyDescent="0.25">
      <c r="A271" s="2"/>
      <c r="B271" s="2"/>
      <c r="E271" s="2"/>
      <c r="F271" s="2"/>
      <c r="G271" s="2"/>
      <c r="H271" s="2"/>
    </row>
    <row r="272" spans="1:8" x14ac:dyDescent="0.25">
      <c r="A272" s="2"/>
      <c r="B272" s="2"/>
      <c r="D272" s="3"/>
      <c r="E272" s="2"/>
      <c r="F272" s="2"/>
      <c r="G272" s="2"/>
      <c r="H272" s="2"/>
    </row>
    <row r="273" spans="1:8" x14ac:dyDescent="0.25">
      <c r="A273" s="2"/>
      <c r="B273" s="2"/>
      <c r="E273" s="2"/>
      <c r="F273" s="2"/>
      <c r="G273" s="2"/>
      <c r="H273" s="2"/>
    </row>
    <row r="274" spans="1:8" x14ac:dyDescent="0.25">
      <c r="A274" s="2"/>
      <c r="B274" s="2"/>
      <c r="D274" s="3"/>
      <c r="E274" s="2"/>
      <c r="F274" s="2"/>
      <c r="G274" s="2"/>
      <c r="H274" s="2"/>
    </row>
    <row r="275" spans="1:8" x14ac:dyDescent="0.25">
      <c r="A275" s="2"/>
      <c r="B275" s="2"/>
      <c r="E275" s="2"/>
      <c r="F275" s="2"/>
      <c r="G275" s="2"/>
      <c r="H275" s="2"/>
    </row>
    <row r="276" spans="1:8" x14ac:dyDescent="0.25">
      <c r="A276" s="2"/>
      <c r="B276" s="2"/>
      <c r="D276" s="3"/>
      <c r="E276" s="2"/>
      <c r="F276" s="2"/>
      <c r="G276" s="2"/>
      <c r="H276" s="2"/>
    </row>
    <row r="277" spans="1:8" x14ac:dyDescent="0.25">
      <c r="A277" s="2"/>
      <c r="B277" s="2"/>
      <c r="E277" s="2"/>
      <c r="F277" s="2"/>
      <c r="G277" s="2"/>
      <c r="H277" s="2"/>
    </row>
    <row r="278" spans="1:8" x14ac:dyDescent="0.25">
      <c r="A278" s="2"/>
      <c r="B278" s="2"/>
      <c r="D278" s="3"/>
      <c r="E278" s="2"/>
      <c r="F278" s="2"/>
      <c r="G278" s="2"/>
      <c r="H278" s="2"/>
    </row>
    <row r="279" spans="1:8" x14ac:dyDescent="0.25">
      <c r="A279" s="2"/>
      <c r="B279" s="2"/>
      <c r="E279" s="2"/>
      <c r="F279" s="2"/>
      <c r="G279" s="2"/>
      <c r="H279" s="2"/>
    </row>
    <row r="280" spans="1:8" x14ac:dyDescent="0.25">
      <c r="A280" s="2"/>
      <c r="B280" s="2"/>
      <c r="D280" s="3"/>
      <c r="E280" s="2"/>
      <c r="F280" s="2"/>
      <c r="G280" s="2"/>
      <c r="H280" s="2"/>
    </row>
    <row r="281" spans="1:8" x14ac:dyDescent="0.25">
      <c r="A281" s="2"/>
      <c r="B281" s="2"/>
      <c r="E281" s="2"/>
      <c r="F281" s="2"/>
      <c r="G281" s="2"/>
      <c r="H281" s="2"/>
    </row>
    <row r="282" spans="1:8" x14ac:dyDescent="0.25">
      <c r="A282" s="2"/>
      <c r="B282" s="2"/>
      <c r="D282" s="3"/>
      <c r="E282" s="2"/>
      <c r="F282" s="2"/>
      <c r="G282" s="2"/>
      <c r="H282" s="2"/>
    </row>
    <row r="283" spans="1:8" x14ac:dyDescent="0.25">
      <c r="A283" s="2"/>
      <c r="B283" s="2"/>
      <c r="E283" s="2"/>
      <c r="F283" s="2"/>
      <c r="G283" s="2"/>
      <c r="H283" s="2"/>
    </row>
    <row r="284" spans="1:8" x14ac:dyDescent="0.25">
      <c r="A284" s="2"/>
      <c r="B284" s="2"/>
      <c r="D284" s="3"/>
      <c r="E284" s="2"/>
      <c r="F284" s="2"/>
      <c r="G284" s="2"/>
      <c r="H284" s="2"/>
    </row>
    <row r="285" spans="1:8" x14ac:dyDescent="0.25">
      <c r="A285" s="2"/>
      <c r="B285" s="2"/>
      <c r="E285" s="2"/>
      <c r="F285" s="2"/>
      <c r="G285" s="2"/>
      <c r="H285" s="2"/>
    </row>
    <row r="286" spans="1:8" x14ac:dyDescent="0.25">
      <c r="A286" s="2"/>
      <c r="B286" s="2"/>
      <c r="D286" s="3"/>
      <c r="E286" s="2"/>
      <c r="F286" s="2"/>
      <c r="G286" s="2"/>
      <c r="H286" s="2"/>
    </row>
    <row r="287" spans="1:8" x14ac:dyDescent="0.25">
      <c r="A287" s="2"/>
      <c r="B287" s="2"/>
      <c r="E287" s="2"/>
      <c r="F287" s="2"/>
      <c r="G287" s="2"/>
      <c r="H287" s="2"/>
    </row>
    <row r="288" spans="1:8" x14ac:dyDescent="0.25">
      <c r="A288" s="2"/>
      <c r="B288" s="2"/>
      <c r="D288" s="3"/>
      <c r="E288" s="2"/>
      <c r="F288" s="2"/>
      <c r="G288" s="2"/>
      <c r="H288" s="2"/>
    </row>
    <row r="289" spans="1:8" x14ac:dyDescent="0.25">
      <c r="A289" s="2"/>
      <c r="B289" s="2"/>
      <c r="E289" s="2"/>
      <c r="F289" s="2"/>
      <c r="G289" s="2"/>
      <c r="H289" s="2"/>
    </row>
    <row r="290" spans="1:8" x14ac:dyDescent="0.25">
      <c r="A290" s="2"/>
      <c r="B290" s="2"/>
      <c r="D290" s="3"/>
      <c r="E290" s="2"/>
      <c r="F290" s="2"/>
      <c r="G290" s="2"/>
      <c r="H290" s="2"/>
    </row>
    <row r="291" spans="1:8" x14ac:dyDescent="0.25">
      <c r="A291" s="2"/>
      <c r="B291" s="2"/>
      <c r="E291" s="2"/>
      <c r="F291" s="2"/>
      <c r="G291" s="2"/>
      <c r="H291" s="2"/>
    </row>
    <row r="292" spans="1:8" x14ac:dyDescent="0.25">
      <c r="A292" s="2"/>
      <c r="B292" s="2"/>
      <c r="D292" s="3"/>
      <c r="E292" s="2"/>
      <c r="F292" s="2"/>
      <c r="G292" s="2"/>
      <c r="H292" s="2"/>
    </row>
    <row r="293" spans="1:8" x14ac:dyDescent="0.25">
      <c r="A293" s="2"/>
      <c r="B293" s="2"/>
      <c r="E293" s="2"/>
      <c r="F293" s="2"/>
      <c r="G293" s="2"/>
      <c r="H293" s="2"/>
    </row>
    <row r="294" spans="1:8" x14ac:dyDescent="0.25">
      <c r="A294" s="2"/>
      <c r="B294" s="2"/>
      <c r="D294" s="3"/>
      <c r="E294" s="2"/>
      <c r="F294" s="2"/>
      <c r="G294" s="2"/>
      <c r="H294" s="2"/>
    </row>
    <row r="295" spans="1:8" x14ac:dyDescent="0.25">
      <c r="A295" s="2"/>
      <c r="B295" s="2"/>
      <c r="E295" s="2"/>
      <c r="F295" s="2"/>
      <c r="G295" s="2"/>
      <c r="H295" s="2"/>
    </row>
    <row r="296" spans="1:8" x14ac:dyDescent="0.25">
      <c r="A296" s="2"/>
      <c r="B296" s="2"/>
      <c r="D296" s="3"/>
      <c r="E296" s="2"/>
      <c r="F296" s="2"/>
      <c r="G296" s="2"/>
      <c r="H296" s="2"/>
    </row>
    <row r="297" spans="1:8" x14ac:dyDescent="0.25">
      <c r="A297" s="2"/>
      <c r="B297" s="2"/>
      <c r="E297" s="2"/>
      <c r="F297" s="2"/>
      <c r="G297" s="2"/>
      <c r="H297" s="2"/>
    </row>
    <row r="298" spans="1:8" x14ac:dyDescent="0.25">
      <c r="A298" s="2"/>
      <c r="B298" s="2"/>
      <c r="D298" s="3"/>
      <c r="E298" s="2"/>
      <c r="F298" s="2"/>
      <c r="G298" s="2"/>
      <c r="H298" s="2"/>
    </row>
    <row r="299" spans="1:8" x14ac:dyDescent="0.25">
      <c r="A299" s="2"/>
      <c r="B299" s="2"/>
      <c r="E299" s="2"/>
      <c r="F299" s="2"/>
      <c r="G299" s="2"/>
      <c r="H299" s="2"/>
    </row>
    <row r="300" spans="1:8" x14ac:dyDescent="0.25">
      <c r="A300" s="2"/>
      <c r="B300" s="2"/>
      <c r="D300" s="3"/>
      <c r="E300" s="2"/>
      <c r="F300" s="2"/>
      <c r="G300" s="2"/>
      <c r="H300" s="2"/>
    </row>
    <row r="301" spans="1:8" x14ac:dyDescent="0.25">
      <c r="A301" s="2"/>
      <c r="B301" s="2"/>
      <c r="E301" s="2"/>
      <c r="F301" s="2"/>
      <c r="G301" s="2"/>
      <c r="H301" s="2"/>
    </row>
    <row r="302" spans="1:8" x14ac:dyDescent="0.25">
      <c r="A302" s="2"/>
      <c r="B302" s="2"/>
      <c r="D302" s="3"/>
      <c r="E302" s="2"/>
      <c r="F302" s="2"/>
      <c r="G302" s="2"/>
      <c r="H302" s="2"/>
    </row>
    <row r="303" spans="1:8" x14ac:dyDescent="0.25">
      <c r="A303" s="2"/>
      <c r="B303" s="2"/>
      <c r="E303" s="2"/>
      <c r="F303" s="2"/>
      <c r="G303" s="2"/>
      <c r="H303" s="2"/>
    </row>
    <row r="304" spans="1:8" x14ac:dyDescent="0.25">
      <c r="A304" s="2"/>
      <c r="B304" s="2"/>
      <c r="D304" s="3"/>
      <c r="E304" s="2"/>
      <c r="F304" s="2"/>
      <c r="G304" s="2"/>
      <c r="H304" s="2"/>
    </row>
    <row r="305" spans="1:8" x14ac:dyDescent="0.25">
      <c r="A305" s="2"/>
      <c r="B305" s="2"/>
      <c r="E305" s="2"/>
      <c r="F305" s="2"/>
      <c r="G305" s="2"/>
      <c r="H305" s="2"/>
    </row>
    <row r="306" spans="1:8" x14ac:dyDescent="0.25">
      <c r="A306" s="2"/>
      <c r="B306" s="2"/>
      <c r="D306" s="3"/>
      <c r="E306" s="2"/>
      <c r="F306" s="2"/>
      <c r="G306" s="2"/>
      <c r="H306" s="2"/>
    </row>
    <row r="307" spans="1:8" x14ac:dyDescent="0.25">
      <c r="A307" s="2"/>
      <c r="B307" s="2"/>
      <c r="E307" s="2"/>
      <c r="F307" s="2"/>
      <c r="G307" s="2"/>
      <c r="H307" s="2"/>
    </row>
    <row r="308" spans="1:8" x14ac:dyDescent="0.25">
      <c r="A308" s="2"/>
      <c r="B308" s="2"/>
      <c r="D308" s="3"/>
      <c r="E308" s="2"/>
      <c r="F308" s="2"/>
      <c r="G308" s="2"/>
      <c r="H308" s="2"/>
    </row>
    <row r="309" spans="1:8" x14ac:dyDescent="0.25">
      <c r="A309" s="2"/>
      <c r="B309" s="2"/>
      <c r="E309" s="2"/>
      <c r="F309" s="2"/>
      <c r="G309" s="2"/>
      <c r="H309" s="2"/>
    </row>
    <row r="310" spans="1:8" x14ac:dyDescent="0.25">
      <c r="A310" s="2"/>
      <c r="B310" s="2"/>
      <c r="D310" s="3"/>
      <c r="E310" s="2"/>
      <c r="F310" s="2"/>
      <c r="G310" s="2"/>
      <c r="H310" s="2"/>
    </row>
    <row r="311" spans="1:8" x14ac:dyDescent="0.25">
      <c r="A311" s="2"/>
      <c r="B311" s="2"/>
      <c r="E311" s="2"/>
      <c r="F311" s="2"/>
      <c r="G311" s="2"/>
      <c r="H311" s="2"/>
    </row>
    <row r="312" spans="1:8" x14ac:dyDescent="0.25">
      <c r="A312" s="2"/>
      <c r="B312" s="2"/>
      <c r="D312" s="3"/>
      <c r="E312" s="2"/>
      <c r="F312" s="2"/>
      <c r="G312" s="2"/>
      <c r="H312" s="2"/>
    </row>
    <row r="313" spans="1:8" x14ac:dyDescent="0.25">
      <c r="A313" s="2"/>
      <c r="B313" s="2"/>
      <c r="E313" s="2"/>
      <c r="F313" s="2"/>
      <c r="G313" s="2"/>
      <c r="H313" s="2"/>
    </row>
    <row r="314" spans="1:8" x14ac:dyDescent="0.25">
      <c r="A314" s="2"/>
      <c r="B314" s="2"/>
      <c r="D314" s="3"/>
      <c r="E314" s="2"/>
      <c r="F314" s="2"/>
      <c r="G314" s="2"/>
      <c r="H314" s="2"/>
    </row>
    <row r="315" spans="1:8" x14ac:dyDescent="0.25">
      <c r="A315" s="2"/>
      <c r="B315" s="2"/>
      <c r="E315" s="2"/>
      <c r="F315" s="2"/>
      <c r="G315" s="2"/>
      <c r="H315" s="2"/>
    </row>
    <row r="316" spans="1:8" x14ac:dyDescent="0.25">
      <c r="A316" s="2"/>
      <c r="B316" s="2"/>
      <c r="D316" s="3"/>
      <c r="E316" s="2"/>
      <c r="F316" s="2"/>
      <c r="G316" s="2"/>
      <c r="H316" s="2"/>
    </row>
    <row r="317" spans="1:8" x14ac:dyDescent="0.25">
      <c r="A317" s="2"/>
      <c r="B317" s="2"/>
      <c r="E317" s="2"/>
      <c r="F317" s="2"/>
      <c r="G317" s="2"/>
      <c r="H317" s="2"/>
    </row>
    <row r="318" spans="1:8" x14ac:dyDescent="0.25">
      <c r="A318" s="2"/>
      <c r="B318" s="2"/>
      <c r="D318" s="3"/>
      <c r="E318" s="2"/>
      <c r="F318" s="2"/>
      <c r="G318" s="2"/>
      <c r="H318" s="2"/>
    </row>
    <row r="319" spans="1:8" x14ac:dyDescent="0.25">
      <c r="A319" s="2"/>
      <c r="B319" s="2"/>
      <c r="E319" s="2"/>
      <c r="F319" s="2"/>
      <c r="G319" s="2"/>
      <c r="H319" s="2"/>
    </row>
    <row r="320" spans="1:8" x14ac:dyDescent="0.25">
      <c r="A320" s="2"/>
      <c r="B320" s="2"/>
      <c r="D320" s="3"/>
      <c r="E320" s="2"/>
      <c r="F320" s="2"/>
      <c r="G320" s="2"/>
      <c r="H320" s="2"/>
    </row>
    <row r="321" spans="1:8" x14ac:dyDescent="0.25">
      <c r="A321" s="2"/>
      <c r="B321" s="2"/>
      <c r="E321" s="2"/>
      <c r="F321" s="2"/>
      <c r="G321" s="2"/>
      <c r="H321" s="2"/>
    </row>
    <row r="322" spans="1:8" x14ac:dyDescent="0.25">
      <c r="A322" s="2"/>
      <c r="B322" s="2"/>
      <c r="D322" s="3"/>
      <c r="E322" s="2"/>
      <c r="F322" s="2"/>
      <c r="G322" s="2"/>
      <c r="H322" s="2"/>
    </row>
    <row r="323" spans="1:8" x14ac:dyDescent="0.25">
      <c r="A323" s="2"/>
      <c r="B323" s="2"/>
      <c r="E323" s="2"/>
      <c r="F323" s="2"/>
      <c r="G323" s="2"/>
      <c r="H323" s="2"/>
    </row>
    <row r="324" spans="1:8" x14ac:dyDescent="0.25">
      <c r="A324" s="2"/>
      <c r="B324" s="2"/>
      <c r="D324" s="3"/>
      <c r="E324" s="2"/>
      <c r="F324" s="2"/>
      <c r="G324" s="2"/>
      <c r="H324" s="2"/>
    </row>
    <row r="325" spans="1:8" x14ac:dyDescent="0.25">
      <c r="A325" s="2"/>
      <c r="B325" s="2"/>
      <c r="E325" s="2"/>
      <c r="F325" s="2"/>
      <c r="G325" s="2"/>
      <c r="H325" s="2"/>
    </row>
    <row r="326" spans="1:8" x14ac:dyDescent="0.25">
      <c r="A326" s="2"/>
      <c r="B326" s="2"/>
      <c r="D326" s="3"/>
      <c r="E326" s="2"/>
      <c r="F326" s="2"/>
      <c r="G326" s="2"/>
      <c r="H326" s="2"/>
    </row>
    <row r="327" spans="1:8" x14ac:dyDescent="0.25">
      <c r="A327" s="2"/>
      <c r="B327" s="2"/>
      <c r="E327" s="2"/>
      <c r="F327" s="2"/>
      <c r="G327" s="2"/>
      <c r="H327" s="2"/>
    </row>
    <row r="328" spans="1:8" x14ac:dyDescent="0.25">
      <c r="A328" s="2"/>
      <c r="B328" s="2"/>
      <c r="D328" s="3"/>
      <c r="E328" s="2"/>
      <c r="F328" s="2"/>
      <c r="G328" s="2"/>
      <c r="H328" s="2"/>
    </row>
    <row r="329" spans="1:8" x14ac:dyDescent="0.25">
      <c r="A329" s="2"/>
      <c r="B329" s="2"/>
      <c r="E329" s="2"/>
      <c r="F329" s="2"/>
      <c r="G329" s="2"/>
      <c r="H329" s="2"/>
    </row>
    <row r="330" spans="1:8" x14ac:dyDescent="0.25">
      <c r="A330" s="2"/>
      <c r="B330" s="2"/>
      <c r="D330" s="3"/>
      <c r="E330" s="2"/>
      <c r="F330" s="2"/>
      <c r="G330" s="2"/>
      <c r="H330" s="2"/>
    </row>
    <row r="331" spans="1:8" x14ac:dyDescent="0.25">
      <c r="A331" s="2"/>
      <c r="B331" s="2"/>
      <c r="E331" s="2"/>
      <c r="F331" s="2"/>
      <c r="G331" s="2"/>
      <c r="H331" s="2"/>
    </row>
    <row r="332" spans="1:8" x14ac:dyDescent="0.25">
      <c r="A332" s="2"/>
      <c r="B332" s="2"/>
      <c r="D332" s="3"/>
      <c r="E332" s="2"/>
      <c r="F332" s="2"/>
      <c r="G332" s="2"/>
      <c r="H332" s="2"/>
    </row>
    <row r="333" spans="1:8" x14ac:dyDescent="0.25">
      <c r="A333" s="2"/>
      <c r="B333" s="2"/>
      <c r="E333" s="2"/>
      <c r="F333" s="2"/>
      <c r="G333" s="2"/>
      <c r="H333" s="2"/>
    </row>
    <row r="334" spans="1:8" x14ac:dyDescent="0.25">
      <c r="A334" s="2"/>
      <c r="B334" s="2"/>
      <c r="D334" s="3"/>
      <c r="E334" s="2"/>
      <c r="F334" s="2"/>
      <c r="G334" s="2"/>
      <c r="H334" s="2"/>
    </row>
    <row r="335" spans="1:8" x14ac:dyDescent="0.25">
      <c r="A335" s="2"/>
      <c r="B335" s="2"/>
      <c r="E335" s="2"/>
      <c r="F335" s="2"/>
      <c r="G335" s="2"/>
      <c r="H335" s="2"/>
    </row>
    <row r="336" spans="1:8" x14ac:dyDescent="0.25">
      <c r="A336" s="2"/>
      <c r="B336" s="2"/>
      <c r="D336" s="3"/>
      <c r="E336" s="2"/>
      <c r="F336" s="2"/>
      <c r="G336" s="2"/>
      <c r="H336" s="2"/>
    </row>
    <row r="337" spans="1:8" x14ac:dyDescent="0.25">
      <c r="A337" s="2"/>
      <c r="B337" s="2"/>
      <c r="E337" s="2"/>
      <c r="F337" s="2"/>
      <c r="G337" s="2"/>
      <c r="H337" s="2"/>
    </row>
    <row r="338" spans="1:8" x14ac:dyDescent="0.25">
      <c r="A338" s="2"/>
      <c r="B338" s="2"/>
      <c r="D338" s="3"/>
      <c r="E338" s="2"/>
      <c r="F338" s="2"/>
      <c r="G338" s="2"/>
      <c r="H338" s="2"/>
    </row>
    <row r="339" spans="1:8" x14ac:dyDescent="0.25">
      <c r="A339" s="2"/>
      <c r="B339" s="2"/>
      <c r="E339" s="2"/>
      <c r="F339" s="2"/>
      <c r="G339" s="2"/>
      <c r="H339" s="2"/>
    </row>
    <row r="340" spans="1:8" x14ac:dyDescent="0.25">
      <c r="A340" s="2"/>
      <c r="B340" s="2"/>
      <c r="D340" s="3"/>
      <c r="E340" s="2"/>
      <c r="F340" s="2"/>
      <c r="G340" s="2"/>
      <c r="H340" s="2"/>
    </row>
    <row r="341" spans="1:8" x14ac:dyDescent="0.25">
      <c r="A341" s="2"/>
      <c r="B341" s="2"/>
      <c r="E341" s="2"/>
      <c r="F341" s="2"/>
      <c r="G341" s="2"/>
      <c r="H341" s="2"/>
    </row>
    <row r="342" spans="1:8" x14ac:dyDescent="0.25">
      <c r="A342" s="2"/>
      <c r="B342" s="2"/>
      <c r="D342" s="3"/>
      <c r="E342" s="2"/>
      <c r="F342" s="2"/>
      <c r="G342" s="2"/>
      <c r="H342" s="2"/>
    </row>
    <row r="343" spans="1:8" x14ac:dyDescent="0.25">
      <c r="A343" s="2"/>
      <c r="B343" s="2"/>
      <c r="E343" s="2"/>
      <c r="F343" s="2"/>
      <c r="G343" s="2"/>
      <c r="H343" s="2"/>
    </row>
    <row r="344" spans="1:8" x14ac:dyDescent="0.25">
      <c r="A344" s="2"/>
      <c r="B344" s="2"/>
      <c r="D344" s="3"/>
      <c r="E344" s="2"/>
      <c r="F344" s="2"/>
      <c r="G344" s="2"/>
      <c r="H344" s="2"/>
    </row>
    <row r="345" spans="1:8" x14ac:dyDescent="0.25">
      <c r="A345" s="2"/>
      <c r="B345" s="2"/>
      <c r="E345" s="2"/>
      <c r="F345" s="2"/>
      <c r="G345" s="2"/>
      <c r="H345" s="2"/>
    </row>
    <row r="346" spans="1:8" x14ac:dyDescent="0.25">
      <c r="A346" s="2"/>
      <c r="B346" s="2"/>
      <c r="D346" s="3"/>
      <c r="E346" s="2"/>
      <c r="F346" s="2"/>
      <c r="G346" s="2"/>
      <c r="H346" s="2"/>
    </row>
    <row r="347" spans="1:8" x14ac:dyDescent="0.25">
      <c r="A347" s="2"/>
      <c r="B347" s="2"/>
      <c r="E347" s="2"/>
      <c r="F347" s="2"/>
      <c r="G347" s="2"/>
      <c r="H347" s="2"/>
    </row>
    <row r="348" spans="1:8" x14ac:dyDescent="0.25">
      <c r="A348" s="2"/>
      <c r="B348" s="2"/>
      <c r="D348" s="3"/>
      <c r="E348" s="2"/>
      <c r="F348" s="2"/>
      <c r="G348" s="2"/>
      <c r="H348" s="2"/>
    </row>
    <row r="349" spans="1:8" x14ac:dyDescent="0.25">
      <c r="A349" s="2"/>
      <c r="B349" s="2"/>
      <c r="E349" s="2"/>
      <c r="F349" s="2"/>
      <c r="G349" s="2"/>
      <c r="H349" s="2"/>
    </row>
    <row r="350" spans="1:8" x14ac:dyDescent="0.25">
      <c r="A350" s="2"/>
      <c r="B350" s="2"/>
      <c r="D350" s="3"/>
      <c r="E350" s="2"/>
      <c r="F350" s="2"/>
      <c r="G350" s="2"/>
      <c r="H350" s="2"/>
    </row>
    <row r="351" spans="1:8" x14ac:dyDescent="0.25">
      <c r="A351" s="2"/>
      <c r="B351" s="2"/>
      <c r="E351" s="2"/>
      <c r="F351" s="2"/>
      <c r="G351" s="2"/>
      <c r="H351" s="2"/>
    </row>
    <row r="352" spans="1:8" x14ac:dyDescent="0.25">
      <c r="A352" s="2"/>
      <c r="B352" s="2"/>
      <c r="D352" s="3"/>
      <c r="E352" s="2"/>
      <c r="F352" s="2"/>
      <c r="G352" s="2"/>
      <c r="H352" s="2"/>
    </row>
    <row r="353" spans="1:8" x14ac:dyDescent="0.25">
      <c r="A353" s="2"/>
      <c r="B353" s="2"/>
      <c r="E353" s="2"/>
      <c r="F353" s="2"/>
      <c r="G353" s="2"/>
      <c r="H353" s="2"/>
    </row>
    <row r="354" spans="1:8" x14ac:dyDescent="0.25">
      <c r="A354" s="2"/>
      <c r="B354" s="2"/>
      <c r="D354" s="3"/>
      <c r="E354" s="2"/>
      <c r="F354" s="2"/>
      <c r="G354" s="2"/>
      <c r="H354" s="2"/>
    </row>
    <row r="355" spans="1:8" x14ac:dyDescent="0.25">
      <c r="A355" s="2"/>
      <c r="B355" s="2"/>
      <c r="E355" s="2"/>
      <c r="F355" s="2"/>
      <c r="G355" s="2"/>
      <c r="H355" s="2"/>
    </row>
    <row r="356" spans="1:8" x14ac:dyDescent="0.25">
      <c r="A356" s="2"/>
      <c r="B356" s="2"/>
      <c r="D356" s="3"/>
      <c r="E356" s="2"/>
      <c r="F356" s="2"/>
      <c r="G356" s="2"/>
      <c r="H356" s="2"/>
    </row>
    <row r="357" spans="1:8" x14ac:dyDescent="0.25">
      <c r="A357" s="2"/>
      <c r="B357" s="2"/>
      <c r="E357" s="2"/>
      <c r="F357" s="2"/>
      <c r="G357" s="2"/>
      <c r="H357" s="2"/>
    </row>
    <row r="358" spans="1:8" x14ac:dyDescent="0.25">
      <c r="A358" s="2"/>
      <c r="B358" s="2"/>
      <c r="D358" s="3"/>
      <c r="E358" s="2"/>
      <c r="F358" s="2"/>
      <c r="G358" s="2"/>
      <c r="H358" s="2"/>
    </row>
    <row r="359" spans="1:8" x14ac:dyDescent="0.25">
      <c r="A359" s="2"/>
      <c r="B359" s="2"/>
      <c r="E359" s="2"/>
      <c r="F359" s="2"/>
      <c r="G359" s="2"/>
      <c r="H359" s="2"/>
    </row>
    <row r="360" spans="1:8" x14ac:dyDescent="0.25">
      <c r="A360" s="2"/>
      <c r="B360" s="2"/>
      <c r="D360" s="3"/>
      <c r="E360" s="2"/>
      <c r="F360" s="2"/>
      <c r="G360" s="2"/>
      <c r="H360" s="2"/>
    </row>
    <row r="361" spans="1:8" x14ac:dyDescent="0.25">
      <c r="A361" s="2"/>
      <c r="B361" s="2"/>
      <c r="E361" s="2"/>
      <c r="F361" s="2"/>
      <c r="G361" s="2"/>
      <c r="H361" s="2"/>
    </row>
    <row r="362" spans="1:8" x14ac:dyDescent="0.25">
      <c r="A362" s="2"/>
      <c r="B362" s="2"/>
      <c r="D362" s="3"/>
      <c r="E362" s="2"/>
      <c r="F362" s="2"/>
      <c r="G362" s="2"/>
      <c r="H362" s="2"/>
    </row>
    <row r="363" spans="1:8" x14ac:dyDescent="0.25">
      <c r="A363" s="2"/>
      <c r="B363" s="2"/>
      <c r="E363" s="2"/>
      <c r="F363" s="2"/>
      <c r="G363" s="2"/>
      <c r="H363" s="2"/>
    </row>
    <row r="364" spans="1:8" x14ac:dyDescent="0.25">
      <c r="A364" s="2"/>
      <c r="B364" s="2"/>
      <c r="D364" s="3"/>
      <c r="E364" s="2"/>
      <c r="F364" s="2"/>
      <c r="G364" s="2"/>
      <c r="H364" s="2"/>
    </row>
    <row r="365" spans="1:8" x14ac:dyDescent="0.25">
      <c r="A365" s="2"/>
      <c r="B365" s="2"/>
      <c r="E365" s="2"/>
      <c r="F365" s="2"/>
      <c r="G365" s="2"/>
      <c r="H365" s="2"/>
    </row>
    <row r="366" spans="1:8" x14ac:dyDescent="0.25">
      <c r="A366" s="2"/>
      <c r="B366" s="2"/>
      <c r="D366" s="3"/>
      <c r="E366" s="2"/>
      <c r="F366" s="2"/>
      <c r="G366" s="2"/>
      <c r="H366" s="2"/>
    </row>
    <row r="367" spans="1:8" x14ac:dyDescent="0.25">
      <c r="A367" s="2"/>
      <c r="B367" s="2"/>
      <c r="E367" s="2"/>
      <c r="F367" s="2"/>
      <c r="G367" s="2"/>
      <c r="H367" s="2"/>
    </row>
    <row r="368" spans="1:8" x14ac:dyDescent="0.25">
      <c r="A368" s="2"/>
      <c r="B368" s="2"/>
      <c r="D368" s="3"/>
      <c r="E368" s="2"/>
      <c r="F368" s="2"/>
      <c r="G368" s="2"/>
      <c r="H368" s="2"/>
    </row>
    <row r="369" spans="1:8" x14ac:dyDescent="0.25">
      <c r="A369" s="2"/>
      <c r="B369" s="2"/>
      <c r="E369" s="2"/>
      <c r="F369" s="2"/>
      <c r="G369" s="2"/>
      <c r="H369" s="2"/>
    </row>
    <row r="370" spans="1:8" x14ac:dyDescent="0.25">
      <c r="A370" s="2"/>
      <c r="B370" s="2"/>
      <c r="D370" s="3"/>
      <c r="E370" s="2"/>
      <c r="F370" s="2"/>
      <c r="G370" s="2"/>
      <c r="H370" s="2"/>
    </row>
    <row r="371" spans="1:8" x14ac:dyDescent="0.25">
      <c r="A371" s="2"/>
      <c r="B371" s="2"/>
      <c r="E371" s="2"/>
      <c r="F371" s="2"/>
      <c r="G371" s="2"/>
      <c r="H371" s="2"/>
    </row>
    <row r="372" spans="1:8" x14ac:dyDescent="0.25">
      <c r="A372" s="2"/>
      <c r="B372" s="2"/>
      <c r="D372" s="3"/>
      <c r="E372" s="2"/>
      <c r="F372" s="2"/>
      <c r="G372" s="2"/>
      <c r="H372" s="2"/>
    </row>
    <row r="373" spans="1:8" x14ac:dyDescent="0.25">
      <c r="A373" s="2"/>
      <c r="B373" s="2"/>
      <c r="E373" s="2"/>
      <c r="F373" s="2"/>
      <c r="G373" s="2"/>
      <c r="H373" s="2"/>
    </row>
    <row r="374" spans="1:8" x14ac:dyDescent="0.25">
      <c r="A374" s="2"/>
      <c r="B374" s="2"/>
      <c r="D374" s="3"/>
      <c r="E374" s="2"/>
      <c r="F374" s="2"/>
      <c r="G374" s="2"/>
      <c r="H374" s="2"/>
    </row>
    <row r="375" spans="1:8" x14ac:dyDescent="0.25">
      <c r="A375" s="2"/>
      <c r="B375" s="2"/>
      <c r="E375" s="2"/>
      <c r="F375" s="2"/>
      <c r="G375" s="2"/>
      <c r="H375" s="2"/>
    </row>
    <row r="376" spans="1:8" x14ac:dyDescent="0.25">
      <c r="A376" s="2"/>
      <c r="B376" s="2"/>
      <c r="D376" s="3"/>
      <c r="E376" s="2"/>
      <c r="F376" s="2"/>
      <c r="G376" s="2"/>
      <c r="H376" s="2"/>
    </row>
    <row r="377" spans="1:8" x14ac:dyDescent="0.25">
      <c r="A377" s="2"/>
      <c r="B377" s="2"/>
      <c r="E377" s="2"/>
      <c r="F377" s="2"/>
      <c r="G377" s="2"/>
      <c r="H377" s="2"/>
    </row>
    <row r="378" spans="1:8" x14ac:dyDescent="0.25">
      <c r="A378" s="2"/>
      <c r="B378" s="2"/>
      <c r="D378" s="3"/>
      <c r="E378" s="2"/>
      <c r="F378" s="2"/>
      <c r="G378" s="2"/>
      <c r="H378" s="2"/>
    </row>
    <row r="379" spans="1:8" x14ac:dyDescent="0.25">
      <c r="A379" s="2"/>
      <c r="B379" s="2"/>
      <c r="E379" s="2"/>
      <c r="F379" s="2"/>
      <c r="G379" s="2"/>
      <c r="H379" s="2"/>
    </row>
    <row r="380" spans="1:8" x14ac:dyDescent="0.25">
      <c r="A380" s="2"/>
      <c r="B380" s="2"/>
      <c r="D380" s="3"/>
      <c r="E380" s="2"/>
      <c r="F380" s="2"/>
      <c r="G380" s="2"/>
      <c r="H380" s="2"/>
    </row>
    <row r="381" spans="1:8" x14ac:dyDescent="0.25">
      <c r="A381" s="2"/>
      <c r="B381" s="2"/>
      <c r="E381" s="2"/>
      <c r="F381" s="2"/>
      <c r="G381" s="2"/>
      <c r="H381" s="2"/>
    </row>
    <row r="382" spans="1:8" x14ac:dyDescent="0.25">
      <c r="A382" s="2"/>
      <c r="B382" s="2"/>
      <c r="D382" s="3"/>
      <c r="E382" s="2"/>
      <c r="F382" s="2"/>
      <c r="G382" s="2"/>
      <c r="H382" s="2"/>
    </row>
    <row r="383" spans="1:8" x14ac:dyDescent="0.25">
      <c r="A383" s="2"/>
      <c r="B383" s="2"/>
      <c r="E383" s="2"/>
      <c r="F383" s="2"/>
      <c r="G383" s="2"/>
      <c r="H383" s="2"/>
    </row>
    <row r="384" spans="1:8" x14ac:dyDescent="0.25">
      <c r="A384" s="2"/>
      <c r="B384" s="2"/>
      <c r="D384" s="3"/>
      <c r="E384" s="2"/>
      <c r="F384" s="2"/>
      <c r="G384" s="2"/>
      <c r="H384" s="2"/>
    </row>
    <row r="385" spans="1:8" x14ac:dyDescent="0.25">
      <c r="A385" s="2"/>
      <c r="B385" s="2"/>
      <c r="E385" s="2"/>
      <c r="F385" s="2"/>
      <c r="G385" s="2"/>
      <c r="H385" s="2"/>
    </row>
    <row r="386" spans="1:8" x14ac:dyDescent="0.25">
      <c r="A386" s="2"/>
      <c r="B386" s="2"/>
      <c r="D386" s="3"/>
      <c r="E386" s="2"/>
      <c r="F386" s="2"/>
      <c r="G386" s="2"/>
      <c r="H386" s="2"/>
    </row>
    <row r="387" spans="1:8" x14ac:dyDescent="0.25">
      <c r="A387" s="2"/>
      <c r="B387" s="2"/>
      <c r="E387" s="2"/>
      <c r="F387" s="2"/>
      <c r="G387" s="2"/>
      <c r="H387" s="2"/>
    </row>
    <row r="388" spans="1:8" x14ac:dyDescent="0.25">
      <c r="A388" s="2"/>
      <c r="B388" s="2"/>
      <c r="D388" s="3"/>
      <c r="E388" s="2"/>
      <c r="F388" s="2"/>
      <c r="G388" s="2"/>
      <c r="H388" s="2"/>
    </row>
    <row r="389" spans="1:8" x14ac:dyDescent="0.25">
      <c r="A389" s="2"/>
      <c r="B389" s="2"/>
      <c r="E389" s="2"/>
      <c r="F389" s="2"/>
      <c r="G389" s="2"/>
      <c r="H389" s="2"/>
    </row>
    <row r="390" spans="1:8" x14ac:dyDescent="0.25">
      <c r="A390" s="2"/>
      <c r="B390" s="2"/>
      <c r="D390" s="3"/>
      <c r="E390" s="2"/>
      <c r="F390" s="2"/>
      <c r="G390" s="2"/>
      <c r="H390" s="2"/>
    </row>
    <row r="391" spans="1:8" x14ac:dyDescent="0.25">
      <c r="A391" s="2"/>
      <c r="B391" s="2"/>
      <c r="E391" s="2"/>
      <c r="F391" s="2"/>
      <c r="G391" s="2"/>
      <c r="H391" s="2"/>
    </row>
    <row r="392" spans="1:8" x14ac:dyDescent="0.25">
      <c r="A392" s="2"/>
      <c r="B392" s="2"/>
      <c r="D392" s="3"/>
      <c r="E392" s="2"/>
      <c r="F392" s="2"/>
      <c r="G392" s="2"/>
      <c r="H392" s="2"/>
    </row>
    <row r="393" spans="1:8" x14ac:dyDescent="0.25">
      <c r="A393" s="2"/>
      <c r="B393" s="2"/>
      <c r="E393" s="2"/>
      <c r="F393" s="2"/>
      <c r="G393" s="2"/>
      <c r="H393" s="2"/>
    </row>
    <row r="394" spans="1:8" x14ac:dyDescent="0.25">
      <c r="A394" s="2"/>
      <c r="B394" s="2"/>
      <c r="D394" s="3"/>
      <c r="E394" s="2"/>
      <c r="F394" s="2"/>
      <c r="G394" s="2"/>
      <c r="H394" s="2"/>
    </row>
    <row r="395" spans="1:8" x14ac:dyDescent="0.25">
      <c r="A395" s="2"/>
      <c r="B395" s="2"/>
      <c r="E395" s="2"/>
      <c r="F395" s="2"/>
      <c r="G395" s="2"/>
      <c r="H395" s="2"/>
    </row>
    <row r="396" spans="1:8" x14ac:dyDescent="0.25">
      <c r="A396" s="2"/>
      <c r="B396" s="2"/>
      <c r="D396" s="3"/>
      <c r="E396" s="2"/>
      <c r="F396" s="2"/>
      <c r="G396" s="2"/>
      <c r="H396" s="2"/>
    </row>
    <row r="397" spans="1:8" x14ac:dyDescent="0.25">
      <c r="A397" s="2"/>
      <c r="B397" s="2"/>
      <c r="E397" s="2"/>
      <c r="F397" s="2"/>
      <c r="G397" s="2"/>
      <c r="H397" s="2"/>
    </row>
    <row r="398" spans="1:8" x14ac:dyDescent="0.25">
      <c r="A398" s="2"/>
      <c r="B398" s="2"/>
      <c r="D398" s="3"/>
      <c r="E398" s="2"/>
      <c r="F398" s="2"/>
      <c r="G398" s="2"/>
      <c r="H398" s="2"/>
    </row>
    <row r="399" spans="1:8" x14ac:dyDescent="0.25">
      <c r="A399" s="2"/>
      <c r="B399" s="2"/>
      <c r="E399" s="2"/>
      <c r="F399" s="2"/>
      <c r="G399" s="2"/>
      <c r="H399" s="2"/>
    </row>
    <row r="400" spans="1:8" x14ac:dyDescent="0.25">
      <c r="A400" s="2"/>
      <c r="B400" s="2"/>
      <c r="D400" s="3"/>
      <c r="E400" s="2"/>
      <c r="F400" s="2"/>
      <c r="G400" s="2"/>
      <c r="H400" s="2"/>
    </row>
    <row r="401" spans="1:8" x14ac:dyDescent="0.25">
      <c r="A401" s="2"/>
      <c r="B401" s="2"/>
      <c r="E401" s="2"/>
      <c r="F401" s="2"/>
      <c r="G401" s="2"/>
      <c r="H401" s="2"/>
    </row>
    <row r="402" spans="1:8" x14ac:dyDescent="0.25">
      <c r="A402" s="2"/>
      <c r="B402" s="2"/>
      <c r="D402" s="3"/>
      <c r="E402" s="2"/>
      <c r="F402" s="2"/>
      <c r="G402" s="2"/>
      <c r="H402" s="2"/>
    </row>
    <row r="403" spans="1:8" x14ac:dyDescent="0.25">
      <c r="A403" s="2"/>
      <c r="B403" s="2"/>
      <c r="E403" s="2"/>
      <c r="F403" s="2"/>
      <c r="G403" s="2"/>
      <c r="H403" s="2"/>
    </row>
    <row r="404" spans="1:8" x14ac:dyDescent="0.25">
      <c r="A404" s="2"/>
      <c r="B404" s="2"/>
      <c r="D404" s="3"/>
      <c r="E404" s="2"/>
      <c r="F404" s="2"/>
      <c r="G404" s="2"/>
      <c r="H404" s="2"/>
    </row>
    <row r="405" spans="1:8" x14ac:dyDescent="0.25">
      <c r="A405" s="2"/>
      <c r="B405" s="2"/>
      <c r="E405" s="2"/>
      <c r="F405" s="2"/>
      <c r="G405" s="2"/>
      <c r="H405" s="2"/>
    </row>
    <row r="406" spans="1:8" x14ac:dyDescent="0.25">
      <c r="A406" s="2"/>
      <c r="B406" s="2"/>
      <c r="D406" s="3"/>
      <c r="E406" s="2"/>
      <c r="F406" s="2"/>
      <c r="G406" s="2"/>
      <c r="H406" s="2"/>
    </row>
    <row r="407" spans="1:8" x14ac:dyDescent="0.25">
      <c r="A407" s="2"/>
      <c r="B407" s="2"/>
      <c r="E407" s="2"/>
      <c r="F407" s="2"/>
      <c r="G407" s="2"/>
      <c r="H407" s="2"/>
    </row>
    <row r="408" spans="1:8" x14ac:dyDescent="0.25">
      <c r="A408" s="2"/>
      <c r="B408" s="2"/>
      <c r="D408" s="3"/>
      <c r="E408" s="2"/>
      <c r="F408" s="2"/>
      <c r="G408" s="2"/>
      <c r="H408" s="2"/>
    </row>
    <row r="409" spans="1:8" x14ac:dyDescent="0.25">
      <c r="A409" s="2"/>
      <c r="B409" s="2"/>
      <c r="E409" s="2"/>
      <c r="F409" s="2"/>
      <c r="G409" s="2"/>
      <c r="H409" s="2"/>
    </row>
    <row r="410" spans="1:8" x14ac:dyDescent="0.25">
      <c r="A410" s="2"/>
      <c r="B410" s="2"/>
      <c r="D410" s="3"/>
      <c r="E410" s="2"/>
      <c r="F410" s="2"/>
      <c r="G410" s="2"/>
      <c r="H410" s="2"/>
    </row>
    <row r="411" spans="1:8" x14ac:dyDescent="0.25">
      <c r="A411" s="2"/>
      <c r="B411" s="2"/>
      <c r="E411" s="2"/>
      <c r="F411" s="2"/>
      <c r="G411" s="2"/>
      <c r="H411" s="2"/>
    </row>
    <row r="412" spans="1:8" x14ac:dyDescent="0.25">
      <c r="A412" s="2"/>
      <c r="B412" s="2"/>
      <c r="D412" s="3"/>
      <c r="E412" s="2"/>
      <c r="F412" s="2"/>
      <c r="G412" s="2"/>
      <c r="H412" s="2"/>
    </row>
    <row r="413" spans="1:8" x14ac:dyDescent="0.25">
      <c r="A413" s="2"/>
      <c r="B413" s="2"/>
      <c r="E413" s="2"/>
      <c r="F413" s="2"/>
      <c r="G413" s="2"/>
      <c r="H413" s="2"/>
    </row>
    <row r="414" spans="1:8" x14ac:dyDescent="0.25">
      <c r="A414" s="2"/>
      <c r="B414" s="2"/>
      <c r="D414" s="3"/>
      <c r="E414" s="2"/>
      <c r="F414" s="2"/>
      <c r="G414" s="2"/>
      <c r="H414" s="2"/>
    </row>
    <row r="415" spans="1:8" x14ac:dyDescent="0.25">
      <c r="A415" s="2"/>
      <c r="B415" s="2"/>
      <c r="E415" s="2"/>
      <c r="F415" s="2"/>
      <c r="G415" s="2"/>
      <c r="H415" s="2"/>
    </row>
    <row r="416" spans="1:8" x14ac:dyDescent="0.25">
      <c r="A416" s="2"/>
      <c r="B416" s="2"/>
      <c r="D416" s="3"/>
      <c r="E416" s="2"/>
      <c r="F416" s="2"/>
      <c r="G416" s="2"/>
      <c r="H416" s="2"/>
    </row>
    <row r="417" spans="1:8" x14ac:dyDescent="0.25">
      <c r="A417" s="2"/>
      <c r="B417" s="2"/>
      <c r="E417" s="2"/>
      <c r="F417" s="2"/>
      <c r="G417" s="2"/>
      <c r="H417" s="2"/>
    </row>
    <row r="418" spans="1:8" x14ac:dyDescent="0.25">
      <c r="A418" s="2"/>
      <c r="B418" s="2"/>
      <c r="D418" s="3"/>
      <c r="E418" s="2"/>
      <c r="F418" s="2"/>
      <c r="G418" s="2"/>
      <c r="H418" s="2"/>
    </row>
    <row r="419" spans="1:8" x14ac:dyDescent="0.25">
      <c r="A419" s="2"/>
      <c r="B419" s="2"/>
      <c r="E419" s="2"/>
      <c r="F419" s="2"/>
      <c r="G419" s="2"/>
      <c r="H419" s="2"/>
    </row>
    <row r="420" spans="1:8" x14ac:dyDescent="0.25">
      <c r="A420" s="2"/>
      <c r="B420" s="2"/>
      <c r="D420" s="3"/>
      <c r="E420" s="2"/>
      <c r="F420" s="2"/>
      <c r="G420" s="2"/>
      <c r="H420" s="2"/>
    </row>
    <row r="421" spans="1:8" x14ac:dyDescent="0.25">
      <c r="A421" s="2"/>
      <c r="B421" s="2"/>
      <c r="E421" s="2"/>
      <c r="F421" s="2"/>
      <c r="G421" s="2"/>
      <c r="H421" s="2"/>
    </row>
    <row r="422" spans="1:8" x14ac:dyDescent="0.25">
      <c r="A422" s="2"/>
      <c r="B422" s="2"/>
      <c r="D422" s="3"/>
      <c r="E422" s="2"/>
      <c r="F422" s="2"/>
      <c r="G422" s="2"/>
      <c r="H422" s="2"/>
    </row>
    <row r="423" spans="1:8" x14ac:dyDescent="0.25">
      <c r="A423" s="2"/>
      <c r="B423" s="2"/>
      <c r="E423" s="2"/>
      <c r="F423" s="2"/>
      <c r="G423" s="2"/>
      <c r="H423" s="2"/>
    </row>
    <row r="424" spans="1:8" x14ac:dyDescent="0.25">
      <c r="A424" s="2"/>
      <c r="B424" s="2"/>
      <c r="D424" s="3"/>
      <c r="E424" s="2"/>
      <c r="F424" s="2"/>
      <c r="G424" s="2"/>
      <c r="H424" s="2"/>
    </row>
    <row r="425" spans="1:8" x14ac:dyDescent="0.25">
      <c r="A425" s="2"/>
      <c r="B425" s="2"/>
      <c r="E425" s="2"/>
      <c r="F425" s="2"/>
      <c r="G425" s="2"/>
      <c r="H425" s="2"/>
    </row>
    <row r="426" spans="1:8" x14ac:dyDescent="0.25">
      <c r="A426" s="2"/>
      <c r="B426" s="2"/>
      <c r="D426" s="3"/>
      <c r="E426" s="2"/>
      <c r="F426" s="2"/>
      <c r="G426" s="2"/>
      <c r="H426" s="2"/>
    </row>
    <row r="427" spans="1:8" x14ac:dyDescent="0.25">
      <c r="A427" s="2"/>
      <c r="B427" s="2"/>
      <c r="E427" s="2"/>
      <c r="F427" s="2"/>
      <c r="G427" s="2"/>
      <c r="H427" s="2"/>
    </row>
    <row r="428" spans="1:8" x14ac:dyDescent="0.25">
      <c r="A428" s="2"/>
      <c r="B428" s="2"/>
      <c r="D428" s="3"/>
      <c r="E428" s="2"/>
      <c r="F428" s="2"/>
      <c r="G428" s="2"/>
      <c r="H428" s="2"/>
    </row>
    <row r="429" spans="1:8" x14ac:dyDescent="0.25">
      <c r="A429" s="2"/>
      <c r="B429" s="2"/>
      <c r="E429" s="2"/>
      <c r="F429" s="2"/>
      <c r="G429" s="2"/>
      <c r="H429" s="2"/>
    </row>
    <row r="430" spans="1:8" x14ac:dyDescent="0.25">
      <c r="A430" s="2"/>
      <c r="B430" s="2"/>
      <c r="D430" s="3"/>
      <c r="E430" s="2"/>
      <c r="F430" s="2"/>
      <c r="G430" s="2"/>
      <c r="H430" s="2"/>
    </row>
    <row r="431" spans="1:8" x14ac:dyDescent="0.25">
      <c r="A431" s="2"/>
      <c r="B431" s="2"/>
      <c r="E431" s="2"/>
      <c r="F431" s="2"/>
      <c r="G431" s="2"/>
      <c r="H431" s="2"/>
    </row>
    <row r="432" spans="1:8" x14ac:dyDescent="0.25">
      <c r="A432" s="2"/>
      <c r="B432" s="2"/>
      <c r="D432" s="3"/>
      <c r="E432" s="2"/>
      <c r="F432" s="2"/>
      <c r="G432" s="2"/>
      <c r="H432" s="2"/>
    </row>
    <row r="433" spans="1:8" x14ac:dyDescent="0.25">
      <c r="A433" s="2"/>
      <c r="B433" s="2"/>
      <c r="E433" s="2"/>
      <c r="F433" s="2"/>
      <c r="G433" s="2"/>
      <c r="H433" s="2"/>
    </row>
    <row r="434" spans="1:8" x14ac:dyDescent="0.25">
      <c r="A434" s="2"/>
      <c r="B434" s="2"/>
      <c r="D434" s="3"/>
      <c r="E434" s="2"/>
      <c r="F434" s="2"/>
      <c r="G434" s="2"/>
      <c r="H434" s="2"/>
    </row>
    <row r="435" spans="1:8" x14ac:dyDescent="0.25">
      <c r="A435" s="2"/>
      <c r="B435" s="2"/>
      <c r="E435" s="2"/>
      <c r="F435" s="2"/>
      <c r="G435" s="2"/>
      <c r="H435" s="2"/>
    </row>
    <row r="436" spans="1:8" x14ac:dyDescent="0.25">
      <c r="A436" s="2"/>
      <c r="B436" s="2"/>
      <c r="D436" s="3"/>
      <c r="E436" s="2"/>
      <c r="F436" s="2"/>
      <c r="G436" s="2"/>
      <c r="H436" s="2"/>
    </row>
    <row r="437" spans="1:8" x14ac:dyDescent="0.25">
      <c r="A437" s="2"/>
      <c r="B437" s="2"/>
      <c r="E437" s="2"/>
      <c r="F437" s="2"/>
      <c r="G437" s="2"/>
      <c r="H437" s="2"/>
    </row>
    <row r="438" spans="1:8" x14ac:dyDescent="0.25">
      <c r="A438" s="2"/>
      <c r="B438" s="2"/>
      <c r="D438" s="3"/>
      <c r="E438" s="2"/>
      <c r="F438" s="2"/>
      <c r="G438" s="2"/>
      <c r="H438" s="2"/>
    </row>
    <row r="439" spans="1:8" x14ac:dyDescent="0.25">
      <c r="A439" s="2"/>
      <c r="B439" s="2"/>
      <c r="E439" s="2"/>
      <c r="F439" s="2"/>
      <c r="G439" s="2"/>
      <c r="H439" s="2"/>
    </row>
    <row r="440" spans="1:8" x14ac:dyDescent="0.25">
      <c r="A440" s="2"/>
      <c r="B440" s="2"/>
      <c r="D440" s="3"/>
      <c r="E440" s="2"/>
      <c r="F440" s="2"/>
      <c r="G440" s="2"/>
      <c r="H440" s="2"/>
    </row>
    <row r="441" spans="1:8" x14ac:dyDescent="0.25">
      <c r="A441" s="2"/>
      <c r="B441" s="2"/>
      <c r="E441" s="2"/>
      <c r="F441" s="2"/>
      <c r="G441" s="2"/>
      <c r="H441" s="2"/>
    </row>
    <row r="442" spans="1:8" x14ac:dyDescent="0.25">
      <c r="A442" s="2"/>
      <c r="B442" s="2"/>
      <c r="D442" s="3"/>
      <c r="E442" s="2"/>
      <c r="F442" s="2"/>
      <c r="G442" s="2"/>
      <c r="H442" s="2"/>
    </row>
    <row r="443" spans="1:8" x14ac:dyDescent="0.25">
      <c r="A443" s="2"/>
      <c r="B443" s="2"/>
      <c r="E443" s="2"/>
      <c r="F443" s="2"/>
      <c r="G443" s="2"/>
      <c r="H443" s="2"/>
    </row>
    <row r="444" spans="1:8" x14ac:dyDescent="0.25">
      <c r="A444" s="2"/>
      <c r="B444" s="2"/>
      <c r="D444" s="3"/>
      <c r="E444" s="2"/>
      <c r="F444" s="2"/>
      <c r="G444" s="2"/>
      <c r="H444" s="2"/>
    </row>
    <row r="445" spans="1:8" x14ac:dyDescent="0.25">
      <c r="A445" s="2"/>
      <c r="B445" s="2"/>
      <c r="E445" s="2"/>
      <c r="F445" s="2"/>
      <c r="G445" s="2"/>
      <c r="H445" s="2"/>
    </row>
    <row r="446" spans="1:8" x14ac:dyDescent="0.25">
      <c r="A446" s="2"/>
      <c r="B446" s="2"/>
      <c r="D446" s="3"/>
      <c r="E446" s="2"/>
      <c r="F446" s="2"/>
      <c r="G446" s="2"/>
      <c r="H446" s="2"/>
    </row>
    <row r="447" spans="1:8" x14ac:dyDescent="0.25">
      <c r="A447" s="2"/>
      <c r="B447" s="2"/>
      <c r="E447" s="2"/>
      <c r="F447" s="2"/>
      <c r="G447" s="2"/>
      <c r="H447" s="2"/>
    </row>
    <row r="448" spans="1:8" x14ac:dyDescent="0.25">
      <c r="A448" s="2"/>
      <c r="B448" s="2"/>
      <c r="D448" s="3"/>
      <c r="E448" s="2"/>
      <c r="F448" s="2"/>
      <c r="G448" s="2"/>
      <c r="H448" s="2"/>
    </row>
  </sheetData>
  <conditionalFormatting sqref="B136:B151">
    <cfRule type="cellIs" dxfId="9" priority="68" stopIfTrue="1" operator="equal">
      <formula>"INSTITUCIONAL"</formula>
    </cfRule>
  </conditionalFormatting>
  <conditionalFormatting sqref="B136:B151">
    <cfRule type="cellIs" dxfId="8" priority="67" stopIfTrue="1" operator="equal">
      <formula>"GESTION"</formula>
    </cfRule>
  </conditionalFormatting>
  <conditionalFormatting sqref="G132:G135">
    <cfRule type="cellIs" dxfId="7" priority="15" stopIfTrue="1" operator="notBetween">
      <formula>0</formula>
      <formula>0</formula>
    </cfRule>
  </conditionalFormatting>
  <conditionalFormatting sqref="B132:B135">
    <cfRule type="cellIs" dxfId="6" priority="14" stopIfTrue="1" operator="equal">
      <formula>"INSTITUCIONAL"</formula>
    </cfRule>
  </conditionalFormatting>
  <conditionalFormatting sqref="B132:B135">
    <cfRule type="cellIs" dxfId="5" priority="13" stopIfTrue="1" operator="equal">
      <formula>"GESTION"</formula>
    </cfRule>
  </conditionalFormatting>
  <conditionalFormatting sqref="G23:G131">
    <cfRule type="cellIs" dxfId="4" priority="3" stopIfTrue="1" operator="notBetween">
      <formula>0</formula>
      <formula>0</formula>
    </cfRule>
  </conditionalFormatting>
  <conditionalFormatting sqref="B3:B131">
    <cfRule type="cellIs" dxfId="3" priority="2" stopIfTrue="1" operator="equal">
      <formula>"INSTITUCIONAL"</formula>
    </cfRule>
  </conditionalFormatting>
  <conditionalFormatting sqref="B3:B131">
    <cfRule type="cellIs" dxfId="2" priority="1" stopIfTrue="1" operator="equal">
      <formula>"GESTION"</formula>
    </cfRule>
  </conditionalFormatting>
  <dataValidations count="1">
    <dataValidation type="list" allowBlank="1" showInputMessage="1" showErrorMessage="1" sqref="H8:H135" xr:uid="{DFC4C4C7-19B6-439E-96EC-7CBF5D310E07}">
      <formula1>$K$6:$K$17</formula1>
    </dataValidation>
  </dataValidation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B1:H1158"/>
  <sheetViews>
    <sheetView tabSelected="1" zoomScale="85" zoomScaleNormal="85" workbookViewId="0">
      <selection activeCell="F74" sqref="F74"/>
    </sheetView>
  </sheetViews>
  <sheetFormatPr baseColWidth="10" defaultColWidth="11.42578125" defaultRowHeight="15" x14ac:dyDescent="0.25"/>
  <cols>
    <col min="1" max="1" width="2.5703125" style="56" customWidth="1"/>
    <col min="2" max="2" width="17.28515625" style="58" customWidth="1"/>
    <col min="3" max="3" width="21.42578125" style="57" customWidth="1"/>
    <col min="4" max="4" width="23.140625" style="58" bestFit="1" customWidth="1"/>
    <col min="5" max="5" width="71.28515625" style="56" bestFit="1" customWidth="1"/>
    <col min="6" max="6" width="48.42578125" style="56" bestFit="1" customWidth="1"/>
    <col min="7" max="7" width="11.42578125" style="56" customWidth="1"/>
    <col min="8" max="8" width="14.5703125" style="56" bestFit="1" customWidth="1"/>
    <col min="9" max="9" width="11.85546875" style="56" bestFit="1" customWidth="1"/>
    <col min="10" max="16384" width="11.42578125" style="56"/>
  </cols>
  <sheetData>
    <row r="1" spans="2:8" x14ac:dyDescent="0.25">
      <c r="B1" s="87" t="s">
        <v>23</v>
      </c>
      <c r="C1" s="86" t="s">
        <v>106</v>
      </c>
      <c r="D1" s="87" t="s">
        <v>107</v>
      </c>
      <c r="E1" s="23" t="s">
        <v>108</v>
      </c>
      <c r="F1" s="23" t="s">
        <v>109</v>
      </c>
      <c r="G1" s="25" t="s">
        <v>144</v>
      </c>
      <c r="H1" s="25" t="s">
        <v>110</v>
      </c>
    </row>
    <row r="2" spans="2:8" x14ac:dyDescent="0.25">
      <c r="B2" s="59" t="s">
        <v>88</v>
      </c>
    </row>
    <row r="3" spans="2:8" x14ac:dyDescent="0.25">
      <c r="B3" s="58">
        <v>156622</v>
      </c>
      <c r="C3" s="57">
        <f>IFERROR((VLOOKUP(B3,FONT!$W$5:$X$1091,2,0)),0)</f>
        <v>0</v>
      </c>
      <c r="D3" s="58">
        <v>58</v>
      </c>
      <c r="E3" s="56" t="s">
        <v>39</v>
      </c>
      <c r="F3" s="56" t="s">
        <v>39</v>
      </c>
      <c r="G3" s="56">
        <f>IFERROR((VLOOKUP(B3,PENDIENTES!$L$5:$M$561,2,0)),0)</f>
        <v>0</v>
      </c>
      <c r="H3" s="56" t="s">
        <v>204</v>
      </c>
    </row>
    <row r="4" spans="2:8" x14ac:dyDescent="0.25">
      <c r="B4" s="58">
        <v>154702</v>
      </c>
      <c r="C4" s="57">
        <f>IFERROR((VLOOKUP(B4,FONT!$W$5:$X$1091,2,0)),0)</f>
        <v>0</v>
      </c>
      <c r="D4" s="58">
        <v>60</v>
      </c>
      <c r="E4" s="56" t="s">
        <v>40</v>
      </c>
      <c r="F4" s="56" t="s">
        <v>210</v>
      </c>
      <c r="G4" s="56">
        <f>IFERROR((VLOOKUP(B4,PENDIENTES!$L$5:$M$561,2,0)),0)</f>
        <v>1</v>
      </c>
      <c r="H4" s="56" t="s">
        <v>204</v>
      </c>
    </row>
    <row r="5" spans="2:8" x14ac:dyDescent="0.25">
      <c r="B5" s="58">
        <v>80820</v>
      </c>
      <c r="C5" s="57">
        <f>IFERROR((VLOOKUP(B5,FONT!$W$5:$X$1091,2,0)),0)</f>
        <v>0</v>
      </c>
      <c r="D5" s="58">
        <v>63</v>
      </c>
      <c r="E5" s="56" t="s">
        <v>211</v>
      </c>
      <c r="F5" s="56" t="s">
        <v>210</v>
      </c>
      <c r="G5" s="56">
        <f>IFERROR((VLOOKUP(B5,PENDIENTES!$L$5:$M$561,2,0)),0)</f>
        <v>1</v>
      </c>
      <c r="H5" s="56" t="s">
        <v>204</v>
      </c>
    </row>
    <row r="6" spans="2:8" x14ac:dyDescent="0.25">
      <c r="B6" s="58">
        <v>1036691</v>
      </c>
      <c r="C6" s="57">
        <f>IFERROR((VLOOKUP(B6,FONT!$W$5:$X$1091,2,0)),0)</f>
        <v>0</v>
      </c>
      <c r="D6" s="58" t="s">
        <v>311</v>
      </c>
      <c r="E6" s="56" t="s">
        <v>311</v>
      </c>
      <c r="F6" s="56" t="s">
        <v>311</v>
      </c>
      <c r="G6" s="56">
        <f>IFERROR((VLOOKUP(B6,PENDIENTES!$L$5:$M$561,2,0)),0)</f>
        <v>0</v>
      </c>
      <c r="H6" s="56" t="s">
        <v>204</v>
      </c>
    </row>
    <row r="7" spans="2:8" x14ac:dyDescent="0.25">
      <c r="B7" s="58">
        <v>2000206</v>
      </c>
      <c r="C7" s="57">
        <f>IFERROR((VLOOKUP(B7,FONT!$W$5:$X$1091,2,0)),0)</f>
        <v>0</v>
      </c>
      <c r="D7" s="58">
        <v>116</v>
      </c>
      <c r="E7" s="56" t="s">
        <v>220</v>
      </c>
      <c r="F7" s="56" t="s">
        <v>221</v>
      </c>
      <c r="G7" s="56">
        <f>IFERROR((VLOOKUP(B7,PENDIENTES!$L$5:$M$561,2,0)),0)</f>
        <v>0</v>
      </c>
      <c r="H7" s="56" t="s">
        <v>204</v>
      </c>
    </row>
    <row r="8" spans="2:8" x14ac:dyDescent="0.25">
      <c r="B8" s="58">
        <v>2000205</v>
      </c>
      <c r="C8" s="57">
        <f>IFERROR((VLOOKUP(B8,FONT!$W$5:$X$1091,2,0)),0)</f>
        <v>0</v>
      </c>
      <c r="D8" s="58">
        <v>117</v>
      </c>
      <c r="E8" s="56" t="s">
        <v>222</v>
      </c>
      <c r="F8" s="56" t="s">
        <v>221</v>
      </c>
      <c r="G8" s="56">
        <f>IFERROR((VLOOKUP(B8,PENDIENTES!$L$5:$M$561,2,0)),0)</f>
        <v>0</v>
      </c>
      <c r="H8" s="56" t="s">
        <v>204</v>
      </c>
    </row>
    <row r="9" spans="2:8" x14ac:dyDescent="0.25">
      <c r="B9" s="58">
        <v>1013187</v>
      </c>
      <c r="C9" s="57">
        <f>IFERROR((VLOOKUP(B9,FONT!$W$5:$X$1091,2,0)),0)</f>
        <v>0</v>
      </c>
      <c r="D9" s="58">
        <v>127</v>
      </c>
      <c r="E9" s="56" t="s">
        <v>43</v>
      </c>
      <c r="F9" s="56" t="s">
        <v>236</v>
      </c>
      <c r="G9" s="56">
        <f>IFERROR((VLOOKUP(B9,PENDIENTES!$L$5:$M$561,2,0)),0)</f>
        <v>0</v>
      </c>
      <c r="H9" s="56" t="s">
        <v>204</v>
      </c>
    </row>
    <row r="10" spans="2:8" x14ac:dyDescent="0.25">
      <c r="B10" s="58">
        <v>2000863</v>
      </c>
      <c r="C10" s="57">
        <f>IFERROR((VLOOKUP(B10,FONT!$W$5:$X$1091,2,0)),0)</f>
        <v>0</v>
      </c>
      <c r="D10" s="58">
        <v>2000863</v>
      </c>
      <c r="E10" s="56" t="s">
        <v>44</v>
      </c>
      <c r="F10" s="56" t="s">
        <v>221</v>
      </c>
      <c r="G10" s="56">
        <f>IFERROR((VLOOKUP(B10,PENDIENTES!$L$5:$M$561,2,0)),0)</f>
        <v>0</v>
      </c>
      <c r="H10" s="56" t="s">
        <v>204</v>
      </c>
    </row>
    <row r="11" spans="2:8" x14ac:dyDescent="0.25">
      <c r="B11" s="58">
        <v>2000905</v>
      </c>
      <c r="C11" s="57">
        <f>IFERROR((VLOOKUP(B11,FONT!$W$5:$X$1091,2,0)),0)</f>
        <v>0</v>
      </c>
      <c r="D11" s="58">
        <v>2000905</v>
      </c>
      <c r="E11" s="56" t="s">
        <v>45</v>
      </c>
      <c r="F11" s="56" t="s">
        <v>45</v>
      </c>
      <c r="G11" s="56">
        <f>IFERROR((VLOOKUP(B11,PENDIENTES!$L$5:$M$561,2,0)),0)</f>
        <v>0</v>
      </c>
      <c r="H11" s="56" t="s">
        <v>204</v>
      </c>
    </row>
    <row r="12" spans="2:8" x14ac:dyDescent="0.25">
      <c r="B12" s="58">
        <v>2000574</v>
      </c>
      <c r="C12" s="57">
        <f>IFERROR((VLOOKUP(B12,FONT!$W$5:$X$1091,2,0)),0)</f>
        <v>0</v>
      </c>
      <c r="D12" s="58" t="s">
        <v>172</v>
      </c>
      <c r="E12" s="56" t="s">
        <v>255</v>
      </c>
      <c r="F12" s="56" t="s">
        <v>172</v>
      </c>
      <c r="G12" s="56">
        <f>IFERROR((VLOOKUP(B12,PENDIENTES!$L$5:$M$561,2,0)),0)</f>
        <v>0</v>
      </c>
      <c r="H12" s="56" t="s">
        <v>204</v>
      </c>
    </row>
    <row r="13" spans="2:8" x14ac:dyDescent="0.25">
      <c r="B13" s="58">
        <v>2000575</v>
      </c>
      <c r="C13" s="57">
        <f>IFERROR((VLOOKUP(B13,FONT!$W$5:$X$1091,2,0)),0)</f>
        <v>0</v>
      </c>
      <c r="D13" s="58" t="s">
        <v>172</v>
      </c>
      <c r="E13" s="56" t="s">
        <v>255</v>
      </c>
      <c r="F13" s="56" t="s">
        <v>172</v>
      </c>
      <c r="G13" s="56">
        <f>IFERROR((VLOOKUP(B13,PENDIENTES!$L$5:$M$561,2,0)),0)</f>
        <v>0</v>
      </c>
      <c r="H13" s="56" t="s">
        <v>204</v>
      </c>
    </row>
    <row r="14" spans="2:8" x14ac:dyDescent="0.25">
      <c r="B14" s="58">
        <v>2000576</v>
      </c>
      <c r="C14" s="57">
        <f>IFERROR((VLOOKUP(B14,FONT!$W$5:$X$1091,2,0)),0)</f>
        <v>0</v>
      </c>
      <c r="D14" s="58" t="s">
        <v>172</v>
      </c>
      <c r="E14" s="56" t="s">
        <v>255</v>
      </c>
      <c r="F14" s="56" t="s">
        <v>172</v>
      </c>
      <c r="G14" s="56">
        <f>IFERROR((VLOOKUP(B14,PENDIENTES!$L$5:$M$561,2,0)),0)</f>
        <v>0</v>
      </c>
      <c r="H14" s="56" t="s">
        <v>204</v>
      </c>
    </row>
    <row r="15" spans="2:8" x14ac:dyDescent="0.25">
      <c r="B15" s="58">
        <v>2000577</v>
      </c>
      <c r="C15" s="57">
        <f>IFERROR((VLOOKUP(B15,FONT!$W$5:$X$1091,2,0)),0)</f>
        <v>0</v>
      </c>
      <c r="D15" s="58" t="s">
        <v>172</v>
      </c>
      <c r="E15" s="56" t="s">
        <v>255</v>
      </c>
      <c r="F15" s="56" t="s">
        <v>172</v>
      </c>
      <c r="G15" s="56">
        <f>IFERROR((VLOOKUP(B15,PENDIENTES!$L$5:$M$561,2,0)),0)</f>
        <v>0</v>
      </c>
      <c r="H15" s="56" t="s">
        <v>204</v>
      </c>
    </row>
    <row r="16" spans="2:8" x14ac:dyDescent="0.25">
      <c r="B16" s="58">
        <v>65503691935</v>
      </c>
      <c r="C16" s="57">
        <f>IFERROR((VLOOKUP(B16,FONT!$W$5:$X$1091,2,0)),0)</f>
        <v>0</v>
      </c>
      <c r="D16" s="58" t="s">
        <v>49</v>
      </c>
      <c r="E16" s="58" t="s">
        <v>49</v>
      </c>
      <c r="F16" s="58" t="s">
        <v>49</v>
      </c>
      <c r="G16" s="56">
        <f>IFERROR((VLOOKUP(B16,PENDIENTES!$L$5:$M$561,2,0)),0)</f>
        <v>0</v>
      </c>
      <c r="H16" s="56" t="s">
        <v>204</v>
      </c>
    </row>
    <row r="17" spans="2:8" x14ac:dyDescent="0.25">
      <c r="B17" s="58">
        <v>2000534</v>
      </c>
      <c r="C17" s="57">
        <f>IFERROR((VLOOKUP(B17,FONT!$W$5:$X$1091,2,0)),0)</f>
        <v>0</v>
      </c>
      <c r="D17" s="58" t="s">
        <v>50</v>
      </c>
      <c r="E17" s="56" t="s">
        <v>51</v>
      </c>
      <c r="F17" s="56" t="s">
        <v>51</v>
      </c>
      <c r="G17" s="56">
        <f>IFERROR((VLOOKUP(B17,PENDIENTES!$L$5:$M$561,2,0)),0)</f>
        <v>0</v>
      </c>
      <c r="H17" s="56" t="s">
        <v>204</v>
      </c>
    </row>
    <row r="18" spans="2:8" x14ac:dyDescent="0.25">
      <c r="B18" s="58">
        <v>65507430562</v>
      </c>
      <c r="C18" s="57">
        <f>IFERROR((VLOOKUP(B18,FONT!$W$5:$X$1091,2,0)),0)</f>
        <v>0</v>
      </c>
      <c r="D18" s="58" t="s">
        <v>242</v>
      </c>
      <c r="E18" s="56" t="s">
        <v>243</v>
      </c>
      <c r="F18" s="56" t="s">
        <v>243</v>
      </c>
      <c r="G18" s="56">
        <f>IFERROR((VLOOKUP(B18,PENDIENTES!$L$5:$M$561,2,0)),0)</f>
        <v>0</v>
      </c>
      <c r="H18" s="56" t="s">
        <v>204</v>
      </c>
    </row>
    <row r="19" spans="2:8" x14ac:dyDescent="0.25">
      <c r="B19" s="58">
        <v>2000597</v>
      </c>
      <c r="C19" s="57">
        <f>IFERROR((VLOOKUP(B19,FONT!$W$5:$X$1091,2,0)),0)</f>
        <v>0</v>
      </c>
      <c r="D19" s="58" t="s">
        <v>306</v>
      </c>
      <c r="G19" s="56">
        <f>IFERROR((VLOOKUP(B19,PENDIENTES!$L$5:$M$561,2,0)),0)</f>
        <v>0</v>
      </c>
      <c r="H19" s="56" t="s">
        <v>204</v>
      </c>
    </row>
    <row r="20" spans="2:8" x14ac:dyDescent="0.25">
      <c r="B20" s="58">
        <v>2000730</v>
      </c>
      <c r="C20" s="57">
        <f>IFERROR((VLOOKUP(B20,FONT!$W$5:$X$1091,2,0)),0)</f>
        <v>0</v>
      </c>
      <c r="D20" s="58" t="s">
        <v>54</v>
      </c>
      <c r="E20" s="56" t="s">
        <v>267</v>
      </c>
      <c r="F20" s="56" t="s">
        <v>55</v>
      </c>
      <c r="G20" s="56">
        <f>IFERROR((VLOOKUP(B20,PENDIENTES!$L$5:$M$561,2,0)),0)</f>
        <v>0</v>
      </c>
      <c r="H20" s="56" t="s">
        <v>204</v>
      </c>
    </row>
    <row r="21" spans="2:8" x14ac:dyDescent="0.25">
      <c r="B21" s="58">
        <v>2000927</v>
      </c>
      <c r="C21" s="57">
        <f>IFERROR((VLOOKUP(B21,FONT!$W$5:$X$1091,2,0)),0)</f>
        <v>0</v>
      </c>
      <c r="D21" s="58" t="s">
        <v>56</v>
      </c>
      <c r="E21" s="56" t="s">
        <v>262</v>
      </c>
      <c r="F21" s="56" t="s">
        <v>263</v>
      </c>
      <c r="G21" s="56">
        <f>IFERROR((VLOOKUP(B21,PENDIENTES!$L$5:$M$561,2,0)),0)</f>
        <v>0</v>
      </c>
      <c r="H21" s="56" t="s">
        <v>204</v>
      </c>
    </row>
    <row r="22" spans="2:8" x14ac:dyDescent="0.25">
      <c r="B22" s="58">
        <v>2000928</v>
      </c>
      <c r="C22" s="57">
        <f>IFERROR((VLOOKUP(B22,FONT!$W$5:$X$1091,2,0)),0)</f>
        <v>0</v>
      </c>
      <c r="D22" s="58" t="s">
        <v>57</v>
      </c>
      <c r="E22" s="56" t="s">
        <v>260</v>
      </c>
      <c r="F22" s="56" t="s">
        <v>261</v>
      </c>
      <c r="G22" s="56">
        <f>IFERROR((VLOOKUP(B22,PENDIENTES!$L$5:$M$561,2,0)),0)</f>
        <v>0</v>
      </c>
      <c r="H22" s="56" t="s">
        <v>204</v>
      </c>
    </row>
    <row r="23" spans="2:8" x14ac:dyDescent="0.25">
      <c r="B23" s="58">
        <v>65507408917</v>
      </c>
      <c r="C23" s="57">
        <f>IFERROR((VLOOKUP(B23,FONT!$W$5:$X$1091,2,0)),0)</f>
        <v>0</v>
      </c>
      <c r="D23" s="58">
        <v>37</v>
      </c>
      <c r="E23" s="56" t="s">
        <v>18</v>
      </c>
      <c r="F23" s="56" t="s">
        <v>209</v>
      </c>
      <c r="G23" s="56">
        <f>IFERROR((VLOOKUP(B23,PENDIENTES!$L$5:$M$561,2,0)),0)</f>
        <v>0</v>
      </c>
      <c r="H23" s="56" t="s">
        <v>204</v>
      </c>
    </row>
    <row r="24" spans="2:8" x14ac:dyDescent="0.25">
      <c r="B24" s="58">
        <v>1037124</v>
      </c>
      <c r="C24" s="57">
        <f>IFERROR((VLOOKUP(B24,FONT!$W$5:$X$1091,2,0)),0)</f>
        <v>0</v>
      </c>
      <c r="D24" s="58">
        <v>75</v>
      </c>
      <c r="E24" s="56" t="s">
        <v>63</v>
      </c>
      <c r="F24" s="56" t="s">
        <v>212</v>
      </c>
      <c r="G24" s="56">
        <f>IFERROR((VLOOKUP(B24,PENDIENTES!$L$5:$M$561,2,0)),0)</f>
        <v>1</v>
      </c>
      <c r="H24" s="56" t="s">
        <v>204</v>
      </c>
    </row>
    <row r="25" spans="2:8" x14ac:dyDescent="0.25">
      <c r="B25" s="58">
        <v>1033811</v>
      </c>
      <c r="C25" s="57">
        <f>IFERROR((VLOOKUP(B25,FONT!$W$5:$X$1091,2,0)),0)</f>
        <v>0</v>
      </c>
      <c r="D25" s="58">
        <v>76</v>
      </c>
      <c r="E25" s="56" t="s">
        <v>64</v>
      </c>
      <c r="F25" s="56" t="s">
        <v>212</v>
      </c>
      <c r="G25" s="56">
        <f>IFERROR((VLOOKUP(B25,PENDIENTES!$L$5:$M$561,2,0)),0)</f>
        <v>0</v>
      </c>
      <c r="H25" s="56" t="s">
        <v>204</v>
      </c>
    </row>
    <row r="26" spans="2:8" x14ac:dyDescent="0.25">
      <c r="B26" s="58">
        <v>65502425394</v>
      </c>
      <c r="C26" s="57">
        <f>IFERROR((VLOOKUP(B26,FONT!$W$5:$X$1091,2,0)),0)</f>
        <v>0</v>
      </c>
      <c r="D26" s="58">
        <v>93</v>
      </c>
      <c r="E26" s="56" t="s">
        <v>66</v>
      </c>
      <c r="F26" s="56" t="s">
        <v>215</v>
      </c>
      <c r="G26" s="56">
        <f>IFERROR((VLOOKUP(B26,PENDIENTES!$L$5:$M$561,2,0)),0)</f>
        <v>0</v>
      </c>
      <c r="H26" s="56" t="s">
        <v>204</v>
      </c>
    </row>
    <row r="27" spans="2:8" x14ac:dyDescent="0.25">
      <c r="B27" s="58">
        <v>1002455</v>
      </c>
      <c r="C27" s="57">
        <f>IFERROR((VLOOKUP(B27,FONT!$W$5:$X$1091,2,0)),0)</f>
        <v>0</v>
      </c>
      <c r="D27" s="58">
        <v>94</v>
      </c>
      <c r="E27" s="56" t="s">
        <v>67</v>
      </c>
      <c r="F27" s="56" t="s">
        <v>216</v>
      </c>
      <c r="G27" s="56">
        <f>IFERROR((VLOOKUP(B27,PENDIENTES!$L$5:$M$561,2,0)),0)</f>
        <v>0</v>
      </c>
      <c r="H27" s="56" t="s">
        <v>204</v>
      </c>
    </row>
    <row r="28" spans="2:8" x14ac:dyDescent="0.25">
      <c r="B28" s="58">
        <v>152965</v>
      </c>
      <c r="C28" s="57">
        <f>IFERROR((VLOOKUP(B28,FONT!$W$5:$X$1091,2,0)),0)</f>
        <v>0</v>
      </c>
      <c r="D28" s="58">
        <v>105</v>
      </c>
      <c r="E28" s="56" t="s">
        <v>68</v>
      </c>
      <c r="F28" s="56" t="s">
        <v>217</v>
      </c>
      <c r="G28" s="56">
        <f>IFERROR((VLOOKUP(B28,PENDIENTES!$L$5:$M$561,2,0)),0)</f>
        <v>0</v>
      </c>
      <c r="H28" s="56" t="s">
        <v>204</v>
      </c>
    </row>
    <row r="29" spans="2:8" x14ac:dyDescent="0.25">
      <c r="B29" s="58">
        <v>1005849</v>
      </c>
      <c r="C29" s="57">
        <f>IFERROR((VLOOKUP(B29,FONT!$W$5:$X$1091,2,0)),0)</f>
        <v>0</v>
      </c>
      <c r="D29" s="58">
        <v>114</v>
      </c>
      <c r="E29" s="56" t="s">
        <v>218</v>
      </c>
      <c r="F29" s="56" t="s">
        <v>219</v>
      </c>
      <c r="G29" s="56">
        <f>IFERROR((VLOOKUP(B29,PENDIENTES!$L$5:$M$561,2,0)),0)</f>
        <v>0</v>
      </c>
      <c r="H29" s="56" t="s">
        <v>204</v>
      </c>
    </row>
    <row r="30" spans="2:8" x14ac:dyDescent="0.25">
      <c r="B30" s="58">
        <v>142481</v>
      </c>
      <c r="C30" s="57">
        <f>IFERROR((VLOOKUP(B30,FONT!$W$5:$X$1091,2,0)),0)</f>
        <v>0</v>
      </c>
      <c r="D30" s="58">
        <v>1081</v>
      </c>
      <c r="E30" s="56" t="s">
        <v>73</v>
      </c>
      <c r="F30" s="56" t="s">
        <v>216</v>
      </c>
      <c r="G30" s="56">
        <f>IFERROR((VLOOKUP(B30,PENDIENTES!$L$5:$M$561,2,0)),0)</f>
        <v>0</v>
      </c>
      <c r="H30" s="56" t="s">
        <v>204</v>
      </c>
    </row>
    <row r="31" spans="2:8" x14ac:dyDescent="0.25">
      <c r="B31" s="58">
        <v>142482</v>
      </c>
      <c r="C31" s="57">
        <f>IFERROR((VLOOKUP(B31,FONT!$W$5:$X$1091,2,0)),0)</f>
        <v>0</v>
      </c>
      <c r="D31" s="58">
        <v>1082</v>
      </c>
      <c r="E31" s="56" t="s">
        <v>74</v>
      </c>
      <c r="F31" s="56" t="s">
        <v>216</v>
      </c>
      <c r="G31" s="56">
        <f>IFERROR((VLOOKUP(B31,PENDIENTES!$L$5:$M$561,2,0)),0)</f>
        <v>0</v>
      </c>
      <c r="H31" s="56" t="s">
        <v>204</v>
      </c>
    </row>
    <row r="32" spans="2:8" x14ac:dyDescent="0.25">
      <c r="B32" s="58">
        <v>65507665273</v>
      </c>
      <c r="C32" s="57">
        <f>IFERROR((VLOOKUP(B32,FONT!$W$5:$X$1091,2,0)),0)</f>
        <v>0</v>
      </c>
      <c r="D32" s="58">
        <v>1094</v>
      </c>
      <c r="E32" s="56" t="s">
        <v>75</v>
      </c>
      <c r="F32" s="56" t="s">
        <v>209</v>
      </c>
      <c r="G32" s="56">
        <f>IFERROR((VLOOKUP(B32,PENDIENTES!$L$5:$M$561,2,0)),0)</f>
        <v>0</v>
      </c>
      <c r="H32" s="56" t="s">
        <v>204</v>
      </c>
    </row>
    <row r="33" spans="2:8" x14ac:dyDescent="0.25">
      <c r="B33" s="58">
        <v>1018014</v>
      </c>
      <c r="C33" s="57">
        <f>IFERROR((VLOOKUP(B33,FONT!$W$5:$X$1091,2,0)),0)</f>
        <v>0</v>
      </c>
      <c r="D33" s="58">
        <v>1018014</v>
      </c>
      <c r="E33" s="56" t="s">
        <v>79</v>
      </c>
      <c r="F33" s="56" t="s">
        <v>79</v>
      </c>
      <c r="G33" s="56">
        <f>IFERROR((VLOOKUP(B33,PENDIENTES!$L$5:$M$561,2,0)),0)</f>
        <v>0</v>
      </c>
      <c r="H33" s="56" t="s">
        <v>204</v>
      </c>
    </row>
    <row r="34" spans="2:8" x14ac:dyDescent="0.25">
      <c r="B34" s="58">
        <v>1018122</v>
      </c>
      <c r="C34" s="57">
        <f>IFERROR((VLOOKUP(B34,FONT!$W$5:$X$1091,2,0)),0)</f>
        <v>0</v>
      </c>
      <c r="D34" s="58">
        <v>1018122</v>
      </c>
      <c r="E34" s="56" t="s">
        <v>80</v>
      </c>
      <c r="F34" s="56" t="s">
        <v>216</v>
      </c>
      <c r="G34" s="56">
        <f>IFERROR((VLOOKUP(B34,PENDIENTES!$L$5:$M$561,2,0)),0)</f>
        <v>0</v>
      </c>
      <c r="H34" s="56" t="s">
        <v>204</v>
      </c>
    </row>
    <row r="35" spans="2:8" x14ac:dyDescent="0.25">
      <c r="B35" s="58">
        <v>1018302</v>
      </c>
      <c r="C35" s="57">
        <f>IFERROR((VLOOKUP(B35,FONT!$W$5:$X$1091,2,0)),0)</f>
        <v>0</v>
      </c>
      <c r="D35" s="58">
        <v>1018302</v>
      </c>
      <c r="E35" s="56" t="s">
        <v>81</v>
      </c>
      <c r="F35" s="56" t="s">
        <v>216</v>
      </c>
      <c r="G35" s="56">
        <f>IFERROR((VLOOKUP(B35,PENDIENTES!$L$5:$M$561,2,0)),0)</f>
        <v>0</v>
      </c>
      <c r="H35" s="56" t="s">
        <v>204</v>
      </c>
    </row>
    <row r="36" spans="2:8" x14ac:dyDescent="0.25">
      <c r="B36" s="58">
        <v>65502313952</v>
      </c>
      <c r="C36" s="57">
        <f>IFERROR((VLOOKUP(B36,FONT!$W$5:$X$1091,2,0)),0)</f>
        <v>0</v>
      </c>
      <c r="D36" s="58">
        <v>92</v>
      </c>
      <c r="E36" s="56" t="s">
        <v>213</v>
      </c>
      <c r="F36" s="56" t="s">
        <v>214</v>
      </c>
      <c r="G36" s="56">
        <f>IFERROR((VLOOKUP(B36,PENDIENTES!$L$5:$M$561,2,0)),0)</f>
        <v>0</v>
      </c>
      <c r="H36" s="56" t="s">
        <v>204</v>
      </c>
    </row>
    <row r="37" spans="2:8" x14ac:dyDescent="0.25">
      <c r="B37" s="58">
        <v>1036724</v>
      </c>
      <c r="C37" s="57">
        <f>IFERROR((VLOOKUP(B37,FONT!$W$5:$X$1091,2,0)),0)</f>
        <v>0</v>
      </c>
      <c r="D37" s="58" t="s">
        <v>313</v>
      </c>
      <c r="E37" s="56" t="s">
        <v>315</v>
      </c>
      <c r="F37" s="56" t="s">
        <v>315</v>
      </c>
      <c r="G37" s="56">
        <f>IFERROR((VLOOKUP(B37,PENDIENTES!$L$5:$M$561,2,0)),0)</f>
        <v>0</v>
      </c>
      <c r="H37" s="56" t="s">
        <v>204</v>
      </c>
    </row>
    <row r="38" spans="2:8" x14ac:dyDescent="0.25">
      <c r="B38" s="58">
        <v>65508989338</v>
      </c>
      <c r="C38" s="57">
        <f>IFERROR((VLOOKUP(B38,FONT!$W$5:$X$1091,2,0)),0)</f>
        <v>0</v>
      </c>
      <c r="D38" s="58" t="s">
        <v>318</v>
      </c>
      <c r="E38" s="56" t="s">
        <v>316</v>
      </c>
      <c r="F38" s="56" t="s">
        <v>316</v>
      </c>
      <c r="G38" s="56">
        <f>IFERROR((VLOOKUP(B38,PENDIENTES!$L$5:$M$561,2,0)),0)</f>
        <v>0</v>
      </c>
      <c r="H38" s="56" t="s">
        <v>204</v>
      </c>
    </row>
    <row r="39" spans="2:8" x14ac:dyDescent="0.25">
      <c r="B39" s="58">
        <v>65507143699</v>
      </c>
      <c r="C39" s="57">
        <f>IFERROR((VLOOKUP(B39,FONT!$W$5:$X$1091,2,0)),0)</f>
        <v>0</v>
      </c>
      <c r="D39" s="58" t="s">
        <v>327</v>
      </c>
      <c r="E39" s="56" t="s">
        <v>327</v>
      </c>
      <c r="F39" s="56" t="s">
        <v>327</v>
      </c>
      <c r="G39" s="56">
        <f>IFERROR((VLOOKUP(B39,PENDIENTES!$L$5:$M$561,2,0)),0)</f>
        <v>0</v>
      </c>
      <c r="H39" s="56" t="s">
        <v>204</v>
      </c>
    </row>
    <row r="40" spans="2:8" x14ac:dyDescent="0.25">
      <c r="B40" s="58">
        <v>65507143745</v>
      </c>
      <c r="C40" s="57">
        <f>IFERROR((VLOOKUP(B40,FONT!$W$5:$X$1091,2,0)),0)</f>
        <v>0</v>
      </c>
      <c r="D40" s="58" t="s">
        <v>328</v>
      </c>
      <c r="E40" s="56" t="s">
        <v>328</v>
      </c>
      <c r="F40" s="56" t="s">
        <v>328</v>
      </c>
      <c r="G40" s="56">
        <f>IFERROR((VLOOKUP(B40,PENDIENTES!$L$5:$M$561,2,0)),0)</f>
        <v>0</v>
      </c>
      <c r="H40" s="56" t="s">
        <v>204</v>
      </c>
    </row>
    <row r="41" spans="2:8" x14ac:dyDescent="0.25">
      <c r="B41" s="58">
        <v>65507142173</v>
      </c>
      <c r="C41" s="57">
        <f>IFERROR((VLOOKUP(B41,FONT!$W$5:$X$1091,2,0)),0)</f>
        <v>0</v>
      </c>
      <c r="D41" s="58" t="s">
        <v>329</v>
      </c>
      <c r="E41" s="56" t="s">
        <v>329</v>
      </c>
      <c r="F41" s="56" t="s">
        <v>329</v>
      </c>
      <c r="G41" s="56">
        <f>IFERROR((VLOOKUP(B41,PENDIENTES!$L$5:$M$561,2,0)),0)</f>
        <v>0</v>
      </c>
      <c r="H41" s="56" t="s">
        <v>204</v>
      </c>
    </row>
    <row r="42" spans="2:8" x14ac:dyDescent="0.25">
      <c r="B42" s="58">
        <v>65507052215</v>
      </c>
      <c r="C42" s="57">
        <f>IFERROR((VLOOKUP(B42,FONT!$W$5:$X$1091,2,0)),0)</f>
        <v>0</v>
      </c>
      <c r="D42" s="58" t="s">
        <v>330</v>
      </c>
      <c r="E42" s="56" t="s">
        <v>331</v>
      </c>
      <c r="F42" s="56" t="s">
        <v>331</v>
      </c>
      <c r="G42" s="56">
        <f>IFERROR((VLOOKUP(B42,PENDIENTES!$L$5:$M$561,2,0)),0)</f>
        <v>0</v>
      </c>
      <c r="H42" s="56" t="s">
        <v>204</v>
      </c>
    </row>
    <row r="43" spans="2:8" x14ac:dyDescent="0.25">
      <c r="B43" s="58">
        <v>65507052277</v>
      </c>
      <c r="C43" s="57">
        <f>IFERROR((VLOOKUP(B43,FONT!$W$5:$X$1091,2,0)),0)</f>
        <v>0</v>
      </c>
      <c r="D43" s="58" t="s">
        <v>332</v>
      </c>
      <c r="E43" s="56" t="s">
        <v>331</v>
      </c>
      <c r="F43" s="56" t="s">
        <v>331</v>
      </c>
      <c r="G43" s="56">
        <f>IFERROR((VLOOKUP(B43,PENDIENTES!$L$5:$M$561,2,0)),0)</f>
        <v>0</v>
      </c>
      <c r="H43" s="56" t="s">
        <v>204</v>
      </c>
    </row>
    <row r="44" spans="2:8" x14ac:dyDescent="0.25">
      <c r="B44" s="58">
        <v>65507052294</v>
      </c>
      <c r="C44" s="57">
        <f>IFERROR((VLOOKUP(B44,FONT!$W$5:$X$1091,2,0)),0)</f>
        <v>0</v>
      </c>
      <c r="D44" s="58" t="s">
        <v>333</v>
      </c>
      <c r="E44" s="56" t="s">
        <v>331</v>
      </c>
      <c r="F44" s="56" t="s">
        <v>331</v>
      </c>
      <c r="G44" s="56">
        <f>IFERROR((VLOOKUP(B44,PENDIENTES!$L$5:$M$561,2,0)),0)</f>
        <v>0</v>
      </c>
      <c r="H44" s="56" t="s">
        <v>204</v>
      </c>
    </row>
    <row r="45" spans="2:8" x14ac:dyDescent="0.25">
      <c r="B45" s="58">
        <v>1037923</v>
      </c>
      <c r="C45" s="57">
        <f>IFERROR((VLOOKUP(B45,FONT!$W$5:$X$1091,2,0)),0)</f>
        <v>0</v>
      </c>
      <c r="D45" s="58" t="s">
        <v>320</v>
      </c>
      <c r="E45" s="56" t="s">
        <v>320</v>
      </c>
      <c r="F45" s="56" t="s">
        <v>320</v>
      </c>
      <c r="G45" s="56">
        <f>IFERROR((VLOOKUP(B45,PENDIENTES!$L$5:$M$561,2,0)),0)</f>
        <v>0</v>
      </c>
      <c r="H45" s="56" t="s">
        <v>204</v>
      </c>
    </row>
    <row r="46" spans="2:8" x14ac:dyDescent="0.25">
      <c r="B46" s="58">
        <v>1037924</v>
      </c>
      <c r="C46" s="57">
        <f>IFERROR((VLOOKUP(B46,FONT!$W$5:$X$1091,2,0)),0)</f>
        <v>0</v>
      </c>
      <c r="D46" s="58" t="s">
        <v>322</v>
      </c>
      <c r="E46" s="56" t="s">
        <v>322</v>
      </c>
      <c r="F46" s="56" t="s">
        <v>322</v>
      </c>
      <c r="G46" s="56">
        <f>IFERROR((VLOOKUP(B46,PENDIENTES!$L$5:$M$561,2,0)),0)</f>
        <v>0</v>
      </c>
      <c r="H46" s="56" t="s">
        <v>204</v>
      </c>
    </row>
    <row r="47" spans="2:8" x14ac:dyDescent="0.25">
      <c r="B47" s="58">
        <v>1037925</v>
      </c>
      <c r="C47" s="57">
        <f>IFERROR((VLOOKUP(B47,FONT!$W$5:$X$1091,2,0)),0)</f>
        <v>0</v>
      </c>
      <c r="D47" s="58" t="s">
        <v>321</v>
      </c>
      <c r="E47" s="56" t="s">
        <v>321</v>
      </c>
      <c r="F47" s="56" t="s">
        <v>321</v>
      </c>
      <c r="G47" s="56">
        <f>IFERROR((VLOOKUP(B47,PENDIENTES!$L$5:$M$561,2,0)),0)</f>
        <v>0</v>
      </c>
      <c r="H47" s="56" t="s">
        <v>204</v>
      </c>
    </row>
    <row r="48" spans="2:8" x14ac:dyDescent="0.25">
      <c r="B48" s="58">
        <v>65509560409</v>
      </c>
      <c r="C48" s="57">
        <f>IFERROR((VLOOKUP(B48,FONT!$W$5:$X$1091,2,0)),0)</f>
        <v>0</v>
      </c>
      <c r="D48" s="58" t="s">
        <v>353</v>
      </c>
      <c r="E48" s="56" t="s">
        <v>349</v>
      </c>
      <c r="F48" s="56" t="s">
        <v>349</v>
      </c>
      <c r="G48" s="56">
        <f>IFERROR((VLOOKUP(B48,PENDIENTES!$L$5:$M$561,2,0)),0)</f>
        <v>0</v>
      </c>
      <c r="H48" s="56" t="s">
        <v>204</v>
      </c>
    </row>
    <row r="49" spans="2:8" x14ac:dyDescent="0.25">
      <c r="B49" s="58">
        <v>65509560426</v>
      </c>
      <c r="C49" s="57">
        <f>IFERROR((VLOOKUP(B49,FONT!$W$5:$X$1091,2,0)),0)</f>
        <v>0</v>
      </c>
      <c r="D49" s="58" t="s">
        <v>354</v>
      </c>
      <c r="E49" s="56" t="s">
        <v>350</v>
      </c>
      <c r="F49" s="56" t="s">
        <v>350</v>
      </c>
      <c r="G49" s="56">
        <f>IFERROR((VLOOKUP(B49,PENDIENTES!$L$5:$M$561,2,0)),0)</f>
        <v>0</v>
      </c>
      <c r="H49" s="56" t="s">
        <v>204</v>
      </c>
    </row>
    <row r="50" spans="2:8" x14ac:dyDescent="0.25">
      <c r="B50" s="58">
        <v>65509560457</v>
      </c>
      <c r="C50" s="57">
        <f>IFERROR((VLOOKUP(B50,FONT!$W$5:$X$1091,2,0)),0)</f>
        <v>0</v>
      </c>
      <c r="D50" s="58" t="s">
        <v>355</v>
      </c>
      <c r="E50" s="56" t="s">
        <v>351</v>
      </c>
      <c r="F50" s="56" t="s">
        <v>351</v>
      </c>
      <c r="G50" s="56">
        <f>IFERROR((VLOOKUP(B50,PENDIENTES!$L$5:$M$561,2,0)),0)</f>
        <v>0</v>
      </c>
      <c r="H50" s="56" t="s">
        <v>204</v>
      </c>
    </row>
    <row r="51" spans="2:8" x14ac:dyDescent="0.25">
      <c r="B51" s="58">
        <v>65509560443</v>
      </c>
      <c r="C51" s="57">
        <f>IFERROR((VLOOKUP(B51,FONT!$W$5:$X$1091,2,0)),0)</f>
        <v>0</v>
      </c>
      <c r="D51" s="58" t="s">
        <v>356</v>
      </c>
      <c r="E51" s="56" t="s">
        <v>352</v>
      </c>
      <c r="F51" s="56" t="s">
        <v>352</v>
      </c>
      <c r="G51" s="56">
        <f>IFERROR((VLOOKUP(B51,PENDIENTES!$L$5:$M$561,2,0)),0)</f>
        <v>0</v>
      </c>
      <c r="H51" s="56" t="s">
        <v>204</v>
      </c>
    </row>
    <row r="52" spans="2:8" x14ac:dyDescent="0.25">
      <c r="B52" s="58">
        <v>1036723</v>
      </c>
      <c r="C52" s="57">
        <f>IFERROR((VLOOKUP(B52,FONT!$W$5:$X$1091,2,0)),0)</f>
        <v>0</v>
      </c>
      <c r="D52" s="58" t="s">
        <v>312</v>
      </c>
      <c r="E52" s="56" t="s">
        <v>314</v>
      </c>
      <c r="F52" s="56" t="s">
        <v>314</v>
      </c>
      <c r="G52" s="56">
        <f>IFERROR((VLOOKUP(B52,PENDIENTES!$L$5:$M$561,2,0)),0)</f>
        <v>0</v>
      </c>
      <c r="H52" s="56" t="s">
        <v>204</v>
      </c>
    </row>
    <row r="53" spans="2:8" x14ac:dyDescent="0.25">
      <c r="C53" s="57">
        <f>IFERROR((VLOOKUP(B53,FONT!$W$5:$X$1091,2,0)),0)</f>
        <v>0</v>
      </c>
      <c r="G53" s="56">
        <f>IFERROR((VLOOKUP(B53,PENDIENTES!$L$5:$M$561,2,0)),0)</f>
        <v>0</v>
      </c>
    </row>
    <row r="54" spans="2:8" x14ac:dyDescent="0.25">
      <c r="C54" s="57">
        <f>IFERROR((VLOOKUP(B54,FONT!$W$5:$X$1091,2,0)),0)</f>
        <v>0</v>
      </c>
      <c r="G54" s="56">
        <f>IFERROR((VLOOKUP(B54,PENDIENTES!$L$5:$M$561,2,0)),0)</f>
        <v>0</v>
      </c>
    </row>
    <row r="55" spans="2:8" x14ac:dyDescent="0.25">
      <c r="C55" s="57">
        <f>IFERROR((VLOOKUP(B55,FONT!$W$5:$X$1091,2,0)),0)</f>
        <v>0</v>
      </c>
      <c r="G55" s="56">
        <f>IFERROR((VLOOKUP(B55,PENDIENTES!$L$5:$M$561,2,0)),0)</f>
        <v>0</v>
      </c>
    </row>
    <row r="56" spans="2:8" x14ac:dyDescent="0.25">
      <c r="C56" s="57">
        <f>IFERROR((VLOOKUP(B56,FONT!$W$5:$X$1091,2,0)),0)</f>
        <v>0</v>
      </c>
      <c r="G56" s="56">
        <f>IFERROR((VLOOKUP(B56,PENDIENTES!$L$5:$M$561,2,0)),0)</f>
        <v>0</v>
      </c>
    </row>
    <row r="57" spans="2:8" x14ac:dyDescent="0.25">
      <c r="C57" s="57">
        <f>IFERROR((VLOOKUP(B57,FONT!$W$5:$X$1091,2,0)),0)</f>
        <v>0</v>
      </c>
      <c r="G57" s="56">
        <f>IFERROR((VLOOKUP(B57,PENDIENTES!$L$5:$M$561,2,0)),0)</f>
        <v>0</v>
      </c>
    </row>
    <row r="58" spans="2:8" x14ac:dyDescent="0.25">
      <c r="C58" s="57">
        <f>IFERROR((VLOOKUP(B58,FONT!$W$5:$X$1091,2,0)),0)</f>
        <v>0</v>
      </c>
      <c r="G58" s="56">
        <f>IFERROR((VLOOKUP(B58,PENDIENTES!$L$5:$M$561,2,0)),0)</f>
        <v>0</v>
      </c>
    </row>
    <row r="59" spans="2:8" x14ac:dyDescent="0.25">
      <c r="C59" s="57">
        <f>IFERROR((VLOOKUP(B59,FONT!$W$5:$X$1091,2,0)),0)</f>
        <v>0</v>
      </c>
      <c r="G59" s="56">
        <f>IFERROR((VLOOKUP(B59,PENDIENTES!$L$5:$M$561,2,0)),0)</f>
        <v>0</v>
      </c>
    </row>
    <row r="60" spans="2:8" x14ac:dyDescent="0.25">
      <c r="C60" s="57">
        <f>IFERROR((VLOOKUP(B60,FONT!$W$5:$X$1091,2,0)),0)</f>
        <v>0</v>
      </c>
      <c r="G60" s="56">
        <f>IFERROR((VLOOKUP(B60,PENDIENTES!$L$5:$M$561,2,0)),0)</f>
        <v>0</v>
      </c>
    </row>
    <row r="61" spans="2:8" x14ac:dyDescent="0.25">
      <c r="C61" s="57">
        <f>IFERROR((VLOOKUP(B61,FONT!$W$5:$X$1091,2,0)),0)</f>
        <v>0</v>
      </c>
      <c r="G61" s="56">
        <f>IFERROR((VLOOKUP(B61,PENDIENTES!$L$5:$M$561,2,0)),0)</f>
        <v>0</v>
      </c>
    </row>
    <row r="62" spans="2:8" x14ac:dyDescent="0.25">
      <c r="C62" s="57">
        <f>IFERROR((VLOOKUP(B62,FONT!$W$5:$X$1091,2,0)),0)</f>
        <v>0</v>
      </c>
      <c r="G62" s="56">
        <f>IFERROR((VLOOKUP(B62,PENDIENTES!$L$5:$M$561,2,0)),0)</f>
        <v>0</v>
      </c>
    </row>
    <row r="63" spans="2:8" x14ac:dyDescent="0.25">
      <c r="C63" s="57">
        <f>IFERROR((VLOOKUP(B63,FONT!$W$5:$X$1091,2,0)),0)</f>
        <v>0</v>
      </c>
      <c r="G63" s="56">
        <f>IFERROR((VLOOKUP(B63,PENDIENTES!$L$5:$M$561,2,0)),0)</f>
        <v>0</v>
      </c>
    </row>
    <row r="64" spans="2:8" x14ac:dyDescent="0.25">
      <c r="C64" s="57">
        <f>IFERROR((VLOOKUP(B64,FONT!$W$5:$X$1091,2,0)),0)</f>
        <v>0</v>
      </c>
      <c r="G64" s="56">
        <f>IFERROR((VLOOKUP(B64,PENDIENTES!$L$5:$M$561,2,0)),0)</f>
        <v>0</v>
      </c>
    </row>
    <row r="65" spans="3:7" x14ac:dyDescent="0.25">
      <c r="C65" s="57">
        <f>IFERROR((VLOOKUP(B65,FONT!$W$5:$X$1091,2,0)),0)</f>
        <v>0</v>
      </c>
      <c r="G65" s="56">
        <f>IFERROR((VLOOKUP(B65,PENDIENTES!$L$5:$M$561,2,0)),0)</f>
        <v>0</v>
      </c>
    </row>
    <row r="66" spans="3:7" x14ac:dyDescent="0.25">
      <c r="C66" s="57">
        <f>IFERROR((VLOOKUP(B66,FONT!$W$5:$X$1091,2,0)),0)</f>
        <v>0</v>
      </c>
      <c r="G66" s="56">
        <f>IFERROR((VLOOKUP(B66,PENDIENTES!$L$5:$M$561,2,0)),0)</f>
        <v>0</v>
      </c>
    </row>
    <row r="67" spans="3:7" x14ac:dyDescent="0.25">
      <c r="C67" s="57">
        <f>IFERROR((VLOOKUP(B67,FONT!$W$5:$X$1091,2,0)),0)</f>
        <v>0</v>
      </c>
      <c r="G67" s="56">
        <f>IFERROR((VLOOKUP(B67,PENDIENTES!$L$5:$M$561,2,0)),0)</f>
        <v>0</v>
      </c>
    </row>
    <row r="68" spans="3:7" x14ac:dyDescent="0.25">
      <c r="C68" s="57">
        <f>IFERROR((VLOOKUP(B68,FONT!$W$5:$X$1091,2,0)),0)</f>
        <v>0</v>
      </c>
      <c r="G68" s="56">
        <f>IFERROR((VLOOKUP(B68,PENDIENTES!$L$5:$M$561,2,0)),0)</f>
        <v>0</v>
      </c>
    </row>
    <row r="69" spans="3:7" x14ac:dyDescent="0.25">
      <c r="C69" s="57">
        <f>IFERROR((VLOOKUP(B69,FONT!$W$5:$X$1091,2,0)),0)</f>
        <v>0</v>
      </c>
      <c r="G69" s="56">
        <f>IFERROR((VLOOKUP(B69,PENDIENTES!$L$5:$M$561,2,0)),0)</f>
        <v>0</v>
      </c>
    </row>
    <row r="70" spans="3:7" x14ac:dyDescent="0.25">
      <c r="C70" s="57">
        <f>IFERROR((VLOOKUP(B70,FONT!$W$5:$X$1091,2,0)),0)</f>
        <v>0</v>
      </c>
      <c r="G70" s="56">
        <f>IFERROR((VLOOKUP(B70,PENDIENTES!$L$5:$M$561,2,0)),0)</f>
        <v>0</v>
      </c>
    </row>
    <row r="71" spans="3:7" x14ac:dyDescent="0.25">
      <c r="C71" s="57">
        <f>IFERROR((VLOOKUP(B71,FONT!$W$5:$X$1091,2,0)),0)</f>
        <v>0</v>
      </c>
      <c r="G71" s="56">
        <f>IFERROR((VLOOKUP(B71,PENDIENTES!$L$5:$M$561,2,0)),0)</f>
        <v>0</v>
      </c>
    </row>
    <row r="72" spans="3:7" x14ac:dyDescent="0.25">
      <c r="C72" s="57">
        <f>IFERROR((VLOOKUP(B72,FONT!$W$5:$X$1091,2,0)),0)</f>
        <v>0</v>
      </c>
      <c r="G72" s="56">
        <f>IFERROR((VLOOKUP(B72,PENDIENTES!$L$5:$M$561,2,0)),0)</f>
        <v>0</v>
      </c>
    </row>
    <row r="73" spans="3:7" x14ac:dyDescent="0.25">
      <c r="C73" s="57">
        <f>IFERROR((VLOOKUP(B73,FONT!$W$5:$X$1091,2,0)),0)</f>
        <v>0</v>
      </c>
      <c r="G73" s="56">
        <f>IFERROR((VLOOKUP(B73,PENDIENTES!$L$5:$M$561,2,0)),0)</f>
        <v>0</v>
      </c>
    </row>
    <row r="74" spans="3:7" x14ac:dyDescent="0.25">
      <c r="C74" s="57">
        <f>IFERROR((VLOOKUP(B74,FONT!$W$5:$X$1091,2,0)),0)</f>
        <v>0</v>
      </c>
      <c r="G74" s="56">
        <f>IFERROR((VLOOKUP(B74,PENDIENTES!$L$5:$M$561,2,0)),0)</f>
        <v>0</v>
      </c>
    </row>
    <row r="75" spans="3:7" x14ac:dyDescent="0.25">
      <c r="C75" s="57">
        <f>IFERROR((VLOOKUP(B75,FONT!$W$5:$X$1091,2,0)),0)</f>
        <v>0</v>
      </c>
      <c r="G75" s="56">
        <f>IFERROR((VLOOKUP(B75,PENDIENTES!$L$5:$M$561,2,0)),0)</f>
        <v>0</v>
      </c>
    </row>
    <row r="76" spans="3:7" ht="13.7" customHeight="1" x14ac:dyDescent="0.25">
      <c r="C76" s="57">
        <f>IFERROR((VLOOKUP(B76,FONT!$W$5:$X$1091,2,0)),0)</f>
        <v>0</v>
      </c>
      <c r="G76" s="56">
        <f>IFERROR((VLOOKUP(B76,PENDIENTES!$L$5:$M$561,2,0)),0)</f>
        <v>0</v>
      </c>
    </row>
    <row r="77" spans="3:7" ht="13.7" customHeight="1" x14ac:dyDescent="0.25">
      <c r="C77" s="57">
        <f>IFERROR((VLOOKUP(B77,FONT!$W$5:$X$1091,2,0)),0)</f>
        <v>0</v>
      </c>
      <c r="G77" s="56">
        <f>IFERROR((VLOOKUP(B77,PENDIENTES!$L$5:$M$561,2,0)),0)</f>
        <v>0</v>
      </c>
    </row>
    <row r="78" spans="3:7" x14ac:dyDescent="0.25">
      <c r="C78" s="57">
        <f>IFERROR((VLOOKUP(B78,FONT!$W$5:$X$1091,2,0)),0)</f>
        <v>0</v>
      </c>
      <c r="G78" s="56">
        <f>IFERROR((VLOOKUP(B78,PENDIENTES!$L$5:$M$561,2,0)),0)</f>
        <v>0</v>
      </c>
    </row>
    <row r="79" spans="3:7" x14ac:dyDescent="0.25">
      <c r="C79" s="57">
        <f>IFERROR((VLOOKUP(B79,FONT!$W$5:$X$1091,2,0)),0)</f>
        <v>0</v>
      </c>
      <c r="G79" s="56">
        <f>IFERROR((VLOOKUP(B79,PENDIENTES!$L$5:$M$561,2,0)),0)</f>
        <v>0</v>
      </c>
    </row>
    <row r="81" spans="2:8" x14ac:dyDescent="0.25">
      <c r="B81" s="59" t="s">
        <v>87</v>
      </c>
    </row>
    <row r="82" spans="2:8" x14ac:dyDescent="0.25">
      <c r="B82" s="58">
        <v>147492</v>
      </c>
      <c r="C82" s="57">
        <f>IFERROR((VLOOKUP(B82,FONT!$W$5:$X$1091,2,0)),0)</f>
        <v>0</v>
      </c>
      <c r="D82" s="58" t="s">
        <v>297</v>
      </c>
      <c r="E82" s="56" t="s">
        <v>302</v>
      </c>
      <c r="F82" s="56" t="s">
        <v>299</v>
      </c>
      <c r="G82" s="56">
        <f>IFERROR((VLOOKUP(B82,PENDIENTES!$L$5:$M$561,2,0)),0)</f>
        <v>0</v>
      </c>
      <c r="H82" s="56" t="s">
        <v>204</v>
      </c>
    </row>
    <row r="83" spans="2:8" x14ac:dyDescent="0.25">
      <c r="B83" s="58">
        <v>147491</v>
      </c>
      <c r="C83" s="57">
        <f>IFERROR((VLOOKUP(B83,FONT!$W$5:$X$1091,2,0)),0)</f>
        <v>0</v>
      </c>
      <c r="D83" s="58" t="s">
        <v>297</v>
      </c>
      <c r="E83" s="56" t="s">
        <v>302</v>
      </c>
      <c r="F83" s="56" t="s">
        <v>299</v>
      </c>
      <c r="G83" s="56">
        <f>IFERROR((VLOOKUP(B83,PENDIENTES!$L$5:$M$561,2,0)),0)</f>
        <v>0</v>
      </c>
      <c r="H83" s="56" t="s">
        <v>204</v>
      </c>
    </row>
    <row r="84" spans="2:8" x14ac:dyDescent="0.25">
      <c r="B84" s="58">
        <v>159246</v>
      </c>
      <c r="C84" s="57">
        <f>IFERROR((VLOOKUP(B84,FONT!$W$5:$X$1091,2,0)),0)</f>
        <v>0</v>
      </c>
      <c r="D84" s="58" t="s">
        <v>297</v>
      </c>
      <c r="E84" s="56" t="s">
        <v>302</v>
      </c>
      <c r="F84" s="56" t="s">
        <v>299</v>
      </c>
      <c r="G84" s="56">
        <f>IFERROR((VLOOKUP(B84,PENDIENTES!$L$5:$M$561,2,0)),0)</f>
        <v>0</v>
      </c>
      <c r="H84" s="56" t="s">
        <v>204</v>
      </c>
    </row>
    <row r="85" spans="2:8" x14ac:dyDescent="0.25">
      <c r="B85" s="58">
        <v>1010401</v>
      </c>
      <c r="C85" s="57">
        <f>IFERROR((VLOOKUP(B85,FONT!$W$5:$X$1091,2,0)),0)</f>
        <v>0</v>
      </c>
      <c r="D85" s="58" t="s">
        <v>297</v>
      </c>
      <c r="E85" s="56" t="s">
        <v>302</v>
      </c>
      <c r="F85" s="56" t="s">
        <v>299</v>
      </c>
      <c r="G85" s="56">
        <f>IFERROR((VLOOKUP(B85,PENDIENTES!$L$5:$M$561,2,0)),0)</f>
        <v>0</v>
      </c>
      <c r="H85" s="56" t="s">
        <v>204</v>
      </c>
    </row>
    <row r="86" spans="2:8" x14ac:dyDescent="0.25">
      <c r="C86" s="57">
        <f>IFERROR((VLOOKUP(B86,FONT!$W$5:$X$1091,2,0)),0)</f>
        <v>0</v>
      </c>
      <c r="G86" s="56">
        <f>IFERROR((VLOOKUP(B86,PENDIENTES!$L$5:$M$561,2,0)),0)</f>
        <v>0</v>
      </c>
    </row>
    <row r="87" spans="2:8" x14ac:dyDescent="0.25">
      <c r="B87" s="59" t="s">
        <v>105</v>
      </c>
      <c r="C87" s="57">
        <f>IFERROR((VLOOKUP(B87,FONT!$W$5:$X$1091,2,0)),0)</f>
        <v>0</v>
      </c>
      <c r="G87" s="56">
        <f>IFERROR((VLOOKUP(B87,PENDIENTES!$L$5:$M$561,2,0)),0)</f>
        <v>0</v>
      </c>
    </row>
    <row r="88" spans="2:8" x14ac:dyDescent="0.25">
      <c r="B88" s="58">
        <v>2000469</v>
      </c>
      <c r="C88" s="57">
        <f>IFERROR((VLOOKUP(B88,FONT!$W$5:$X$1091,2,0)),0)</f>
        <v>0</v>
      </c>
      <c r="D88" s="58" t="s">
        <v>90</v>
      </c>
      <c r="E88" s="56" t="s">
        <v>266</v>
      </c>
      <c r="F88" s="56" t="s">
        <v>265</v>
      </c>
      <c r="G88" s="56">
        <f>IFERROR((VLOOKUP(B88,PENDIENTES!$L$5:$M$561,2,0)),0)</f>
        <v>1</v>
      </c>
      <c r="H88" s="56" t="s">
        <v>204</v>
      </c>
    </row>
    <row r="89" spans="2:8" x14ac:dyDescent="0.25">
      <c r="B89" s="58">
        <v>2000467</v>
      </c>
      <c r="C89" s="57">
        <f>IFERROR((VLOOKUP(B89,FONT!$W$5:$X$1091,2,0)),0)</f>
        <v>0</v>
      </c>
      <c r="D89" s="58" t="s">
        <v>92</v>
      </c>
      <c r="E89" s="56" t="s">
        <v>269</v>
      </c>
      <c r="F89" s="56" t="s">
        <v>265</v>
      </c>
      <c r="G89" s="56">
        <f>IFERROR((VLOOKUP(B89,PENDIENTES!$L$5:$M$561,2,0)),0)</f>
        <v>0</v>
      </c>
      <c r="H89" s="56" t="s">
        <v>204</v>
      </c>
    </row>
    <row r="90" spans="2:8" x14ac:dyDescent="0.25">
      <c r="B90" s="58">
        <v>1018867</v>
      </c>
      <c r="C90" s="57">
        <f>IFERROR((VLOOKUP(B90,FONT!$W$5:$X$1091,2,0)),0)</f>
        <v>0</v>
      </c>
      <c r="D90" s="58" t="s">
        <v>93</v>
      </c>
      <c r="E90" s="56" t="s">
        <v>249</v>
      </c>
      <c r="F90" s="56" t="s">
        <v>250</v>
      </c>
      <c r="G90" s="56">
        <f>IFERROR((VLOOKUP(B90,PENDIENTES!$L$5:$M$561,2,0)),0)</f>
        <v>0</v>
      </c>
      <c r="H90" s="56" t="s">
        <v>204</v>
      </c>
    </row>
    <row r="91" spans="2:8" x14ac:dyDescent="0.25">
      <c r="B91" s="58">
        <v>65501372909</v>
      </c>
      <c r="C91" s="57">
        <f>IFERROR((VLOOKUP(B91,FONT!$W$5:$X$1091,2,0)),0)</f>
        <v>0</v>
      </c>
      <c r="D91" s="58" t="s">
        <v>94</v>
      </c>
      <c r="E91" s="56" t="s">
        <v>95</v>
      </c>
      <c r="F91" s="56" t="s">
        <v>254</v>
      </c>
      <c r="G91" s="56">
        <f>IFERROR((VLOOKUP(B91,PENDIENTES!$L$5:$M$561,2,0)),0)</f>
        <v>0</v>
      </c>
      <c r="H91" s="56" t="s">
        <v>204</v>
      </c>
    </row>
    <row r="92" spans="2:8" x14ac:dyDescent="0.25">
      <c r="B92" s="58">
        <v>65505285253</v>
      </c>
      <c r="C92" s="57">
        <f>IFERROR((VLOOKUP(B92,FONT!$W$5:$X$1091,2,0)),0)</f>
        <v>0</v>
      </c>
      <c r="D92" s="58" t="s">
        <v>99</v>
      </c>
      <c r="E92" s="56" t="s">
        <v>99</v>
      </c>
      <c r="F92" s="56" t="s">
        <v>247</v>
      </c>
      <c r="G92" s="56">
        <f>IFERROR((VLOOKUP(B92,PENDIENTES!$L$5:$M$561,2,0)),0)</f>
        <v>0</v>
      </c>
      <c r="H92" s="56" t="s">
        <v>204</v>
      </c>
    </row>
    <row r="93" spans="2:8" x14ac:dyDescent="0.25">
      <c r="B93" s="58">
        <v>1031340</v>
      </c>
      <c r="C93" s="57">
        <f>IFERROR((VLOOKUP(B93,FONT!$W$5:$X$1091,2,0)),0)</f>
        <v>0</v>
      </c>
      <c r="D93" s="58" t="s">
        <v>100</v>
      </c>
      <c r="E93" s="56" t="s">
        <v>101</v>
      </c>
      <c r="F93" s="56" t="s">
        <v>101</v>
      </c>
      <c r="G93" s="56">
        <f>IFERROR((VLOOKUP(B93,PENDIENTES!$L$5:$M$561,2,0)),0)</f>
        <v>0</v>
      </c>
      <c r="H93" s="56" t="s">
        <v>204</v>
      </c>
    </row>
    <row r="94" spans="2:8" x14ac:dyDescent="0.25">
      <c r="B94" s="58">
        <v>2000926</v>
      </c>
      <c r="C94" s="57">
        <f>IFERROR((VLOOKUP(B94,FONT!$W$5:$X$1091,2,0)),0)</f>
        <v>0</v>
      </c>
      <c r="D94" s="58" t="s">
        <v>256</v>
      </c>
      <c r="E94" s="56" t="s">
        <v>257</v>
      </c>
      <c r="F94" s="56" t="s">
        <v>258</v>
      </c>
      <c r="G94" s="56">
        <f>IFERROR((VLOOKUP(B94,PENDIENTES!$L$5:$M$561,2,0)),0)</f>
        <v>0</v>
      </c>
      <c r="H94" s="56" t="s">
        <v>204</v>
      </c>
    </row>
    <row r="95" spans="2:8" x14ac:dyDescent="0.25">
      <c r="B95" s="58">
        <v>1031341</v>
      </c>
      <c r="C95" s="57">
        <f>IFERROR((VLOOKUP(B95,FONT!$W$5:$X$1091,2,0)),0)</f>
        <v>0</v>
      </c>
      <c r="D95" s="58" t="s">
        <v>175</v>
      </c>
      <c r="E95" s="56" t="s">
        <v>148</v>
      </c>
      <c r="F95" s="56" t="s">
        <v>148</v>
      </c>
      <c r="G95" s="56">
        <f>IFERROR((VLOOKUP(B95,PENDIENTES!$L$5:$M$561,2,0)),0)</f>
        <v>0</v>
      </c>
      <c r="H95" s="56" t="s">
        <v>204</v>
      </c>
    </row>
    <row r="96" spans="2:8" x14ac:dyDescent="0.25">
      <c r="B96" s="58">
        <v>2001049</v>
      </c>
      <c r="C96" s="57">
        <f>IFERROR((VLOOKUP(B96,FONT!$W$5:$X$1091,2,0)),0)</f>
        <v>0</v>
      </c>
      <c r="D96" s="58" t="s">
        <v>176</v>
      </c>
      <c r="E96" s="56" t="s">
        <v>272</v>
      </c>
      <c r="F96" s="56" t="s">
        <v>271</v>
      </c>
      <c r="G96" s="56">
        <f>IFERROR((VLOOKUP(B96,PENDIENTES!$L$5:$M$561,2,0)),0)</f>
        <v>6</v>
      </c>
      <c r="H96" s="56" t="s">
        <v>204</v>
      </c>
    </row>
    <row r="97" spans="2:8" x14ac:dyDescent="0.25">
      <c r="B97" s="58">
        <v>2001050</v>
      </c>
      <c r="C97" s="57">
        <f>IFERROR((VLOOKUP(B97,FONT!$W$5:$X$1091,2,0)),0)</f>
        <v>0</v>
      </c>
      <c r="D97" s="58" t="s">
        <v>177</v>
      </c>
      <c r="E97" s="56" t="s">
        <v>270</v>
      </c>
      <c r="F97" s="56" t="s">
        <v>271</v>
      </c>
      <c r="G97" s="56">
        <f>IFERROR((VLOOKUP(B97,PENDIENTES!$L$5:$M$561,2,0)),0)</f>
        <v>1</v>
      </c>
      <c r="H97" s="56" t="s">
        <v>204</v>
      </c>
    </row>
    <row r="98" spans="2:8" x14ac:dyDescent="0.25">
      <c r="B98" s="58">
        <v>1037090</v>
      </c>
      <c r="C98" s="57">
        <f>IFERROR((VLOOKUP(B98,FONT!$W$5:$X$1091,2,0)),0)</f>
        <v>0</v>
      </c>
      <c r="D98" s="58" t="s">
        <v>303</v>
      </c>
      <c r="E98" s="56" t="s">
        <v>309</v>
      </c>
      <c r="F98" s="56" t="s">
        <v>309</v>
      </c>
      <c r="G98" s="56">
        <f>IFERROR((VLOOKUP(B98,PENDIENTES!$L$5:$M$561,2,0)),0)</f>
        <v>1</v>
      </c>
      <c r="H98" s="56" t="s">
        <v>204</v>
      </c>
    </row>
    <row r="99" spans="2:8" x14ac:dyDescent="0.25">
      <c r="B99" s="58">
        <v>65501902345</v>
      </c>
      <c r="C99" s="57">
        <f>IFERROR((VLOOKUP(B99,FONT!$W$5:$X$1091,2,0)),0)</f>
        <v>0</v>
      </c>
      <c r="D99" s="58" t="s">
        <v>304</v>
      </c>
      <c r="E99" s="56" t="s">
        <v>310</v>
      </c>
      <c r="F99" s="56" t="s">
        <v>310</v>
      </c>
      <c r="G99" s="56">
        <f>IFERROR((VLOOKUP(B99,PENDIENTES!$L$5:$M$561,2,0)),0)</f>
        <v>0</v>
      </c>
      <c r="H99" s="56" t="s">
        <v>204</v>
      </c>
    </row>
    <row r="100" spans="2:8" x14ac:dyDescent="0.25">
      <c r="B100" s="58">
        <v>1037087</v>
      </c>
      <c r="C100" s="57">
        <f>IFERROR((VLOOKUP(B100,FONT!$W$5:$X$1091,2,0)),0)</f>
        <v>0</v>
      </c>
      <c r="D100" s="58" t="s">
        <v>305</v>
      </c>
      <c r="E100" s="56" t="s">
        <v>308</v>
      </c>
      <c r="F100" s="56" t="s">
        <v>308</v>
      </c>
      <c r="G100" s="56">
        <f>IFERROR((VLOOKUP(B100,PENDIENTES!$L$5:$M$561,2,0)),0)</f>
        <v>0</v>
      </c>
      <c r="H100" s="56" t="s">
        <v>204</v>
      </c>
    </row>
    <row r="101" spans="2:8" x14ac:dyDescent="0.25">
      <c r="B101" s="58">
        <v>1037118</v>
      </c>
      <c r="C101" s="57">
        <f>IFERROR((VLOOKUP(B101,FONT!$W$5:$X$1091,2,0)),0)</f>
        <v>0</v>
      </c>
      <c r="D101" s="58" t="s">
        <v>334</v>
      </c>
      <c r="E101" s="56" t="s">
        <v>335</v>
      </c>
      <c r="F101" s="56" t="s">
        <v>335</v>
      </c>
      <c r="G101" s="56">
        <f>IFERROR((VLOOKUP(B101,PENDIENTES!$L$5:$M$561,2,0)),0)</f>
        <v>1</v>
      </c>
      <c r="H101" s="56" t="s">
        <v>204</v>
      </c>
    </row>
    <row r="102" spans="2:8" x14ac:dyDescent="0.25">
      <c r="B102" s="58">
        <v>1037086</v>
      </c>
      <c r="C102" s="57">
        <f>IFERROR((VLOOKUP(B102,FONT!$W$5:$X$1091,2,0)),0)</f>
        <v>0</v>
      </c>
      <c r="D102" s="58" t="s">
        <v>336</v>
      </c>
      <c r="E102" s="56" t="s">
        <v>337</v>
      </c>
      <c r="F102" s="56" t="s">
        <v>337</v>
      </c>
      <c r="G102" s="56">
        <f>IFERROR((VLOOKUP(B102,PENDIENTES!$L$5:$M$561,2,0)),0)</f>
        <v>1</v>
      </c>
      <c r="H102" s="56" t="s">
        <v>204</v>
      </c>
    </row>
    <row r="103" spans="2:8" x14ac:dyDescent="0.25">
      <c r="B103" s="58">
        <v>1037113</v>
      </c>
      <c r="C103" s="57">
        <f>IFERROR((VLOOKUP(B103,FONT!$W$5:$X$1091,2,0)),0)</f>
        <v>0</v>
      </c>
      <c r="D103" s="58" t="s">
        <v>338</v>
      </c>
      <c r="E103" s="56" t="s">
        <v>339</v>
      </c>
      <c r="F103" s="56" t="s">
        <v>339</v>
      </c>
      <c r="G103" s="56">
        <f>IFERROR((VLOOKUP(B103,PENDIENTES!$L$5:$M$561,2,0)),0)</f>
        <v>1</v>
      </c>
      <c r="H103" s="56" t="s">
        <v>204</v>
      </c>
    </row>
    <row r="104" spans="2:8" x14ac:dyDescent="0.25">
      <c r="B104" s="58">
        <v>1037117</v>
      </c>
      <c r="C104" s="57">
        <f>IFERROR((VLOOKUP(B104,FONT!$W$5:$X$1091,2,0)),0)</f>
        <v>0</v>
      </c>
      <c r="D104" s="58" t="s">
        <v>340</v>
      </c>
      <c r="E104" s="56" t="s">
        <v>341</v>
      </c>
      <c r="F104" s="56" t="s">
        <v>341</v>
      </c>
      <c r="G104" s="56">
        <f>IFERROR((VLOOKUP(B104,PENDIENTES!$L$5:$M$561,2,0)),0)</f>
        <v>1</v>
      </c>
      <c r="H104" s="56" t="s">
        <v>204</v>
      </c>
    </row>
    <row r="105" spans="2:8" x14ac:dyDescent="0.25">
      <c r="B105" s="58">
        <v>1037085</v>
      </c>
      <c r="C105" s="57">
        <f>IFERROR((VLOOKUP(B105,FONT!$W$5:$X$1091,2,0)),0)</f>
        <v>0</v>
      </c>
      <c r="D105" s="58" t="s">
        <v>342</v>
      </c>
      <c r="E105" s="56" t="s">
        <v>343</v>
      </c>
      <c r="F105" s="56" t="s">
        <v>343</v>
      </c>
      <c r="G105" s="56">
        <f>IFERROR((VLOOKUP(B105,PENDIENTES!$L$5:$M$561,2,0)),0)</f>
        <v>1</v>
      </c>
      <c r="H105" s="56" t="s">
        <v>204</v>
      </c>
    </row>
    <row r="106" spans="2:8" x14ac:dyDescent="0.25">
      <c r="B106" s="58">
        <v>65502397418</v>
      </c>
      <c r="C106" s="57">
        <f>IFERROR((VLOOKUP(B106,FONT!$W$5:$X$1091,2,0)),0)</f>
        <v>0</v>
      </c>
      <c r="D106" s="58" t="s">
        <v>344</v>
      </c>
      <c r="E106" s="56" t="s">
        <v>346</v>
      </c>
      <c r="F106" s="56" t="s">
        <v>346</v>
      </c>
      <c r="G106" s="56">
        <f>IFERROR((VLOOKUP(B106,PENDIENTES!$L$5:$M$561,2,0)),0)</f>
        <v>0</v>
      </c>
      <c r="H106" s="56" t="s">
        <v>204</v>
      </c>
    </row>
    <row r="107" spans="2:8" x14ac:dyDescent="0.25">
      <c r="B107" s="58">
        <v>65501285111</v>
      </c>
      <c r="C107" s="57">
        <f>IFERROR((VLOOKUP(B107,FONT!$W$5:$X$1091,2,0)),0)</f>
        <v>0</v>
      </c>
      <c r="D107" s="58" t="s">
        <v>345</v>
      </c>
      <c r="E107" s="56" t="s">
        <v>347</v>
      </c>
      <c r="F107" s="56" t="s">
        <v>347</v>
      </c>
      <c r="G107" s="56">
        <f>IFERROR((VLOOKUP(B107,PENDIENTES!$L$5:$M$561,2,0)),0)</f>
        <v>0</v>
      </c>
      <c r="H107" s="56" t="s">
        <v>204</v>
      </c>
    </row>
    <row r="108" spans="2:8" x14ac:dyDescent="0.25">
      <c r="B108" s="58">
        <v>2000469</v>
      </c>
      <c r="C108" s="57">
        <f>IFERROR((VLOOKUP(B108,FONT!$W$5:$X$1091,2,0)),0)</f>
        <v>0</v>
      </c>
      <c r="D108" s="58" t="s">
        <v>90</v>
      </c>
      <c r="E108" s="56" t="s">
        <v>266</v>
      </c>
      <c r="F108" s="56" t="s">
        <v>266</v>
      </c>
      <c r="G108" s="56">
        <f>IFERROR((VLOOKUP(B108,PENDIENTES!$L$5:$M$561,2,0)),0)</f>
        <v>1</v>
      </c>
      <c r="H108" s="56" t="s">
        <v>204</v>
      </c>
    </row>
    <row r="109" spans="2:8" x14ac:dyDescent="0.25">
      <c r="B109" s="58">
        <v>2000466</v>
      </c>
      <c r="C109" s="57">
        <f>IFERROR((VLOOKUP(B109,FONT!$W$5:$X$1091,2,0)),0)</f>
        <v>0</v>
      </c>
      <c r="D109" s="58" t="s">
        <v>91</v>
      </c>
      <c r="E109" s="56" t="s">
        <v>268</v>
      </c>
      <c r="F109" s="56" t="s">
        <v>268</v>
      </c>
      <c r="G109" s="56">
        <f>IFERROR((VLOOKUP(B109,PENDIENTES!$L$5:$M$561,2,0)),0)</f>
        <v>0</v>
      </c>
      <c r="H109" s="56" t="s">
        <v>204</v>
      </c>
    </row>
    <row r="110" spans="2:8" x14ac:dyDescent="0.25">
      <c r="B110" s="58">
        <v>1033795</v>
      </c>
      <c r="C110" s="57">
        <f>IFERROR((VLOOKUP(B110,FONT!$W$5:$X$1091,2,0)),0)</f>
        <v>0</v>
      </c>
      <c r="D110" s="58">
        <v>1033795</v>
      </c>
      <c r="E110" s="56" t="s">
        <v>357</v>
      </c>
      <c r="F110" s="56" t="s">
        <v>357</v>
      </c>
      <c r="G110" s="56">
        <f>IFERROR((VLOOKUP(B110,PENDIENTES!$L$5:$M$561,2,0)),0)</f>
        <v>0</v>
      </c>
      <c r="H110" s="56" t="s">
        <v>204</v>
      </c>
    </row>
    <row r="111" spans="2:8" x14ac:dyDescent="0.25">
      <c r="B111" s="58">
        <v>65508881201</v>
      </c>
      <c r="C111" s="57">
        <f>IFERROR((VLOOKUP(B111,FONT!$W$5:$X$1091,2,0)),0)</f>
        <v>0</v>
      </c>
      <c r="D111" s="58" t="s">
        <v>391</v>
      </c>
      <c r="E111" s="56" t="s">
        <v>390</v>
      </c>
      <c r="F111" s="56" t="s">
        <v>390</v>
      </c>
      <c r="G111" s="56">
        <f>IFERROR((VLOOKUP(B111,PENDIENTES!$L$5:$M$561,2,0)),0)</f>
        <v>0</v>
      </c>
      <c r="H111" s="56" t="s">
        <v>204</v>
      </c>
    </row>
    <row r="112" spans="2:8" x14ac:dyDescent="0.25">
      <c r="B112" s="58">
        <v>65508886089</v>
      </c>
      <c r="C112" s="57">
        <f>IFERROR((VLOOKUP(B112,FONT!$W$5:$X$1091,2,0)),0)</f>
        <v>0</v>
      </c>
      <c r="D112" s="58" t="s">
        <v>359</v>
      </c>
      <c r="E112" s="56" t="s">
        <v>358</v>
      </c>
      <c r="F112" s="56" t="s">
        <v>358</v>
      </c>
      <c r="G112" s="56">
        <f>IFERROR((VLOOKUP(B112,PENDIENTES!$L$5:$M$561,2,0)),0)</f>
        <v>0</v>
      </c>
      <c r="H112" s="56" t="s">
        <v>204</v>
      </c>
    </row>
    <row r="113" spans="2:8" x14ac:dyDescent="0.25">
      <c r="B113" s="68">
        <v>1000002861</v>
      </c>
      <c r="C113" s="57">
        <f>IFERROR((VLOOKUP(B113,FONT!$W$5:$X$1091,2,0)),0)</f>
        <v>0</v>
      </c>
      <c r="D113" s="58" t="s">
        <v>360</v>
      </c>
      <c r="E113" s="56" t="s">
        <v>361</v>
      </c>
      <c r="F113" s="56" t="s">
        <v>361</v>
      </c>
      <c r="G113" s="56">
        <f>IFERROR((VLOOKUP(B113,PENDIENTES!$L$5:$M$561,2,0)),0)</f>
        <v>1</v>
      </c>
      <c r="H113" s="56" t="s">
        <v>204</v>
      </c>
    </row>
    <row r="114" spans="2:8" x14ac:dyDescent="0.25">
      <c r="B114" s="58">
        <v>1000003291</v>
      </c>
      <c r="C114" s="57">
        <f>IFERROR((VLOOKUP(B114,FONT!$W$5:$X$1091,2,0)),0)</f>
        <v>0</v>
      </c>
      <c r="D114" s="58" t="s">
        <v>362</v>
      </c>
      <c r="E114" s="56" t="s">
        <v>373</v>
      </c>
      <c r="F114" s="56" t="s">
        <v>373</v>
      </c>
      <c r="G114" s="56">
        <f>IFERROR((VLOOKUP(B114,PENDIENTES!$L$5:$M$561,2,0)),0)</f>
        <v>1</v>
      </c>
      <c r="H114" s="56" t="s">
        <v>204</v>
      </c>
    </row>
    <row r="115" spans="2:8" x14ac:dyDescent="0.25">
      <c r="B115" s="58">
        <v>1000003292</v>
      </c>
      <c r="C115" s="57">
        <f>IFERROR((VLOOKUP(B115,FONT!$W$5:$X$1091,2,0)),0)</f>
        <v>0</v>
      </c>
      <c r="D115" s="58" t="s">
        <v>363</v>
      </c>
      <c r="E115" s="56" t="s">
        <v>374</v>
      </c>
      <c r="F115" s="56" t="s">
        <v>374</v>
      </c>
      <c r="G115" s="56">
        <f>IFERROR((VLOOKUP(B115,PENDIENTES!$L$5:$M$561,2,0)),0)</f>
        <v>1</v>
      </c>
      <c r="H115" s="56" t="s">
        <v>204</v>
      </c>
    </row>
    <row r="116" spans="2:8" x14ac:dyDescent="0.25">
      <c r="B116" s="58">
        <v>1000003293</v>
      </c>
      <c r="C116" s="57">
        <f>IFERROR((VLOOKUP(B116,FONT!$W$5:$X$1091,2,0)),0)</f>
        <v>0</v>
      </c>
      <c r="D116" s="58" t="s">
        <v>364</v>
      </c>
      <c r="E116" s="56" t="s">
        <v>375</v>
      </c>
      <c r="F116" s="56" t="s">
        <v>375</v>
      </c>
      <c r="G116" s="56">
        <f>IFERROR((VLOOKUP(B116,PENDIENTES!$L$5:$M$561,2,0)),0)</f>
        <v>1</v>
      </c>
      <c r="H116" s="56" t="s">
        <v>204</v>
      </c>
    </row>
    <row r="117" spans="2:8" x14ac:dyDescent="0.25">
      <c r="B117" s="58">
        <v>1000003294</v>
      </c>
      <c r="C117" s="57">
        <f>IFERROR((VLOOKUP(B117,FONT!$W$5:$X$1091,2,0)),0)</f>
        <v>0</v>
      </c>
      <c r="D117" s="58">
        <v>1528</v>
      </c>
      <c r="E117" s="56" t="s">
        <v>376</v>
      </c>
      <c r="F117" s="56" t="s">
        <v>376</v>
      </c>
      <c r="G117" s="56">
        <f>IFERROR((VLOOKUP(B117,PENDIENTES!$L$5:$M$561,2,0)),0)</f>
        <v>0</v>
      </c>
      <c r="H117" s="56" t="s">
        <v>204</v>
      </c>
    </row>
    <row r="118" spans="2:8" x14ac:dyDescent="0.25">
      <c r="B118" s="58">
        <v>1000003295</v>
      </c>
      <c r="C118" s="57">
        <f>IFERROR((VLOOKUP(B118,FONT!$W$5:$X$1091,2,0)),0)</f>
        <v>0</v>
      </c>
      <c r="D118" s="58" t="s">
        <v>365</v>
      </c>
      <c r="E118" s="56" t="s">
        <v>377</v>
      </c>
      <c r="F118" s="56" t="s">
        <v>377</v>
      </c>
      <c r="G118" s="56">
        <f>IFERROR((VLOOKUP(B118,PENDIENTES!$L$5:$M$561,2,0)),0)</f>
        <v>1</v>
      </c>
      <c r="H118" s="56" t="s">
        <v>204</v>
      </c>
    </row>
    <row r="119" spans="2:8" x14ac:dyDescent="0.25">
      <c r="B119" s="58">
        <v>1000003296</v>
      </c>
      <c r="C119" s="57">
        <f>IFERROR((VLOOKUP(B119,FONT!$W$5:$X$1091,2,0)),0)</f>
        <v>0</v>
      </c>
      <c r="D119" s="58" t="s">
        <v>366</v>
      </c>
      <c r="E119" s="56" t="s">
        <v>378</v>
      </c>
      <c r="F119" s="56" t="s">
        <v>378</v>
      </c>
      <c r="G119" s="56">
        <f>IFERROR((VLOOKUP(B119,PENDIENTES!$L$5:$M$561,2,0)),0)</f>
        <v>0</v>
      </c>
      <c r="H119" s="56" t="s">
        <v>204</v>
      </c>
    </row>
    <row r="120" spans="2:8" x14ac:dyDescent="0.25">
      <c r="B120" s="58">
        <v>1000003297</v>
      </c>
      <c r="C120" s="57">
        <f>IFERROR((VLOOKUP(B120,FONT!$W$5:$X$1091,2,0)),0)</f>
        <v>0</v>
      </c>
      <c r="D120" s="58" t="s">
        <v>367</v>
      </c>
      <c r="E120" s="56" t="s">
        <v>379</v>
      </c>
      <c r="F120" s="56" t="s">
        <v>379</v>
      </c>
      <c r="G120" s="56">
        <f>IFERROR((VLOOKUP(B120,PENDIENTES!$L$5:$M$561,2,0)),0)</f>
        <v>1</v>
      </c>
      <c r="H120" s="56" t="s">
        <v>204</v>
      </c>
    </row>
    <row r="121" spans="2:8" x14ac:dyDescent="0.25">
      <c r="B121" s="58">
        <v>1000003298</v>
      </c>
      <c r="C121" s="57">
        <f>IFERROR((VLOOKUP(B121,FONT!$W$5:$X$1091,2,0)),0)</f>
        <v>0</v>
      </c>
      <c r="D121" s="58" t="s">
        <v>368</v>
      </c>
      <c r="E121" s="56" t="s">
        <v>380</v>
      </c>
      <c r="F121" s="56" t="s">
        <v>380</v>
      </c>
      <c r="G121" s="56">
        <f>IFERROR((VLOOKUP(B121,PENDIENTES!$L$5:$M$561,2,0)),0)</f>
        <v>1</v>
      </c>
      <c r="H121" s="56" t="s">
        <v>204</v>
      </c>
    </row>
    <row r="122" spans="2:8" x14ac:dyDescent="0.25">
      <c r="B122" s="58">
        <v>1000003299</v>
      </c>
      <c r="C122" s="57">
        <f>IFERROR((VLOOKUP(B122,FONT!$W$5:$X$1091,2,0)),0)</f>
        <v>0</v>
      </c>
      <c r="D122" s="58">
        <v>6981</v>
      </c>
      <c r="E122" s="56" t="s">
        <v>381</v>
      </c>
      <c r="F122" s="56" t="s">
        <v>381</v>
      </c>
      <c r="G122" s="56">
        <f>IFERROR((VLOOKUP(B122,PENDIENTES!$L$5:$M$561,2,0)),0)</f>
        <v>1</v>
      </c>
      <c r="H122" s="56" t="s">
        <v>204</v>
      </c>
    </row>
    <row r="123" spans="2:8" x14ac:dyDescent="0.25">
      <c r="B123" s="58">
        <v>1000003300</v>
      </c>
      <c r="C123" s="57">
        <f>IFERROR((VLOOKUP(B123,FONT!$W$5:$X$1091,2,0)),0)</f>
        <v>0</v>
      </c>
      <c r="D123" s="58" t="s">
        <v>369</v>
      </c>
      <c r="E123" s="56" t="s">
        <v>382</v>
      </c>
      <c r="F123" s="56" t="s">
        <v>382</v>
      </c>
      <c r="G123" s="56">
        <f>IFERROR((VLOOKUP(B123,PENDIENTES!$L$5:$M$561,2,0)),0)</f>
        <v>0</v>
      </c>
      <c r="H123" s="56" t="s">
        <v>204</v>
      </c>
    </row>
    <row r="124" spans="2:8" x14ac:dyDescent="0.25">
      <c r="B124" s="58">
        <v>1000003301</v>
      </c>
      <c r="C124" s="57">
        <f>IFERROR((VLOOKUP(B124,FONT!$W$5:$X$1091,2,0)),0)</f>
        <v>0</v>
      </c>
      <c r="D124" s="58" t="s">
        <v>370</v>
      </c>
      <c r="E124" s="56" t="s">
        <v>383</v>
      </c>
      <c r="F124" s="56" t="s">
        <v>383</v>
      </c>
      <c r="G124" s="56">
        <f>IFERROR((VLOOKUP(B124,PENDIENTES!$L$5:$M$561,2,0)),0)</f>
        <v>0</v>
      </c>
      <c r="H124" s="56" t="s">
        <v>204</v>
      </c>
    </row>
    <row r="125" spans="2:8" x14ac:dyDescent="0.25">
      <c r="B125" s="58">
        <v>1000003302</v>
      </c>
      <c r="C125" s="57">
        <f>IFERROR((VLOOKUP(B125,FONT!$W$5:$X$1091,2,0)),0)</f>
        <v>0</v>
      </c>
      <c r="D125" s="58" t="s">
        <v>371</v>
      </c>
      <c r="E125" s="56" t="s">
        <v>384</v>
      </c>
      <c r="F125" s="56" t="s">
        <v>384</v>
      </c>
      <c r="G125" s="56">
        <f>IFERROR((VLOOKUP(B125,PENDIENTES!$L$5:$M$561,2,0)),0)</f>
        <v>1</v>
      </c>
      <c r="H125" s="56" t="s">
        <v>204</v>
      </c>
    </row>
    <row r="126" spans="2:8" x14ac:dyDescent="0.25">
      <c r="B126" s="58">
        <v>1000003305</v>
      </c>
      <c r="C126" s="57">
        <f>IFERROR((VLOOKUP(B126,FONT!$W$5:$X$1091,2,0)),0)</f>
        <v>0</v>
      </c>
      <c r="D126" s="58" t="s">
        <v>372</v>
      </c>
      <c r="E126" s="56" t="s">
        <v>385</v>
      </c>
      <c r="F126" s="56" t="s">
        <v>385</v>
      </c>
      <c r="G126" s="56">
        <f>IFERROR((VLOOKUP(B126,PENDIENTES!$L$5:$M$561,2,0)),0)</f>
        <v>0</v>
      </c>
      <c r="H126" s="56" t="s">
        <v>204</v>
      </c>
    </row>
    <row r="127" spans="2:8" x14ac:dyDescent="0.25">
      <c r="B127" s="58">
        <v>1000003307</v>
      </c>
      <c r="C127" s="57">
        <f>IFERROR((VLOOKUP(B127,FONT!$W$5:$X$1091,2,0)),0)</f>
        <v>0</v>
      </c>
      <c r="D127" s="58" t="s">
        <v>386</v>
      </c>
      <c r="E127" s="56" t="s">
        <v>387</v>
      </c>
      <c r="F127" s="56" t="s">
        <v>387</v>
      </c>
      <c r="G127" s="56">
        <f>IFERROR((VLOOKUP(B127,PENDIENTES!$L$5:$M$561,2,0)),0)</f>
        <v>0</v>
      </c>
      <c r="H127" s="56" t="s">
        <v>204</v>
      </c>
    </row>
    <row r="128" spans="2:8" x14ac:dyDescent="0.25">
      <c r="B128" s="58">
        <v>1000003968</v>
      </c>
      <c r="C128" s="57">
        <f>IFERROR((VLOOKUP(B128,FONT!$W$5:$X$1091,2,0)),0)</f>
        <v>0</v>
      </c>
      <c r="D128" s="58" t="s">
        <v>388</v>
      </c>
      <c r="E128" s="56" t="s">
        <v>389</v>
      </c>
      <c r="F128" s="56" t="s">
        <v>389</v>
      </c>
      <c r="G128" s="56">
        <f>IFERROR((VLOOKUP(B128,PENDIENTES!$L$5:$M$561,2,0)),0)</f>
        <v>0</v>
      </c>
      <c r="H128" s="56" t="s">
        <v>204</v>
      </c>
    </row>
    <row r="129" spans="2:8" x14ac:dyDescent="0.25">
      <c r="B129" s="58">
        <v>1000003306</v>
      </c>
      <c r="C129" s="57">
        <f>IFERROR((VLOOKUP(B129,FONT!$W$5:$X$1091,2,0)),0)</f>
        <v>0</v>
      </c>
      <c r="D129" s="58" t="s">
        <v>392</v>
      </c>
      <c r="E129" s="56" t="s">
        <v>393</v>
      </c>
      <c r="F129" s="56" t="s">
        <v>393</v>
      </c>
      <c r="G129" s="56">
        <f>IFERROR((VLOOKUP(B129,PENDIENTES!$L$5:$M$561,2,0)),0)</f>
        <v>0</v>
      </c>
      <c r="H129" s="56" t="s">
        <v>204</v>
      </c>
    </row>
    <row r="130" spans="2:8" x14ac:dyDescent="0.25">
      <c r="C130" s="57">
        <f>IFERROR((VLOOKUP(B130,FONT!$W$5:$X$1091,2,0)),0)</f>
        <v>0</v>
      </c>
      <c r="G130" s="56">
        <f>IFERROR((VLOOKUP(B130,PENDIENTES!$L$5:$M$561,2,0)),0)</f>
        <v>0</v>
      </c>
    </row>
    <row r="131" spans="2:8" x14ac:dyDescent="0.25">
      <c r="C131" s="57">
        <f>IFERROR((VLOOKUP(B131,FONT!$W$5:$X$1091,2,0)),0)</f>
        <v>0</v>
      </c>
      <c r="G131" s="56">
        <f>IFERROR((VLOOKUP(B131,PENDIENTES!$L$5:$M$561,2,0)),0)</f>
        <v>0</v>
      </c>
    </row>
    <row r="132" spans="2:8" x14ac:dyDescent="0.25">
      <c r="C132" s="57">
        <f>IFERROR((VLOOKUP(B132,FONT!$W$5:$X$1091,2,0)),0)</f>
        <v>0</v>
      </c>
      <c r="G132" s="56">
        <f>IFERROR((VLOOKUP(B132,PENDIENTES!$L$5:$M$561,2,0)),0)</f>
        <v>0</v>
      </c>
    </row>
    <row r="133" spans="2:8" x14ac:dyDescent="0.25">
      <c r="C133" s="57">
        <f>IFERROR((VLOOKUP(B133,FONT!$W$5:$X$1091,2,0)),0)</f>
        <v>0</v>
      </c>
      <c r="G133" s="56">
        <f>IFERROR((VLOOKUP(B133,PENDIENTES!$L$5:$M$561,2,0)),0)</f>
        <v>0</v>
      </c>
    </row>
    <row r="134" spans="2:8" x14ac:dyDescent="0.25">
      <c r="C134" s="57">
        <f>IFERROR((VLOOKUP(B134,FONT!$W$5:$X$1091,2,0)),0)</f>
        <v>0</v>
      </c>
      <c r="G134" s="56">
        <f>IFERROR((VLOOKUP(B134,PENDIENTES!$L$5:$M$561,2,0)),0)</f>
        <v>0</v>
      </c>
    </row>
    <row r="135" spans="2:8" x14ac:dyDescent="0.25">
      <c r="C135" s="57">
        <f>IFERROR((VLOOKUP(B135,FONT!$W$5:$X$1091,2,0)),0)</f>
        <v>0</v>
      </c>
      <c r="G135" s="56">
        <f>IFERROR((VLOOKUP(B135,PENDIENTES!$L$5:$M$561,2,0)),0)</f>
        <v>0</v>
      </c>
    </row>
    <row r="136" spans="2:8" x14ac:dyDescent="0.25">
      <c r="C136" s="57">
        <f>IFERROR((VLOOKUP(B136,FONT!$W$5:$X$1091,2,0)),0)</f>
        <v>0</v>
      </c>
      <c r="G136" s="56">
        <f>IFERROR((VLOOKUP(B136,PENDIENTES!$L$5:$M$561,2,0)),0)</f>
        <v>0</v>
      </c>
    </row>
    <row r="137" spans="2:8" x14ac:dyDescent="0.25">
      <c r="C137" s="57">
        <f>IFERROR((VLOOKUP(B137,FONT!$W$5:$X$1091,2,0)),0)</f>
        <v>0</v>
      </c>
      <c r="G137" s="56">
        <f>IFERROR((VLOOKUP(B137,PENDIENTES!$L$5:$M$561,2,0)),0)</f>
        <v>0</v>
      </c>
    </row>
    <row r="138" spans="2:8" x14ac:dyDescent="0.25">
      <c r="C138" s="57">
        <f>IFERROR((VLOOKUP(B138,FONT!$W$5:$X$1091,2,0)),0)</f>
        <v>0</v>
      </c>
      <c r="G138" s="56">
        <f>IFERROR((VLOOKUP(B138,PENDIENTES!$L$5:$M$561,2,0)),0)</f>
        <v>0</v>
      </c>
    </row>
    <row r="139" spans="2:8" x14ac:dyDescent="0.25">
      <c r="C139" s="57">
        <f>IFERROR((VLOOKUP(B139,FONT!$W$5:$X$1091,2,0)),0)</f>
        <v>0</v>
      </c>
      <c r="G139" s="56">
        <f>IFERROR((VLOOKUP(B139,PENDIENTES!$L$5:$M$561,2,0)),0)</f>
        <v>0</v>
      </c>
    </row>
    <row r="140" spans="2:8" x14ac:dyDescent="0.25">
      <c r="C140" s="57">
        <f>IFERROR((VLOOKUP(B140,FONT!$W$5:$X$1091,2,0)),0)</f>
        <v>0</v>
      </c>
      <c r="G140" s="56">
        <f>IFERROR((VLOOKUP(B140,PENDIENTES!$L$5:$M$561,2,0)),0)</f>
        <v>0</v>
      </c>
    </row>
    <row r="141" spans="2:8" x14ac:dyDescent="0.25">
      <c r="C141" s="57">
        <f>IFERROR((VLOOKUP(B141,FONT!$W$5:$X$1091,2,0)),0)</f>
        <v>0</v>
      </c>
      <c r="G141" s="56">
        <f>IFERROR((VLOOKUP(B141,PENDIENTES!$L$5:$M$561,2,0)),0)</f>
        <v>0</v>
      </c>
    </row>
    <row r="142" spans="2:8" x14ac:dyDescent="0.25">
      <c r="C142" s="57">
        <f>IFERROR((VLOOKUP(B142,FONT!$W$5:$X$1091,2,0)),0)</f>
        <v>0</v>
      </c>
      <c r="G142" s="56">
        <f>IFERROR((VLOOKUP(B142,PENDIENTES!$L$5:$M$561,2,0)),0)</f>
        <v>0</v>
      </c>
    </row>
    <row r="143" spans="2:8" x14ac:dyDescent="0.25">
      <c r="C143" s="57">
        <f>IFERROR((VLOOKUP(B143,FONT!$W$5:$X$1091,2,0)),0)</f>
        <v>0</v>
      </c>
      <c r="G143" s="56">
        <f>IFERROR((VLOOKUP(B143,PENDIENTES!$L$5:$M$561,2,0)),0)</f>
        <v>0</v>
      </c>
    </row>
    <row r="144" spans="2:8" x14ac:dyDescent="0.25">
      <c r="C144" s="57">
        <f>IFERROR((VLOOKUP(B144,FONT!$W$5:$X$1091,2,0)),0)</f>
        <v>0</v>
      </c>
      <c r="G144" s="56">
        <f>IFERROR((VLOOKUP(B144,PENDIENTES!$L$5:$M$561,2,0)),0)</f>
        <v>0</v>
      </c>
    </row>
    <row r="145" spans="3:7" x14ac:dyDescent="0.25">
      <c r="C145" s="57">
        <f>IFERROR((VLOOKUP(B145,FONT!$W$5:$X$1091,2,0)),0)</f>
        <v>0</v>
      </c>
      <c r="G145" s="56">
        <f>IFERROR((VLOOKUP(B145,PENDIENTES!$L$5:$M$561,2,0)),0)</f>
        <v>0</v>
      </c>
    </row>
    <row r="146" spans="3:7" x14ac:dyDescent="0.25">
      <c r="C146" s="57">
        <f>IFERROR((VLOOKUP(B146,FONT!$W$5:$X$1091,2,0)),0)</f>
        <v>0</v>
      </c>
      <c r="G146" s="56">
        <f>IFERROR((VLOOKUP(B146,PENDIENTES!$L$5:$M$561,2,0)),0)</f>
        <v>0</v>
      </c>
    </row>
    <row r="147" spans="3:7" x14ac:dyDescent="0.25">
      <c r="C147" s="57">
        <f>IFERROR((VLOOKUP(B147,FONT!$W$5:$X$1091,2,0)),0)</f>
        <v>0</v>
      </c>
      <c r="G147" s="56">
        <f>IFERROR((VLOOKUP(B147,PENDIENTES!$L$5:$M$561,2,0)),0)</f>
        <v>0</v>
      </c>
    </row>
    <row r="148" spans="3:7" x14ac:dyDescent="0.25">
      <c r="C148" s="57">
        <f>IFERROR((VLOOKUP(B148,FONT!$W$5:$X$1091,2,0)),0)</f>
        <v>0</v>
      </c>
      <c r="G148" s="56">
        <f>IFERROR((VLOOKUP(B148,PENDIENTES!$L$5:$M$561,2,0)),0)</f>
        <v>0</v>
      </c>
    </row>
    <row r="149" spans="3:7" x14ac:dyDescent="0.25">
      <c r="C149" s="57">
        <f>IFERROR((VLOOKUP(B149,FONT!$W$5:$X$1091,2,0)),0)</f>
        <v>0</v>
      </c>
      <c r="G149" s="56">
        <f>IFERROR((VLOOKUP(B149,PENDIENTES!$L$5:$M$561,2,0)),0)</f>
        <v>0</v>
      </c>
    </row>
    <row r="150" spans="3:7" x14ac:dyDescent="0.25">
      <c r="C150" s="57">
        <f>IFERROR((VLOOKUP(B150,FONT!$W$5:$X$1091,2,0)),0)</f>
        <v>0</v>
      </c>
      <c r="G150" s="56">
        <f>IFERROR((VLOOKUP(B150,PENDIENTES!$L$5:$M$561,2,0)),0)</f>
        <v>0</v>
      </c>
    </row>
    <row r="151" spans="3:7" x14ac:dyDescent="0.25">
      <c r="C151" s="57">
        <f>IFERROR((VLOOKUP(B151,FONT!$W$5:$X$1091,2,0)),0)</f>
        <v>0</v>
      </c>
      <c r="G151" s="56">
        <f>IFERROR((VLOOKUP(B151,PENDIENTES!$L$5:$M$561,2,0)),0)</f>
        <v>0</v>
      </c>
    </row>
    <row r="152" spans="3:7" x14ac:dyDescent="0.25">
      <c r="C152" s="57">
        <f>IFERROR((VLOOKUP(B152,FONT!$W$5:$X$1091,2,0)),0)</f>
        <v>0</v>
      </c>
      <c r="G152" s="56">
        <f>IFERROR((VLOOKUP(B152,PENDIENTES!$L$5:$M$561,2,0)),0)</f>
        <v>0</v>
      </c>
    </row>
    <row r="153" spans="3:7" x14ac:dyDescent="0.25">
      <c r="C153" s="57">
        <f>IFERROR((VLOOKUP(B153,FONT!$W$5:$X$1091,2,0)),0)</f>
        <v>0</v>
      </c>
      <c r="G153" s="56">
        <f>IFERROR((VLOOKUP(B153,PENDIENTES!$L$5:$M$561,2,0)),0)</f>
        <v>0</v>
      </c>
    </row>
    <row r="154" spans="3:7" x14ac:dyDescent="0.25">
      <c r="C154" s="57">
        <f>IFERROR((VLOOKUP(B154,FONT!$W$5:$X$1091,2,0)),0)</f>
        <v>0</v>
      </c>
      <c r="G154" s="56">
        <f>IFERROR((VLOOKUP(B154,PENDIENTES!$L$5:$M$561,2,0)),0)</f>
        <v>0</v>
      </c>
    </row>
    <row r="155" spans="3:7" x14ac:dyDescent="0.25">
      <c r="C155" s="57">
        <f>IFERROR((VLOOKUP(B155,FONT!$W$5:$X$1091,2,0)),0)</f>
        <v>0</v>
      </c>
      <c r="G155" s="56">
        <f>IFERROR((VLOOKUP(B155,PENDIENTES!$L$5:$M$561,2,0)),0)</f>
        <v>0</v>
      </c>
    </row>
    <row r="156" spans="3:7" x14ac:dyDescent="0.25">
      <c r="C156" s="57">
        <f>IFERROR((VLOOKUP(B156,FONT!$W$5:$X$1091,2,0)),0)</f>
        <v>0</v>
      </c>
      <c r="G156" s="56">
        <f>IFERROR((VLOOKUP(B156,PENDIENTES!$L$5:$M$561,2,0)),0)</f>
        <v>0</v>
      </c>
    </row>
    <row r="157" spans="3:7" x14ac:dyDescent="0.25">
      <c r="C157" s="57">
        <f>IFERROR((VLOOKUP(B157,FONT!$W$5:$X$1091,2,0)),0)</f>
        <v>0</v>
      </c>
      <c r="G157" s="56">
        <f>IFERROR((VLOOKUP(B157,PENDIENTES!$L$5:$M$561,2,0)),0)</f>
        <v>0</v>
      </c>
    </row>
    <row r="158" spans="3:7" x14ac:dyDescent="0.25">
      <c r="C158" s="57">
        <f>IFERROR((VLOOKUP(B158,FONT!$W$5:$X$1091,2,0)),0)</f>
        <v>0</v>
      </c>
      <c r="G158" s="56">
        <f>IFERROR((VLOOKUP(B158,PENDIENTES!$L$5:$M$561,2,0)),0)</f>
        <v>0</v>
      </c>
    </row>
    <row r="159" spans="3:7" x14ac:dyDescent="0.25">
      <c r="C159" s="57">
        <f>IFERROR((VLOOKUP(B159,FONT!$W$5:$X$1091,2,0)),0)</f>
        <v>0</v>
      </c>
      <c r="G159" s="56">
        <f>IFERROR((VLOOKUP(B159,PENDIENTES!$L$5:$M$561,2,0)),0)</f>
        <v>0</v>
      </c>
    </row>
    <row r="160" spans="3:7" x14ac:dyDescent="0.25">
      <c r="C160" s="57">
        <f>IFERROR((VLOOKUP(B160,FONT!$W$5:$X$1091,2,0)),0)</f>
        <v>0</v>
      </c>
      <c r="G160" s="56">
        <f>IFERROR((VLOOKUP(B160,PENDIENTES!$L$5:$M$561,2,0)),0)</f>
        <v>0</v>
      </c>
    </row>
    <row r="161" spans="3:7" x14ac:dyDescent="0.25">
      <c r="C161" s="57">
        <f>IFERROR((VLOOKUP(B161,FONT!$W$5:$X$1091,2,0)),0)</f>
        <v>0</v>
      </c>
      <c r="G161" s="56">
        <f>IFERROR((VLOOKUP(B161,PENDIENTES!$L$5:$M$561,2,0)),0)</f>
        <v>0</v>
      </c>
    </row>
    <row r="162" spans="3:7" x14ac:dyDescent="0.25">
      <c r="C162" s="57">
        <f>IFERROR((VLOOKUP(B162,FONT!$W$5:$X$1091,2,0)),0)</f>
        <v>0</v>
      </c>
      <c r="G162" s="56">
        <f>IFERROR((VLOOKUP(B162,PENDIENTES!$L$5:$M$561,2,0)),0)</f>
        <v>0</v>
      </c>
    </row>
    <row r="163" spans="3:7" x14ac:dyDescent="0.25">
      <c r="C163" s="57">
        <f>IFERROR((VLOOKUP(B163,FONT!$W$5:$X$1091,2,0)),0)</f>
        <v>0</v>
      </c>
      <c r="G163" s="56">
        <f>IFERROR((VLOOKUP(B163,PENDIENTES!$L$5:$M$561,2,0)),0)</f>
        <v>0</v>
      </c>
    </row>
    <row r="164" spans="3:7" x14ac:dyDescent="0.25">
      <c r="C164" s="57">
        <f>IFERROR((VLOOKUP(B164,FONT!$W$5:$X$1091,2,0)),0)</f>
        <v>0</v>
      </c>
      <c r="G164" s="56">
        <f>IFERROR((VLOOKUP(B164,PENDIENTES!$L$5:$M$561,2,0)),0)</f>
        <v>0</v>
      </c>
    </row>
    <row r="165" spans="3:7" x14ac:dyDescent="0.25">
      <c r="C165" s="57">
        <f>IFERROR((VLOOKUP(B165,FONT!$W$5:$X$1091,2,0)),0)</f>
        <v>0</v>
      </c>
      <c r="G165" s="56">
        <f>IFERROR((VLOOKUP(B165,PENDIENTES!$L$5:$M$561,2,0)),0)</f>
        <v>0</v>
      </c>
    </row>
    <row r="166" spans="3:7" x14ac:dyDescent="0.25">
      <c r="C166" s="57">
        <f>IFERROR((VLOOKUP(B166,FONT!$W$5:$X$1091,2,0)),0)</f>
        <v>0</v>
      </c>
      <c r="G166" s="56">
        <f>IFERROR((VLOOKUP(B166,PENDIENTES!$L$5:$M$561,2,0)),0)</f>
        <v>0</v>
      </c>
    </row>
    <row r="167" spans="3:7" x14ac:dyDescent="0.25">
      <c r="C167" s="57">
        <f>IFERROR((VLOOKUP(B167,FONT!$W$5:$X$1091,2,0)),0)</f>
        <v>0</v>
      </c>
      <c r="G167" s="56">
        <f>IFERROR((VLOOKUP(B167,PENDIENTES!$L$5:$M$561,2,0)),0)</f>
        <v>0</v>
      </c>
    </row>
    <row r="168" spans="3:7" x14ac:dyDescent="0.25">
      <c r="C168" s="57">
        <f>IFERROR((VLOOKUP(B168,FONT!$W$5:$X$1091,2,0)),0)</f>
        <v>0</v>
      </c>
      <c r="G168" s="56">
        <f>IFERROR((VLOOKUP(B168,PENDIENTES!$L$5:$M$561,2,0)),0)</f>
        <v>0</v>
      </c>
    </row>
    <row r="169" spans="3:7" x14ac:dyDescent="0.25">
      <c r="C169" s="57">
        <f>IFERROR((VLOOKUP(B169,FONT!$W$5:$X$1091,2,0)),0)</f>
        <v>0</v>
      </c>
      <c r="G169" s="56">
        <f>IFERROR((VLOOKUP(B169,PENDIENTES!$L$5:$M$561,2,0)),0)</f>
        <v>0</v>
      </c>
    </row>
    <row r="170" spans="3:7" x14ac:dyDescent="0.25">
      <c r="C170" s="57">
        <f>IFERROR((VLOOKUP(B170,FONT!$W$5:$X$1091,2,0)),0)</f>
        <v>0</v>
      </c>
      <c r="G170" s="56">
        <f>IFERROR((VLOOKUP(B170,PENDIENTES!$L$5:$M$561,2,0)),0)</f>
        <v>0</v>
      </c>
    </row>
    <row r="171" spans="3:7" x14ac:dyDescent="0.25">
      <c r="C171" s="57">
        <f>IFERROR((VLOOKUP(B171,FONT!$W$5:$X$1091,2,0)),0)</f>
        <v>0</v>
      </c>
      <c r="G171" s="56">
        <f>IFERROR((VLOOKUP(B171,PENDIENTES!$L$5:$M$561,2,0)),0)</f>
        <v>0</v>
      </c>
    </row>
    <row r="172" spans="3:7" x14ac:dyDescent="0.25">
      <c r="C172" s="57">
        <f>IFERROR((VLOOKUP(B172,FONT!$W$5:$X$1091,2,0)),0)</f>
        <v>0</v>
      </c>
      <c r="G172" s="56">
        <f>IFERROR((VLOOKUP(B172,PENDIENTES!$L$5:$M$561,2,0)),0)</f>
        <v>0</v>
      </c>
    </row>
    <row r="173" spans="3:7" x14ac:dyDescent="0.25">
      <c r="C173" s="57">
        <f>IFERROR((VLOOKUP(B173,FONT!$W$5:$X$1091,2,0)),0)</f>
        <v>0</v>
      </c>
      <c r="G173" s="56">
        <f>IFERROR((VLOOKUP(B173,PENDIENTES!$L$5:$M$561,2,0)),0)</f>
        <v>0</v>
      </c>
    </row>
    <row r="174" spans="3:7" x14ac:dyDescent="0.25">
      <c r="C174" s="57">
        <f>IFERROR((VLOOKUP(B174,FONT!$W$5:$X$1091,2,0)),0)</f>
        <v>0</v>
      </c>
      <c r="G174" s="56">
        <f>IFERROR((VLOOKUP(B174,PENDIENTES!$L$5:$M$561,2,0)),0)</f>
        <v>0</v>
      </c>
    </row>
    <row r="175" spans="3:7" x14ac:dyDescent="0.25">
      <c r="C175" s="57">
        <f>IFERROR((VLOOKUP(B175,FONT!$W$5:$X$1091,2,0)),0)</f>
        <v>0</v>
      </c>
      <c r="G175" s="56">
        <f>IFERROR((VLOOKUP(B175,PENDIENTES!$L$5:$M$561,2,0)),0)</f>
        <v>0</v>
      </c>
    </row>
    <row r="176" spans="3:7" x14ac:dyDescent="0.25">
      <c r="C176" s="57">
        <f>IFERROR((VLOOKUP(B176,FONT!$W$5:$X$1091,2,0)),0)</f>
        <v>0</v>
      </c>
      <c r="G176" s="56">
        <f>IFERROR((VLOOKUP(B176,PENDIENTES!$L$5:$M$561,2,0)),0)</f>
        <v>0</v>
      </c>
    </row>
    <row r="177" spans="3:7" x14ac:dyDescent="0.25">
      <c r="C177" s="57">
        <f>IFERROR((VLOOKUP(B177,FONT!$W$5:$X$1091,2,0)),0)</f>
        <v>0</v>
      </c>
      <c r="G177" s="56">
        <f>IFERROR((VLOOKUP(B177,PENDIENTES!$L$5:$M$561,2,0)),0)</f>
        <v>0</v>
      </c>
    </row>
    <row r="178" spans="3:7" x14ac:dyDescent="0.25">
      <c r="C178" s="57">
        <f>IFERROR((VLOOKUP(B178,FONT!$W$5:$X$1091,2,0)),0)</f>
        <v>0</v>
      </c>
      <c r="G178" s="56">
        <f>IFERROR((VLOOKUP(B178,PENDIENTES!$L$5:$M$561,2,0)),0)</f>
        <v>0</v>
      </c>
    </row>
    <row r="179" spans="3:7" x14ac:dyDescent="0.25">
      <c r="C179" s="57">
        <f>IFERROR((VLOOKUP(B179,FONT!$W$5:$X$1091,2,0)),0)</f>
        <v>0</v>
      </c>
      <c r="G179" s="56">
        <f>IFERROR((VLOOKUP(B179,PENDIENTES!$L$5:$M$561,2,0)),0)</f>
        <v>0</v>
      </c>
    </row>
    <row r="180" spans="3:7" x14ac:dyDescent="0.25">
      <c r="C180" s="57">
        <f>IFERROR((VLOOKUP(B180,FONT!$W$5:$X$1091,2,0)),0)</f>
        <v>0</v>
      </c>
      <c r="G180" s="56">
        <f>IFERROR((VLOOKUP(B180,PENDIENTES!$L$5:$M$561,2,0)),0)</f>
        <v>0</v>
      </c>
    </row>
    <row r="181" spans="3:7" x14ac:dyDescent="0.25">
      <c r="C181" s="57">
        <f>IFERROR((VLOOKUP(B181,FONT!$W$5:$X$1091,2,0)),0)</f>
        <v>0</v>
      </c>
      <c r="G181" s="56">
        <f>IFERROR((VLOOKUP(B181,PENDIENTES!$L$5:$M$561,2,0)),0)</f>
        <v>0</v>
      </c>
    </row>
    <row r="182" spans="3:7" x14ac:dyDescent="0.25">
      <c r="C182" s="57">
        <f>IFERROR((VLOOKUP(B182,FONT!$W$5:$X$1091,2,0)),0)</f>
        <v>0</v>
      </c>
      <c r="G182" s="56">
        <f>IFERROR((VLOOKUP(B182,PENDIENTES!$L$5:$M$561,2,0)),0)</f>
        <v>0</v>
      </c>
    </row>
    <row r="183" spans="3:7" x14ac:dyDescent="0.25">
      <c r="C183" s="57">
        <f>IFERROR((VLOOKUP(B183,FONT!$W$5:$X$1091,2,0)),0)</f>
        <v>0</v>
      </c>
      <c r="G183" s="56">
        <f>IFERROR((VLOOKUP(B183,PENDIENTES!$L$5:$M$561,2,0)),0)</f>
        <v>0</v>
      </c>
    </row>
    <row r="184" spans="3:7" x14ac:dyDescent="0.25">
      <c r="C184" s="57">
        <f>IFERROR((VLOOKUP(B184,FONT!$W$5:$X$1091,2,0)),0)</f>
        <v>0</v>
      </c>
      <c r="G184" s="56">
        <f>IFERROR((VLOOKUP(B184,PENDIENTES!$L$5:$M$561,2,0)),0)</f>
        <v>0</v>
      </c>
    </row>
    <row r="185" spans="3:7" x14ac:dyDescent="0.25">
      <c r="C185" s="57">
        <f>IFERROR((VLOOKUP(B185,FONT!$W$5:$X$1091,2,0)),0)</f>
        <v>0</v>
      </c>
      <c r="G185" s="56">
        <f>IFERROR((VLOOKUP(B185,PENDIENTES!$L$5:$M$561,2,0)),0)</f>
        <v>0</v>
      </c>
    </row>
    <row r="186" spans="3:7" x14ac:dyDescent="0.25">
      <c r="C186" s="57">
        <f>IFERROR((VLOOKUP(B186,FONT!$W$5:$X$1091,2,0)),0)</f>
        <v>0</v>
      </c>
      <c r="G186" s="56">
        <f>IFERROR((VLOOKUP(B186,PENDIENTES!$L$5:$M$561,2,0)),0)</f>
        <v>0</v>
      </c>
    </row>
    <row r="187" spans="3:7" x14ac:dyDescent="0.25">
      <c r="C187" s="57">
        <f>IFERROR((VLOOKUP(B187,FONT!$W$5:$X$1091,2,0)),0)</f>
        <v>0</v>
      </c>
      <c r="G187" s="56">
        <f>IFERROR((VLOOKUP(B187,PENDIENTES!$L$5:$M$561,2,0)),0)</f>
        <v>0</v>
      </c>
    </row>
    <row r="188" spans="3:7" x14ac:dyDescent="0.25">
      <c r="C188" s="57">
        <f>IFERROR((VLOOKUP(B188,FONT!$W$5:$X$1091,2,0)),0)</f>
        <v>0</v>
      </c>
      <c r="G188" s="56">
        <f>IFERROR((VLOOKUP(B188,PENDIENTES!$L$5:$M$561,2,0)),0)</f>
        <v>0</v>
      </c>
    </row>
    <row r="189" spans="3:7" x14ac:dyDescent="0.25">
      <c r="C189" s="57">
        <f>IFERROR((VLOOKUP(B189,FONT!$W$5:$X$1091,2,0)),0)</f>
        <v>0</v>
      </c>
      <c r="G189" s="56">
        <f>IFERROR((VLOOKUP(B189,PENDIENTES!$L$5:$M$561,2,0)),0)</f>
        <v>0</v>
      </c>
    </row>
    <row r="190" spans="3:7" x14ac:dyDescent="0.25">
      <c r="C190" s="57">
        <f>IFERROR((VLOOKUP(B190,FONT!$W$5:$X$1091,2,0)),0)</f>
        <v>0</v>
      </c>
      <c r="G190" s="56">
        <f>IFERROR((VLOOKUP(B190,PENDIENTES!$L$5:$M$561,2,0)),0)</f>
        <v>0</v>
      </c>
    </row>
    <row r="191" spans="3:7" x14ac:dyDescent="0.25">
      <c r="C191" s="57">
        <f>IFERROR((VLOOKUP(B191,FONT!$W$5:$X$1091,2,0)),0)</f>
        <v>0</v>
      </c>
      <c r="G191" s="56">
        <f>IFERROR((VLOOKUP(B191,PENDIENTES!$L$5:$M$561,2,0)),0)</f>
        <v>0</v>
      </c>
    </row>
    <row r="192" spans="3:7" x14ac:dyDescent="0.25">
      <c r="C192" s="57">
        <f>IFERROR((VLOOKUP(B192,FONT!$W$5:$X$1091,2,0)),0)</f>
        <v>0</v>
      </c>
      <c r="G192" s="56">
        <f>IFERROR((VLOOKUP(B192,PENDIENTES!$L$5:$M$561,2,0)),0)</f>
        <v>0</v>
      </c>
    </row>
    <row r="193" spans="3:7" x14ac:dyDescent="0.25">
      <c r="C193" s="57">
        <f>IFERROR((VLOOKUP(B193,FONT!$W$5:$X$1091,2,0)),0)</f>
        <v>0</v>
      </c>
      <c r="G193" s="56">
        <f>IFERROR((VLOOKUP(B193,PENDIENTES!$L$5:$M$561,2,0)),0)</f>
        <v>0</v>
      </c>
    </row>
    <row r="194" spans="3:7" x14ac:dyDescent="0.25">
      <c r="C194" s="57">
        <f>IFERROR((VLOOKUP(B194,FONT!$W$5:$X$1091,2,0)),0)</f>
        <v>0</v>
      </c>
      <c r="G194" s="56">
        <f>IFERROR((VLOOKUP(B194,PENDIENTES!$L$5:$M$561,2,0)),0)</f>
        <v>0</v>
      </c>
    </row>
    <row r="195" spans="3:7" x14ac:dyDescent="0.25">
      <c r="C195" s="57">
        <f>IFERROR((VLOOKUP(B195,FONT!$W$5:$X$1091,2,0)),0)</f>
        <v>0</v>
      </c>
      <c r="G195" s="56">
        <f>IFERROR((VLOOKUP(B195,PENDIENTES!$L$5:$M$561,2,0)),0)</f>
        <v>0</v>
      </c>
    </row>
    <row r="196" spans="3:7" x14ac:dyDescent="0.25">
      <c r="C196" s="57">
        <f>IFERROR((VLOOKUP(B196,FONT!$W$5:$X$1091,2,0)),0)</f>
        <v>0</v>
      </c>
      <c r="G196" s="56">
        <f>IFERROR((VLOOKUP(B196,PENDIENTES!$L$5:$M$561,2,0)),0)</f>
        <v>0</v>
      </c>
    </row>
    <row r="197" spans="3:7" x14ac:dyDescent="0.25">
      <c r="C197" s="57">
        <f>IFERROR((VLOOKUP(B197,FONT!$W$5:$X$1091,2,0)),0)</f>
        <v>0</v>
      </c>
      <c r="G197" s="56">
        <f>IFERROR((VLOOKUP(B197,PENDIENTES!$L$5:$M$561,2,0)),0)</f>
        <v>0</v>
      </c>
    </row>
    <row r="198" spans="3:7" x14ac:dyDescent="0.25">
      <c r="C198" s="57">
        <f>IFERROR((VLOOKUP(B198,FONT!$W$5:$X$1091,2,0)),0)</f>
        <v>0</v>
      </c>
      <c r="G198" s="56">
        <f>IFERROR((VLOOKUP(B198,PENDIENTES!$L$5:$M$561,2,0)),0)</f>
        <v>0</v>
      </c>
    </row>
    <row r="199" spans="3:7" x14ac:dyDescent="0.25">
      <c r="C199" s="57">
        <f>IFERROR((VLOOKUP(B199,FONT!$W$5:$X$1091,2,0)),0)</f>
        <v>0</v>
      </c>
      <c r="G199" s="56">
        <f>IFERROR((VLOOKUP(B199,PENDIENTES!$L$5:$M$561,2,0)),0)</f>
        <v>0</v>
      </c>
    </row>
    <row r="200" spans="3:7" x14ac:dyDescent="0.25">
      <c r="C200" s="57">
        <f>IFERROR((VLOOKUP(B200,FONT!$W$5:$X$1091,2,0)),0)</f>
        <v>0</v>
      </c>
      <c r="G200" s="56">
        <f>IFERROR((VLOOKUP(B200,PENDIENTES!$L$5:$M$561,2,0)),0)</f>
        <v>0</v>
      </c>
    </row>
    <row r="201" spans="3:7" x14ac:dyDescent="0.25">
      <c r="C201" s="57">
        <f>IFERROR((VLOOKUP(B201,FONT!$W$5:$X$1091,2,0)),0)</f>
        <v>0</v>
      </c>
      <c r="G201" s="56">
        <f>IFERROR((VLOOKUP(B201,PENDIENTES!$L$5:$M$561,2,0)),0)</f>
        <v>0</v>
      </c>
    </row>
    <row r="202" spans="3:7" x14ac:dyDescent="0.25">
      <c r="C202" s="57">
        <f>IFERROR((VLOOKUP(B202,FONT!$W$5:$X$1091,2,0)),0)</f>
        <v>0</v>
      </c>
      <c r="G202" s="56">
        <f>IFERROR((VLOOKUP(B202,PENDIENTES!$L$5:$M$561,2,0)),0)</f>
        <v>0</v>
      </c>
    </row>
    <row r="203" spans="3:7" x14ac:dyDescent="0.25">
      <c r="C203" s="57">
        <f>IFERROR((VLOOKUP(B203,FONT!$W$5:$X$1091,2,0)),0)</f>
        <v>0</v>
      </c>
      <c r="G203" s="56">
        <f>IFERROR((VLOOKUP(B203,PENDIENTES!$L$5:$M$561,2,0)),0)</f>
        <v>0</v>
      </c>
    </row>
    <row r="204" spans="3:7" x14ac:dyDescent="0.25">
      <c r="C204" s="57">
        <f>IFERROR((VLOOKUP(B204,FONT!$W$5:$X$1091,2,0)),0)</f>
        <v>0</v>
      </c>
      <c r="G204" s="56">
        <f>IFERROR((VLOOKUP(B204,PENDIENTES!$L$5:$M$561,2,0)),0)</f>
        <v>0</v>
      </c>
    </row>
    <row r="205" spans="3:7" x14ac:dyDescent="0.25">
      <c r="C205" s="57">
        <f>IFERROR((VLOOKUP(B205,FONT!$W$5:$X$1091,2,0)),0)</f>
        <v>0</v>
      </c>
      <c r="G205" s="56">
        <f>IFERROR((VLOOKUP(B205,PENDIENTES!$L$5:$M$561,2,0)),0)</f>
        <v>0</v>
      </c>
    </row>
    <row r="206" spans="3:7" x14ac:dyDescent="0.25">
      <c r="C206" s="57">
        <f>IFERROR((VLOOKUP(B206,FONT!$W$5:$X$1091,2,0)),0)</f>
        <v>0</v>
      </c>
      <c r="G206" s="56">
        <f>IFERROR((VLOOKUP(B206,PENDIENTES!$L$5:$M$561,2,0)),0)</f>
        <v>0</v>
      </c>
    </row>
    <row r="207" spans="3:7" x14ac:dyDescent="0.25">
      <c r="C207" s="57">
        <f>IFERROR((VLOOKUP(B207,FONT!$W$5:$X$1091,2,0)),0)</f>
        <v>0</v>
      </c>
      <c r="G207" s="56">
        <f>IFERROR((VLOOKUP(B207,PENDIENTES!$L$5:$M$561,2,0)),0)</f>
        <v>0</v>
      </c>
    </row>
    <row r="208" spans="3:7" x14ac:dyDescent="0.25">
      <c r="C208" s="57">
        <f>IFERROR((VLOOKUP(B208,FONT!$W$5:$X$1091,2,0)),0)</f>
        <v>0</v>
      </c>
      <c r="G208" s="56">
        <f>IFERROR((VLOOKUP(B208,PENDIENTES!$L$5:$M$561,2,0)),0)</f>
        <v>0</v>
      </c>
    </row>
    <row r="209" spans="3:7" x14ac:dyDescent="0.25">
      <c r="C209" s="57">
        <f>IFERROR((VLOOKUP(B209,FONT!$W$5:$X$1091,2,0)),0)</f>
        <v>0</v>
      </c>
      <c r="G209" s="56">
        <f>IFERROR((VLOOKUP(B209,PENDIENTES!$L$5:$M$561,2,0)),0)</f>
        <v>0</v>
      </c>
    </row>
    <row r="210" spans="3:7" x14ac:dyDescent="0.25">
      <c r="C210" s="57">
        <f>IFERROR((VLOOKUP(B210,FONT!$W$5:$X$1091,2,0)),0)</f>
        <v>0</v>
      </c>
      <c r="G210" s="56">
        <f>IFERROR((VLOOKUP(B210,PENDIENTES!$L$5:$M$561,2,0)),0)</f>
        <v>0</v>
      </c>
    </row>
    <row r="211" spans="3:7" x14ac:dyDescent="0.25">
      <c r="C211" s="57">
        <f>IFERROR((VLOOKUP(B211,FONT!$W$5:$X$1091,2,0)),0)</f>
        <v>0</v>
      </c>
      <c r="G211" s="56">
        <f>IFERROR((VLOOKUP(B211,PENDIENTES!$L$5:$M$561,2,0)),0)</f>
        <v>0</v>
      </c>
    </row>
    <row r="212" spans="3:7" x14ac:dyDescent="0.25">
      <c r="C212" s="57">
        <f>IFERROR((VLOOKUP(B212,FONT!$W$5:$X$1091,2,0)),0)</f>
        <v>0</v>
      </c>
      <c r="G212" s="56">
        <f>IFERROR((VLOOKUP(B212,PENDIENTES!$L$5:$M$561,2,0)),0)</f>
        <v>0</v>
      </c>
    </row>
    <row r="213" spans="3:7" x14ac:dyDescent="0.25">
      <c r="C213" s="57">
        <f>IFERROR((VLOOKUP(B213,FONT!$W$5:$X$1091,2,0)),0)</f>
        <v>0</v>
      </c>
      <c r="G213" s="56">
        <f>IFERROR((VLOOKUP(B213,PENDIENTES!$L$5:$M$561,2,0)),0)</f>
        <v>0</v>
      </c>
    </row>
    <row r="214" spans="3:7" x14ac:dyDescent="0.25">
      <c r="C214" s="57">
        <f>IFERROR((VLOOKUP(B214,FONT!$W$5:$X$1091,2,0)),0)</f>
        <v>0</v>
      </c>
      <c r="G214" s="56">
        <f>IFERROR((VLOOKUP(B214,PENDIENTES!$L$5:$M$561,2,0)),0)</f>
        <v>0</v>
      </c>
    </row>
    <row r="215" spans="3:7" x14ac:dyDescent="0.25">
      <c r="C215" s="57">
        <f>IFERROR((VLOOKUP(B215,FONT!$W$5:$X$1091,2,0)),0)</f>
        <v>0</v>
      </c>
      <c r="G215" s="56">
        <f>IFERROR((VLOOKUP(B215,PENDIENTES!$L$5:$M$561,2,0)),0)</f>
        <v>0</v>
      </c>
    </row>
    <row r="216" spans="3:7" x14ac:dyDescent="0.25">
      <c r="C216" s="57">
        <f>IFERROR((VLOOKUP(B216,FONT!$W$5:$X$1091,2,0)),0)</f>
        <v>0</v>
      </c>
      <c r="G216" s="56">
        <f>IFERROR((VLOOKUP(B216,PENDIENTES!$L$5:$M$561,2,0)),0)</f>
        <v>0</v>
      </c>
    </row>
    <row r="217" spans="3:7" x14ac:dyDescent="0.25">
      <c r="C217" s="57">
        <f>IFERROR((VLOOKUP(B217,FONT!$W$5:$X$1091,2,0)),0)</f>
        <v>0</v>
      </c>
      <c r="G217" s="56">
        <f>IFERROR((VLOOKUP(B217,PENDIENTES!$L$5:$M$561,2,0)),0)</f>
        <v>0</v>
      </c>
    </row>
    <row r="218" spans="3:7" x14ac:dyDescent="0.25">
      <c r="C218" s="57">
        <f>IFERROR((VLOOKUP(B218,FONT!$W$5:$X$1091,2,0)),0)</f>
        <v>0</v>
      </c>
      <c r="G218" s="56">
        <f>IFERROR((VLOOKUP(B218,PENDIENTES!$L$5:$M$561,2,0)),0)</f>
        <v>0</v>
      </c>
    </row>
    <row r="219" spans="3:7" x14ac:dyDescent="0.25">
      <c r="C219" s="57">
        <f>IFERROR((VLOOKUP(B219,FONT!$W$5:$X$1091,2,0)),0)</f>
        <v>0</v>
      </c>
      <c r="G219" s="56">
        <f>IFERROR((VLOOKUP(B219,PENDIENTES!$L$5:$M$561,2,0)),0)</f>
        <v>0</v>
      </c>
    </row>
    <row r="220" spans="3:7" x14ac:dyDescent="0.25">
      <c r="C220" s="57">
        <f>IFERROR((VLOOKUP(B220,FONT!$W$5:$X$1091,2,0)),0)</f>
        <v>0</v>
      </c>
      <c r="G220" s="56">
        <f>IFERROR((VLOOKUP(B220,PENDIENTES!$L$5:$M$561,2,0)),0)</f>
        <v>0</v>
      </c>
    </row>
    <row r="221" spans="3:7" x14ac:dyDescent="0.25">
      <c r="C221" s="57">
        <f>IFERROR((VLOOKUP(B221,FONT!$W$5:$X$1091,2,0)),0)</f>
        <v>0</v>
      </c>
      <c r="G221" s="56">
        <f>IFERROR((VLOOKUP(B221,PENDIENTES!$L$5:$M$561,2,0)),0)</f>
        <v>0</v>
      </c>
    </row>
    <row r="222" spans="3:7" x14ac:dyDescent="0.25">
      <c r="C222" s="57">
        <f>IFERROR((VLOOKUP(B222,FONT!$W$5:$X$1091,2,0)),0)</f>
        <v>0</v>
      </c>
      <c r="G222" s="56">
        <f>IFERROR((VLOOKUP(B222,PENDIENTES!$L$5:$M$561,2,0)),0)</f>
        <v>0</v>
      </c>
    </row>
    <row r="223" spans="3:7" x14ac:dyDescent="0.25">
      <c r="C223" s="57">
        <f>IFERROR((VLOOKUP(B223,FONT!$W$5:$X$1091,2,0)),0)</f>
        <v>0</v>
      </c>
      <c r="G223" s="56">
        <f>IFERROR((VLOOKUP(B223,PENDIENTES!$L$5:$M$561,2,0)),0)</f>
        <v>0</v>
      </c>
    </row>
    <row r="224" spans="3:7" x14ac:dyDescent="0.25">
      <c r="C224" s="57">
        <f>IFERROR((VLOOKUP(B224,FONT!$W$5:$X$1091,2,0)),0)</f>
        <v>0</v>
      </c>
      <c r="G224" s="56">
        <f>IFERROR((VLOOKUP(B224,PENDIENTES!$L$5:$M$561,2,0)),0)</f>
        <v>0</v>
      </c>
    </row>
    <row r="225" spans="3:7" x14ac:dyDescent="0.25">
      <c r="C225" s="57">
        <f>IFERROR((VLOOKUP(B225,FONT!$W$5:$X$1091,2,0)),0)</f>
        <v>0</v>
      </c>
      <c r="G225" s="56">
        <f>IFERROR((VLOOKUP(B225,PENDIENTES!$L$5:$M$561,2,0)),0)</f>
        <v>0</v>
      </c>
    </row>
    <row r="226" spans="3:7" x14ac:dyDescent="0.25">
      <c r="C226" s="57">
        <f>IFERROR((VLOOKUP(B226,FONT!$W$5:$X$1091,2,0)),0)</f>
        <v>0</v>
      </c>
      <c r="G226" s="56">
        <f>IFERROR((VLOOKUP(B226,PENDIENTES!$L$5:$M$561,2,0)),0)</f>
        <v>0</v>
      </c>
    </row>
    <row r="227" spans="3:7" x14ac:dyDescent="0.25">
      <c r="C227" s="57">
        <f>IFERROR((VLOOKUP(B227,FONT!$W$5:$X$1091,2,0)),0)</f>
        <v>0</v>
      </c>
      <c r="G227" s="56">
        <f>IFERROR((VLOOKUP(B227,PENDIENTES!$L$5:$M$561,2,0)),0)</f>
        <v>0</v>
      </c>
    </row>
    <row r="228" spans="3:7" x14ac:dyDescent="0.25">
      <c r="C228" s="57">
        <f>IFERROR((VLOOKUP(B228,FONT!$W$5:$X$1091,2,0)),0)</f>
        <v>0</v>
      </c>
      <c r="G228" s="56">
        <f>IFERROR((VLOOKUP(B228,PENDIENTES!$L$5:$M$561,2,0)),0)</f>
        <v>0</v>
      </c>
    </row>
    <row r="229" spans="3:7" x14ac:dyDescent="0.25">
      <c r="C229" s="57">
        <f>IFERROR((VLOOKUP(B229,FONT!$W$5:$X$1091,2,0)),0)</f>
        <v>0</v>
      </c>
      <c r="G229" s="56">
        <f>IFERROR((VLOOKUP(B229,PENDIENTES!$L$5:$M$561,2,0)),0)</f>
        <v>0</v>
      </c>
    </row>
    <row r="230" spans="3:7" x14ac:dyDescent="0.25">
      <c r="C230" s="57">
        <f>IFERROR((VLOOKUP(B230,FONT!$W$5:$X$1091,2,0)),0)</f>
        <v>0</v>
      </c>
      <c r="G230" s="56">
        <f>IFERROR((VLOOKUP(B230,PENDIENTES!$L$5:$M$561,2,0)),0)</f>
        <v>0</v>
      </c>
    </row>
    <row r="231" spans="3:7" x14ac:dyDescent="0.25">
      <c r="C231" s="57">
        <f>IFERROR((VLOOKUP(B231,FONT!$W$5:$X$1091,2,0)),0)</f>
        <v>0</v>
      </c>
      <c r="G231" s="56">
        <f>IFERROR((VLOOKUP(B231,PENDIENTES!$L$5:$M$561,2,0)),0)</f>
        <v>0</v>
      </c>
    </row>
    <row r="232" spans="3:7" x14ac:dyDescent="0.25">
      <c r="C232" s="57">
        <f>IFERROR((VLOOKUP(B232,FONT!$W$5:$X$1091,2,0)),0)</f>
        <v>0</v>
      </c>
      <c r="G232" s="56">
        <f>IFERROR((VLOOKUP(B232,PENDIENTES!$L$5:$M$561,2,0)),0)</f>
        <v>0</v>
      </c>
    </row>
    <row r="233" spans="3:7" x14ac:dyDescent="0.25">
      <c r="C233" s="57">
        <f>IFERROR((VLOOKUP(B233,FONT!$W$5:$X$1091,2,0)),0)</f>
        <v>0</v>
      </c>
      <c r="G233" s="56">
        <f>IFERROR((VLOOKUP(B233,PENDIENTES!$L$5:$M$561,2,0)),0)</f>
        <v>0</v>
      </c>
    </row>
    <row r="234" spans="3:7" x14ac:dyDescent="0.25">
      <c r="C234" s="57">
        <f>IFERROR((VLOOKUP(B234,FONT!$W$5:$X$1091,2,0)),0)</f>
        <v>0</v>
      </c>
      <c r="G234" s="56">
        <f>IFERROR((VLOOKUP(B234,PENDIENTES!$L$5:$M$561,2,0)),0)</f>
        <v>0</v>
      </c>
    </row>
    <row r="235" spans="3:7" x14ac:dyDescent="0.25">
      <c r="C235" s="57">
        <f>IFERROR((VLOOKUP(B235,FONT!$W$5:$X$1091,2,0)),0)</f>
        <v>0</v>
      </c>
      <c r="G235" s="56">
        <f>IFERROR((VLOOKUP(B235,PENDIENTES!$L$5:$M$561,2,0)),0)</f>
        <v>0</v>
      </c>
    </row>
    <row r="236" spans="3:7" x14ac:dyDescent="0.25">
      <c r="C236" s="57">
        <f>IFERROR((VLOOKUP(B236,FONT!$W$5:$X$1091,2,0)),0)</f>
        <v>0</v>
      </c>
      <c r="G236" s="56">
        <f>IFERROR((VLOOKUP(B236,PENDIENTES!$L$5:$M$561,2,0)),0)</f>
        <v>0</v>
      </c>
    </row>
    <row r="237" spans="3:7" x14ac:dyDescent="0.25">
      <c r="C237" s="57">
        <f>IFERROR((VLOOKUP(B237,FONT!$W$5:$X$1091,2,0)),0)</f>
        <v>0</v>
      </c>
      <c r="G237" s="56">
        <f>IFERROR((VLOOKUP(B237,PENDIENTES!$L$5:$M$561,2,0)),0)</f>
        <v>0</v>
      </c>
    </row>
    <row r="238" spans="3:7" x14ac:dyDescent="0.25">
      <c r="C238" s="57">
        <f>IFERROR((VLOOKUP(B238,FONT!$W$5:$X$1091,2,0)),0)</f>
        <v>0</v>
      </c>
      <c r="G238" s="56">
        <f>IFERROR((VLOOKUP(B238,PENDIENTES!$L$5:$M$561,2,0)),0)</f>
        <v>0</v>
      </c>
    </row>
    <row r="239" spans="3:7" x14ac:dyDescent="0.25">
      <c r="C239" s="57">
        <f>IFERROR((VLOOKUP(B239,FONT!$W$5:$X$1091,2,0)),0)</f>
        <v>0</v>
      </c>
      <c r="G239" s="56">
        <f>IFERROR((VLOOKUP(B239,PENDIENTES!$L$5:$M$561,2,0)),0)</f>
        <v>0</v>
      </c>
    </row>
    <row r="240" spans="3:7" x14ac:dyDescent="0.25">
      <c r="C240" s="57">
        <f>IFERROR((VLOOKUP(B240,FONT!$W$5:$X$1091,2,0)),0)</f>
        <v>0</v>
      </c>
      <c r="G240" s="56">
        <f>IFERROR((VLOOKUP(B240,PENDIENTES!$L$5:$M$561,2,0)),0)</f>
        <v>0</v>
      </c>
    </row>
    <row r="241" spans="3:7" x14ac:dyDescent="0.25">
      <c r="C241" s="57">
        <f>IFERROR((VLOOKUP(B241,FONT!$W$5:$X$1091,2,0)),0)</f>
        <v>0</v>
      </c>
      <c r="G241" s="56">
        <f>IFERROR((VLOOKUP(B241,PENDIENTES!$L$5:$M$561,2,0)),0)</f>
        <v>0</v>
      </c>
    </row>
    <row r="242" spans="3:7" x14ac:dyDescent="0.25">
      <c r="C242" s="57">
        <f>IFERROR((VLOOKUP(B242,FONT!$W$5:$X$1091,2,0)),0)</f>
        <v>0</v>
      </c>
      <c r="G242" s="56">
        <f>IFERROR((VLOOKUP(B242,PENDIENTES!$L$5:$M$561,2,0)),0)</f>
        <v>0</v>
      </c>
    </row>
    <row r="243" spans="3:7" x14ac:dyDescent="0.25">
      <c r="C243" s="57">
        <f>IFERROR((VLOOKUP(B243,FONT!$W$5:$X$1091,2,0)),0)</f>
        <v>0</v>
      </c>
      <c r="G243" s="56">
        <f>IFERROR((VLOOKUP(B243,PENDIENTES!$L$5:$M$561,2,0)),0)</f>
        <v>0</v>
      </c>
    </row>
    <row r="244" spans="3:7" x14ac:dyDescent="0.25">
      <c r="C244" s="57">
        <f>IFERROR((VLOOKUP(B244,FONT!$W$5:$X$1091,2,0)),0)</f>
        <v>0</v>
      </c>
      <c r="G244" s="56">
        <f>IFERROR((VLOOKUP(B244,PENDIENTES!$L$5:$M$561,2,0)),0)</f>
        <v>0</v>
      </c>
    </row>
    <row r="245" spans="3:7" x14ac:dyDescent="0.25">
      <c r="C245" s="57">
        <f>IFERROR((VLOOKUP(B245,FONT!$W$5:$X$1091,2,0)),0)</f>
        <v>0</v>
      </c>
      <c r="G245" s="56">
        <f>IFERROR((VLOOKUP(B245,PENDIENTES!$L$5:$M$561,2,0)),0)</f>
        <v>0</v>
      </c>
    </row>
    <row r="246" spans="3:7" x14ac:dyDescent="0.25">
      <c r="C246" s="57">
        <f>IFERROR((VLOOKUP(B246,FONT!$W$5:$X$1091,2,0)),0)</f>
        <v>0</v>
      </c>
      <c r="G246" s="56">
        <f>IFERROR((VLOOKUP(B246,PENDIENTES!$L$5:$M$561,2,0)),0)</f>
        <v>0</v>
      </c>
    </row>
    <row r="247" spans="3:7" x14ac:dyDescent="0.25">
      <c r="C247" s="57">
        <f>IFERROR((VLOOKUP(B247,FONT!$W$5:$X$1091,2,0)),0)</f>
        <v>0</v>
      </c>
      <c r="G247" s="56">
        <f>IFERROR((VLOOKUP(B247,PENDIENTES!$L$5:$M$561,2,0)),0)</f>
        <v>0</v>
      </c>
    </row>
    <row r="248" spans="3:7" x14ac:dyDescent="0.25">
      <c r="C248" s="57">
        <f>IFERROR((VLOOKUP(B248,FONT!$W$5:$X$1091,2,0)),0)</f>
        <v>0</v>
      </c>
      <c r="G248" s="56">
        <f>IFERROR((VLOOKUP(B248,PENDIENTES!$L$5:$M$561,2,0)),0)</f>
        <v>0</v>
      </c>
    </row>
    <row r="249" spans="3:7" x14ac:dyDescent="0.25">
      <c r="C249" s="57">
        <f>IFERROR((VLOOKUP(B249,FONT!$W$5:$X$1091,2,0)),0)</f>
        <v>0</v>
      </c>
      <c r="G249" s="56">
        <f>IFERROR((VLOOKUP(B249,PENDIENTES!$L$5:$M$561,2,0)),0)</f>
        <v>0</v>
      </c>
    </row>
    <row r="250" spans="3:7" x14ac:dyDescent="0.25">
      <c r="C250" s="57">
        <f>IFERROR((VLOOKUP(B250,FONT!$W$5:$X$1091,2,0)),0)</f>
        <v>0</v>
      </c>
      <c r="G250" s="56">
        <f>IFERROR((VLOOKUP(B250,PENDIENTES!$L$5:$M$561,2,0)),0)</f>
        <v>0</v>
      </c>
    </row>
    <row r="251" spans="3:7" x14ac:dyDescent="0.25">
      <c r="C251" s="57">
        <f>IFERROR((VLOOKUP(B251,FONT!$W$5:$X$1091,2,0)),0)</f>
        <v>0</v>
      </c>
      <c r="G251" s="56">
        <f>IFERROR((VLOOKUP(B251,PENDIENTES!$L$5:$M$561,2,0)),0)</f>
        <v>0</v>
      </c>
    </row>
    <row r="252" spans="3:7" x14ac:dyDescent="0.25">
      <c r="C252" s="57">
        <f>IFERROR((VLOOKUP(B252,FONT!$W$5:$X$1091,2,0)),0)</f>
        <v>0</v>
      </c>
      <c r="G252" s="56">
        <f>IFERROR((VLOOKUP(B252,PENDIENTES!$L$5:$M$561,2,0)),0)</f>
        <v>0</v>
      </c>
    </row>
    <row r="253" spans="3:7" x14ac:dyDescent="0.25">
      <c r="C253" s="57">
        <f>IFERROR((VLOOKUP(B253,FONT!$W$5:$X$1091,2,0)),0)</f>
        <v>0</v>
      </c>
      <c r="G253" s="56">
        <f>IFERROR((VLOOKUP(B253,PENDIENTES!$L$5:$M$561,2,0)),0)</f>
        <v>0</v>
      </c>
    </row>
    <row r="254" spans="3:7" x14ac:dyDescent="0.25">
      <c r="C254" s="57">
        <f>IFERROR((VLOOKUP(B254,FONT!$W$5:$X$1091,2,0)),0)</f>
        <v>0</v>
      </c>
      <c r="G254" s="56">
        <f>IFERROR((VLOOKUP(B254,PENDIENTES!$L$5:$M$561,2,0)),0)</f>
        <v>0</v>
      </c>
    </row>
    <row r="255" spans="3:7" x14ac:dyDescent="0.25">
      <c r="C255" s="57">
        <f>IFERROR((VLOOKUP(B255,FONT!$W$5:$X$1091,2,0)),0)</f>
        <v>0</v>
      </c>
      <c r="G255" s="56">
        <f>IFERROR((VLOOKUP(B255,PENDIENTES!$L$5:$M$561,2,0)),0)</f>
        <v>0</v>
      </c>
    </row>
    <row r="256" spans="3:7" x14ac:dyDescent="0.25">
      <c r="C256" s="57">
        <f>IFERROR((VLOOKUP(B256,FONT!$W$5:$X$1091,2,0)),0)</f>
        <v>0</v>
      </c>
      <c r="G256" s="56">
        <f>IFERROR((VLOOKUP(B256,PENDIENTES!$L$5:$M$561,2,0)),0)</f>
        <v>0</v>
      </c>
    </row>
    <row r="257" spans="3:7" x14ac:dyDescent="0.25">
      <c r="C257" s="57">
        <f>IFERROR((VLOOKUP(B257,FONT!$W$5:$X$1091,2,0)),0)</f>
        <v>0</v>
      </c>
      <c r="G257" s="56">
        <f>IFERROR((VLOOKUP(B257,PENDIENTES!$L$5:$M$561,2,0)),0)</f>
        <v>0</v>
      </c>
    </row>
    <row r="258" spans="3:7" x14ac:dyDescent="0.25">
      <c r="C258" s="57">
        <f>IFERROR((VLOOKUP(B258,FONT!$W$5:$X$1091,2,0)),0)</f>
        <v>0</v>
      </c>
      <c r="G258" s="56">
        <f>IFERROR((VLOOKUP(B258,PENDIENTES!$L$5:$M$561,2,0)),0)</f>
        <v>0</v>
      </c>
    </row>
    <row r="259" spans="3:7" x14ac:dyDescent="0.25">
      <c r="C259" s="57">
        <f>IFERROR((VLOOKUP(B259,FONT!$W$5:$X$1091,2,0)),0)</f>
        <v>0</v>
      </c>
      <c r="G259" s="56">
        <f>IFERROR((VLOOKUP(B259,PENDIENTES!$L$5:$M$561,2,0)),0)</f>
        <v>0</v>
      </c>
    </row>
    <row r="260" spans="3:7" x14ac:dyDescent="0.25">
      <c r="C260" s="57">
        <f>IFERROR((VLOOKUP(B260,FONT!$W$5:$X$1091,2,0)),0)</f>
        <v>0</v>
      </c>
      <c r="G260" s="56">
        <f>IFERROR((VLOOKUP(B260,PENDIENTES!$L$5:$M$561,2,0)),0)</f>
        <v>0</v>
      </c>
    </row>
    <row r="261" spans="3:7" x14ac:dyDescent="0.25">
      <c r="C261" s="57">
        <f>IFERROR((VLOOKUP(B261,FONT!$W$5:$X$1091,2,0)),0)</f>
        <v>0</v>
      </c>
      <c r="G261" s="56">
        <f>IFERROR((VLOOKUP(B261,PENDIENTES!$L$5:$M$561,2,0)),0)</f>
        <v>0</v>
      </c>
    </row>
    <row r="262" spans="3:7" x14ac:dyDescent="0.25">
      <c r="C262" s="57">
        <f>IFERROR((VLOOKUP(B262,FONT!$W$5:$X$1091,2,0)),0)</f>
        <v>0</v>
      </c>
      <c r="G262" s="56">
        <f>IFERROR((VLOOKUP(B262,PENDIENTES!$L$5:$M$561,2,0)),0)</f>
        <v>0</v>
      </c>
    </row>
    <row r="263" spans="3:7" x14ac:dyDescent="0.25">
      <c r="C263" s="57">
        <f>IFERROR((VLOOKUP(B263,FONT!$W$5:$X$1091,2,0)),0)</f>
        <v>0</v>
      </c>
      <c r="G263" s="56">
        <f>IFERROR((VLOOKUP(B263,PENDIENTES!$L$5:$M$561,2,0)),0)</f>
        <v>0</v>
      </c>
    </row>
    <row r="264" spans="3:7" x14ac:dyDescent="0.25">
      <c r="C264" s="57">
        <f>IFERROR((VLOOKUP(B264,FONT!$W$5:$X$1091,2,0)),0)</f>
        <v>0</v>
      </c>
      <c r="G264" s="56">
        <f>IFERROR((VLOOKUP(B264,PENDIENTES!$L$5:$M$561,2,0)),0)</f>
        <v>0</v>
      </c>
    </row>
    <row r="265" spans="3:7" x14ac:dyDescent="0.25">
      <c r="C265" s="57">
        <f>IFERROR((VLOOKUP(B265,FONT!$W$5:$X$1091,2,0)),0)</f>
        <v>0</v>
      </c>
      <c r="G265" s="56">
        <f>IFERROR((VLOOKUP(B265,PENDIENTES!$L$5:$M$561,2,0)),0)</f>
        <v>0</v>
      </c>
    </row>
    <row r="266" spans="3:7" x14ac:dyDescent="0.25">
      <c r="C266" s="57">
        <f>IFERROR((VLOOKUP(B266,FONT!$W$5:$X$1091,2,0)),0)</f>
        <v>0</v>
      </c>
      <c r="G266" s="56">
        <f>IFERROR((VLOOKUP(B266,PENDIENTES!$L$5:$M$561,2,0)),0)</f>
        <v>0</v>
      </c>
    </row>
    <row r="267" spans="3:7" x14ac:dyDescent="0.25">
      <c r="C267" s="57">
        <f>IFERROR((VLOOKUP(B267,FONT!$W$5:$X$1091,2,0)),0)</f>
        <v>0</v>
      </c>
      <c r="G267" s="56">
        <f>IFERROR((VLOOKUP(B267,PENDIENTES!$L$5:$M$561,2,0)),0)</f>
        <v>0</v>
      </c>
    </row>
    <row r="268" spans="3:7" x14ac:dyDescent="0.25">
      <c r="C268" s="57">
        <f>IFERROR((VLOOKUP(B268,FONT!$W$5:$X$1091,2,0)),0)</f>
        <v>0</v>
      </c>
      <c r="G268" s="56">
        <f>IFERROR((VLOOKUP(B268,PENDIENTES!$L$5:$M$561,2,0)),0)</f>
        <v>0</v>
      </c>
    </row>
    <row r="269" spans="3:7" x14ac:dyDescent="0.25">
      <c r="C269" s="57">
        <f>IFERROR((VLOOKUP(B269,FONT!$W$5:$X$1091,2,0)),0)</f>
        <v>0</v>
      </c>
      <c r="G269" s="56">
        <f>IFERROR((VLOOKUP(B269,PENDIENTES!$L$5:$M$561,2,0)),0)</f>
        <v>0</v>
      </c>
    </row>
    <row r="270" spans="3:7" x14ac:dyDescent="0.25">
      <c r="C270" s="57">
        <f>IFERROR((VLOOKUP(B270,FONT!$W$5:$X$1091,2,0)),0)</f>
        <v>0</v>
      </c>
      <c r="G270" s="56">
        <f>IFERROR((VLOOKUP(B270,PENDIENTES!$L$5:$M$561,2,0)),0)</f>
        <v>0</v>
      </c>
    </row>
    <row r="271" spans="3:7" x14ac:dyDescent="0.25">
      <c r="C271" s="57">
        <f>IFERROR((VLOOKUP(B271,FONT!$W$5:$X$1091,2,0)),0)</f>
        <v>0</v>
      </c>
      <c r="G271" s="56">
        <f>IFERROR((VLOOKUP(B271,PENDIENTES!$L$5:$M$561,2,0)),0)</f>
        <v>0</v>
      </c>
    </row>
    <row r="272" spans="3:7" x14ac:dyDescent="0.25">
      <c r="C272" s="57">
        <f>IFERROR((VLOOKUP(B272,FONT!$W$5:$X$1091,2,0)),0)</f>
        <v>0</v>
      </c>
      <c r="G272" s="56">
        <f>IFERROR((VLOOKUP(B272,PENDIENTES!$L$5:$M$561,2,0)),0)</f>
        <v>0</v>
      </c>
    </row>
    <row r="273" spans="3:7" x14ac:dyDescent="0.25">
      <c r="C273" s="57">
        <f>IFERROR((VLOOKUP(B273,FONT!$W$5:$X$1091,2,0)),0)</f>
        <v>0</v>
      </c>
      <c r="G273" s="56">
        <f>IFERROR((VLOOKUP(B273,PENDIENTES!$L$5:$M$561,2,0)),0)</f>
        <v>0</v>
      </c>
    </row>
    <row r="274" spans="3:7" x14ac:dyDescent="0.25">
      <c r="C274" s="57">
        <f>IFERROR((VLOOKUP(B274,FONT!$W$5:$X$1091,2,0)),0)</f>
        <v>0</v>
      </c>
      <c r="G274" s="56">
        <f>IFERROR((VLOOKUP(B274,PENDIENTES!$L$5:$M$561,2,0)),0)</f>
        <v>0</v>
      </c>
    </row>
    <row r="275" spans="3:7" x14ac:dyDescent="0.25">
      <c r="C275" s="57">
        <f>IFERROR((VLOOKUP(B275,FONT!$W$5:$X$1091,2,0)),0)</f>
        <v>0</v>
      </c>
      <c r="G275" s="56">
        <f>IFERROR((VLOOKUP(B275,PENDIENTES!$L$5:$M$561,2,0)),0)</f>
        <v>0</v>
      </c>
    </row>
    <row r="276" spans="3:7" x14ac:dyDescent="0.25">
      <c r="C276" s="57">
        <f>IFERROR((VLOOKUP(B276,FONT!$W$5:$X$1091,2,0)),0)</f>
        <v>0</v>
      </c>
      <c r="G276" s="56">
        <f>IFERROR((VLOOKUP(B276,PENDIENTES!$L$5:$M$561,2,0)),0)</f>
        <v>0</v>
      </c>
    </row>
    <row r="277" spans="3:7" x14ac:dyDescent="0.25">
      <c r="C277" s="57">
        <f>IFERROR((VLOOKUP(B277,FONT!$W$5:$X$1091,2,0)),0)</f>
        <v>0</v>
      </c>
      <c r="G277" s="56">
        <f>IFERROR((VLOOKUP(B277,PENDIENTES!$L$5:$M$561,2,0)),0)</f>
        <v>0</v>
      </c>
    </row>
    <row r="278" spans="3:7" x14ac:dyDescent="0.25">
      <c r="C278" s="57">
        <f>IFERROR((VLOOKUP(B278,FONT!$W$5:$X$1091,2,0)),0)</f>
        <v>0</v>
      </c>
      <c r="G278" s="56">
        <f>IFERROR((VLOOKUP(B278,PENDIENTES!$L$5:$M$561,2,0)),0)</f>
        <v>0</v>
      </c>
    </row>
    <row r="279" spans="3:7" x14ac:dyDescent="0.25">
      <c r="C279" s="57">
        <f>IFERROR((VLOOKUP(B279,FONT!$W$5:$X$1091,2,0)),0)</f>
        <v>0</v>
      </c>
      <c r="G279" s="56">
        <f>IFERROR((VLOOKUP(B279,PENDIENTES!$L$5:$M$561,2,0)),0)</f>
        <v>0</v>
      </c>
    </row>
    <row r="280" spans="3:7" x14ac:dyDescent="0.25">
      <c r="C280" s="57">
        <f>IFERROR((VLOOKUP(B280,FONT!$W$5:$X$1091,2,0)),0)</f>
        <v>0</v>
      </c>
      <c r="G280" s="56">
        <f>IFERROR((VLOOKUP(B280,PENDIENTES!$L$5:$M$561,2,0)),0)</f>
        <v>0</v>
      </c>
    </row>
    <row r="281" spans="3:7" x14ac:dyDescent="0.25">
      <c r="C281" s="57">
        <f>IFERROR((VLOOKUP(B281,FONT!$W$5:$X$1091,2,0)),0)</f>
        <v>0</v>
      </c>
      <c r="G281" s="56">
        <f>IFERROR((VLOOKUP(B281,PENDIENTES!$L$5:$M$561,2,0)),0)</f>
        <v>0</v>
      </c>
    </row>
    <row r="282" spans="3:7" x14ac:dyDescent="0.25">
      <c r="C282" s="57">
        <f>IFERROR((VLOOKUP(B282,FONT!$W$5:$X$1091,2,0)),0)</f>
        <v>0</v>
      </c>
      <c r="G282" s="56">
        <f>IFERROR((VLOOKUP(B282,PENDIENTES!$L$5:$M$561,2,0)),0)</f>
        <v>0</v>
      </c>
    </row>
    <row r="283" spans="3:7" x14ac:dyDescent="0.25">
      <c r="C283" s="57">
        <f>IFERROR((VLOOKUP(B283,FONT!$W$5:$X$1091,2,0)),0)</f>
        <v>0</v>
      </c>
      <c r="G283" s="56">
        <f>IFERROR((VLOOKUP(B283,PENDIENTES!$L$5:$M$561,2,0)),0)</f>
        <v>0</v>
      </c>
    </row>
    <row r="284" spans="3:7" x14ac:dyDescent="0.25">
      <c r="C284" s="57">
        <f>IFERROR((VLOOKUP(B284,FONT!$W$5:$X$1091,2,0)),0)</f>
        <v>0</v>
      </c>
      <c r="G284" s="56">
        <f>IFERROR((VLOOKUP(B284,PENDIENTES!$L$5:$M$561,2,0)),0)</f>
        <v>0</v>
      </c>
    </row>
    <row r="285" spans="3:7" x14ac:dyDescent="0.25">
      <c r="C285" s="57">
        <f>IFERROR((VLOOKUP(B285,FONT!$W$5:$X$1091,2,0)),0)</f>
        <v>0</v>
      </c>
      <c r="G285" s="56">
        <f>IFERROR((VLOOKUP(B285,PENDIENTES!$L$5:$M$561,2,0)),0)</f>
        <v>0</v>
      </c>
    </row>
    <row r="286" spans="3:7" x14ac:dyDescent="0.25">
      <c r="C286" s="57">
        <f>IFERROR((VLOOKUP(B286,FONT!$W$5:$X$1091,2,0)),0)</f>
        <v>0</v>
      </c>
      <c r="G286" s="56">
        <f>IFERROR((VLOOKUP(B286,PENDIENTES!$L$5:$M$561,2,0)),0)</f>
        <v>0</v>
      </c>
    </row>
    <row r="287" spans="3:7" x14ac:dyDescent="0.25">
      <c r="C287" s="57">
        <f>IFERROR((VLOOKUP(B287,FONT!$W$5:$X$1091,2,0)),0)</f>
        <v>0</v>
      </c>
      <c r="G287" s="56">
        <f>IFERROR((VLOOKUP(B287,PENDIENTES!$L$5:$M$561,2,0)),0)</f>
        <v>0</v>
      </c>
    </row>
    <row r="288" spans="3:7" x14ac:dyDescent="0.25">
      <c r="C288" s="57">
        <f>IFERROR((VLOOKUP(B288,FONT!$W$5:$X$1091,2,0)),0)</f>
        <v>0</v>
      </c>
      <c r="G288" s="56">
        <f>IFERROR((VLOOKUP(B288,PENDIENTES!$L$5:$M$561,2,0)),0)</f>
        <v>0</v>
      </c>
    </row>
    <row r="289" spans="3:7" x14ac:dyDescent="0.25">
      <c r="C289" s="57">
        <f>IFERROR((VLOOKUP(B289,FONT!$W$5:$X$1091,2,0)),0)</f>
        <v>0</v>
      </c>
      <c r="G289" s="56">
        <f>IFERROR((VLOOKUP(B289,PENDIENTES!$L$5:$M$561,2,0)),0)</f>
        <v>0</v>
      </c>
    </row>
    <row r="290" spans="3:7" x14ac:dyDescent="0.25">
      <c r="C290" s="57">
        <f>IFERROR((VLOOKUP(B290,FONT!$W$5:$X$1091,2,0)),0)</f>
        <v>0</v>
      </c>
      <c r="G290" s="56">
        <f>IFERROR((VLOOKUP(B290,PENDIENTES!$L$5:$M$561,2,0)),0)</f>
        <v>0</v>
      </c>
    </row>
    <row r="291" spans="3:7" x14ac:dyDescent="0.25">
      <c r="C291" s="57">
        <f>IFERROR((VLOOKUP(B291,FONT!$W$5:$X$1091,2,0)),0)</f>
        <v>0</v>
      </c>
      <c r="G291" s="56">
        <f>IFERROR((VLOOKUP(B291,PENDIENTES!$L$5:$M$561,2,0)),0)</f>
        <v>0</v>
      </c>
    </row>
    <row r="292" spans="3:7" x14ac:dyDescent="0.25">
      <c r="C292" s="57">
        <f>IFERROR((VLOOKUP(B292,FONT!$W$5:$X$1091,2,0)),0)</f>
        <v>0</v>
      </c>
      <c r="G292" s="56">
        <f>IFERROR((VLOOKUP(B292,PENDIENTES!$L$5:$M$561,2,0)),0)</f>
        <v>0</v>
      </c>
    </row>
    <row r="293" spans="3:7" x14ac:dyDescent="0.25">
      <c r="C293" s="57">
        <f>IFERROR((VLOOKUP(B293,FONT!$W$5:$X$1091,2,0)),0)</f>
        <v>0</v>
      </c>
      <c r="G293" s="56">
        <f>IFERROR((VLOOKUP(B293,PENDIENTES!$L$5:$M$561,2,0)),0)</f>
        <v>0</v>
      </c>
    </row>
    <row r="294" spans="3:7" x14ac:dyDescent="0.25">
      <c r="C294" s="57">
        <f>IFERROR((VLOOKUP(B294,FONT!$W$5:$X$1091,2,0)),0)</f>
        <v>0</v>
      </c>
      <c r="G294" s="56">
        <f>IFERROR((VLOOKUP(B294,PENDIENTES!$L$5:$M$561,2,0)),0)</f>
        <v>0</v>
      </c>
    </row>
    <row r="295" spans="3:7" x14ac:dyDescent="0.25">
      <c r="C295" s="57">
        <f>IFERROR((VLOOKUP(B295,FONT!$W$5:$X$1091,2,0)),0)</f>
        <v>0</v>
      </c>
      <c r="G295" s="56">
        <f>IFERROR((VLOOKUP(B295,PENDIENTES!$L$5:$M$561,2,0)),0)</f>
        <v>0</v>
      </c>
    </row>
    <row r="296" spans="3:7" x14ac:dyDescent="0.25">
      <c r="C296" s="57">
        <f>IFERROR((VLOOKUP(B296,FONT!$W$5:$X$1091,2,0)),0)</f>
        <v>0</v>
      </c>
      <c r="G296" s="56">
        <f>IFERROR((VLOOKUP(B296,PENDIENTES!$L$5:$M$561,2,0)),0)</f>
        <v>0</v>
      </c>
    </row>
    <row r="297" spans="3:7" x14ac:dyDescent="0.25">
      <c r="C297" s="57">
        <f>IFERROR((VLOOKUP(B297,FONT!$W$5:$X$1091,2,0)),0)</f>
        <v>0</v>
      </c>
      <c r="G297" s="56">
        <f>IFERROR((VLOOKUP(B297,PENDIENTES!$L$5:$M$561,2,0)),0)</f>
        <v>0</v>
      </c>
    </row>
    <row r="298" spans="3:7" x14ac:dyDescent="0.25">
      <c r="C298" s="57">
        <f>IFERROR((VLOOKUP(B298,FONT!$W$5:$X$1091,2,0)),0)</f>
        <v>0</v>
      </c>
      <c r="G298" s="56">
        <f>IFERROR((VLOOKUP(B298,PENDIENTES!$L$5:$M$561,2,0)),0)</f>
        <v>0</v>
      </c>
    </row>
    <row r="299" spans="3:7" x14ac:dyDescent="0.25">
      <c r="C299" s="57">
        <f>IFERROR((VLOOKUP(B299,FONT!$W$5:$X$1091,2,0)),0)</f>
        <v>0</v>
      </c>
      <c r="G299" s="56">
        <f>IFERROR((VLOOKUP(B299,PENDIENTES!$L$5:$M$561,2,0)),0)</f>
        <v>0</v>
      </c>
    </row>
    <row r="300" spans="3:7" x14ac:dyDescent="0.25">
      <c r="C300" s="57">
        <f>IFERROR((VLOOKUP(B300,FONT!$W$5:$X$1091,2,0)),0)</f>
        <v>0</v>
      </c>
      <c r="G300" s="56">
        <f>IFERROR((VLOOKUP(B300,PENDIENTES!$L$5:$M$561,2,0)),0)</f>
        <v>0</v>
      </c>
    </row>
    <row r="301" spans="3:7" x14ac:dyDescent="0.25">
      <c r="C301" s="57">
        <f>IFERROR((VLOOKUP(B301,FONT!$W$5:$X$1091,2,0)),0)</f>
        <v>0</v>
      </c>
      <c r="G301" s="56">
        <f>IFERROR((VLOOKUP(B301,PENDIENTES!$L$5:$M$561,2,0)),0)</f>
        <v>0</v>
      </c>
    </row>
    <row r="302" spans="3:7" x14ac:dyDescent="0.25">
      <c r="C302" s="57">
        <f>IFERROR((VLOOKUP(B302,FONT!$W$5:$X$1091,2,0)),0)</f>
        <v>0</v>
      </c>
      <c r="G302" s="56">
        <f>IFERROR((VLOOKUP(B302,PENDIENTES!$L$5:$M$561,2,0)),0)</f>
        <v>0</v>
      </c>
    </row>
    <row r="303" spans="3:7" x14ac:dyDescent="0.25">
      <c r="C303" s="57">
        <f>IFERROR((VLOOKUP(B303,FONT!$W$5:$X$1091,2,0)),0)</f>
        <v>0</v>
      </c>
      <c r="G303" s="56">
        <f>IFERROR((VLOOKUP(B303,PENDIENTES!$L$5:$M$561,2,0)),0)</f>
        <v>0</v>
      </c>
    </row>
    <row r="304" spans="3:7" x14ac:dyDescent="0.25">
      <c r="C304" s="57">
        <f>IFERROR((VLOOKUP(B304,FONT!$W$5:$X$1091,2,0)),0)</f>
        <v>0</v>
      </c>
      <c r="G304" s="56">
        <f>IFERROR((VLOOKUP(B304,PENDIENTES!$L$5:$M$561,2,0)),0)</f>
        <v>0</v>
      </c>
    </row>
    <row r="305" spans="3:7" x14ac:dyDescent="0.25">
      <c r="C305" s="57">
        <f>IFERROR((VLOOKUP(B305,FONT!$W$5:$X$1091,2,0)),0)</f>
        <v>0</v>
      </c>
      <c r="G305" s="56">
        <f>IFERROR((VLOOKUP(B305,PENDIENTES!$L$5:$M$561,2,0)),0)</f>
        <v>0</v>
      </c>
    </row>
    <row r="306" spans="3:7" x14ac:dyDescent="0.25">
      <c r="C306" s="57">
        <f>IFERROR((VLOOKUP(B306,FONT!$W$5:$X$1091,2,0)),0)</f>
        <v>0</v>
      </c>
      <c r="G306" s="56">
        <f>IFERROR((VLOOKUP(B306,PENDIENTES!$L$5:$M$561,2,0)),0)</f>
        <v>0</v>
      </c>
    </row>
    <row r="307" spans="3:7" x14ac:dyDescent="0.25">
      <c r="C307" s="57">
        <f>IFERROR((VLOOKUP(B307,FONT!$W$5:$X$1091,2,0)),0)</f>
        <v>0</v>
      </c>
      <c r="G307" s="56">
        <f>IFERROR((VLOOKUP(B307,PENDIENTES!$L$5:$M$561,2,0)),0)</f>
        <v>0</v>
      </c>
    </row>
    <row r="308" spans="3:7" x14ac:dyDescent="0.25">
      <c r="C308" s="57">
        <f>IFERROR((VLOOKUP(B308,FONT!$W$5:$X$1091,2,0)),0)</f>
        <v>0</v>
      </c>
      <c r="G308" s="56">
        <f>IFERROR((VLOOKUP(B308,PENDIENTES!$L$5:$M$561,2,0)),0)</f>
        <v>0</v>
      </c>
    </row>
    <row r="309" spans="3:7" x14ac:dyDescent="0.25">
      <c r="C309" s="57">
        <f>IFERROR((VLOOKUP(B309,FONT!$W$5:$X$1091,2,0)),0)</f>
        <v>0</v>
      </c>
      <c r="G309" s="56">
        <f>IFERROR((VLOOKUP(B309,PENDIENTES!$L$5:$M$561,2,0)),0)</f>
        <v>0</v>
      </c>
    </row>
    <row r="310" spans="3:7" x14ac:dyDescent="0.25">
      <c r="C310" s="57">
        <f>IFERROR((VLOOKUP(B310,FONT!$W$5:$X$1091,2,0)),0)</f>
        <v>0</v>
      </c>
      <c r="G310" s="56">
        <f>IFERROR((VLOOKUP(B310,PENDIENTES!$L$5:$M$561,2,0)),0)</f>
        <v>0</v>
      </c>
    </row>
    <row r="311" spans="3:7" x14ac:dyDescent="0.25">
      <c r="C311" s="57">
        <f>IFERROR((VLOOKUP(B311,FONT!$W$5:$X$1091,2,0)),0)</f>
        <v>0</v>
      </c>
      <c r="G311" s="56">
        <f>IFERROR((VLOOKUP(B311,PENDIENTES!$L$5:$M$561,2,0)),0)</f>
        <v>0</v>
      </c>
    </row>
    <row r="312" spans="3:7" x14ac:dyDescent="0.25">
      <c r="C312" s="57">
        <f>IFERROR((VLOOKUP(B312,FONT!$W$5:$X$1091,2,0)),0)</f>
        <v>0</v>
      </c>
      <c r="G312" s="56">
        <f>IFERROR((VLOOKUP(B312,PENDIENTES!$L$5:$M$561,2,0)),0)</f>
        <v>0</v>
      </c>
    </row>
    <row r="313" spans="3:7" x14ac:dyDescent="0.25">
      <c r="C313" s="57">
        <f>IFERROR((VLOOKUP(B313,FONT!$W$5:$X$1091,2,0)),0)</f>
        <v>0</v>
      </c>
      <c r="G313" s="56">
        <f>IFERROR((VLOOKUP(B313,PENDIENTES!$L$5:$M$561,2,0)),0)</f>
        <v>0</v>
      </c>
    </row>
    <row r="314" spans="3:7" x14ac:dyDescent="0.25">
      <c r="C314" s="57">
        <f>IFERROR((VLOOKUP(B314,FONT!$W$5:$X$1091,2,0)),0)</f>
        <v>0</v>
      </c>
      <c r="G314" s="56">
        <f>IFERROR((VLOOKUP(B314,PENDIENTES!$L$5:$M$561,2,0)),0)</f>
        <v>0</v>
      </c>
    </row>
    <row r="315" spans="3:7" x14ac:dyDescent="0.25">
      <c r="C315" s="57">
        <f>IFERROR((VLOOKUP(B315,FONT!$W$5:$X$1091,2,0)),0)</f>
        <v>0</v>
      </c>
      <c r="G315" s="56">
        <f>IFERROR((VLOOKUP(B315,PENDIENTES!$L$5:$M$561,2,0)),0)</f>
        <v>0</v>
      </c>
    </row>
    <row r="316" spans="3:7" x14ac:dyDescent="0.25">
      <c r="C316" s="57">
        <f>IFERROR((VLOOKUP(B316,FONT!$W$5:$X$1091,2,0)),0)</f>
        <v>0</v>
      </c>
      <c r="G316" s="56">
        <f>IFERROR((VLOOKUP(B316,PENDIENTES!$L$5:$M$561,2,0)),0)</f>
        <v>0</v>
      </c>
    </row>
    <row r="317" spans="3:7" x14ac:dyDescent="0.25">
      <c r="C317" s="57">
        <f>IFERROR((VLOOKUP(B317,FONT!$W$5:$X$1091,2,0)),0)</f>
        <v>0</v>
      </c>
      <c r="G317" s="56">
        <f>IFERROR((VLOOKUP(B317,PENDIENTES!$L$5:$M$561,2,0)),0)</f>
        <v>0</v>
      </c>
    </row>
    <row r="318" spans="3:7" x14ac:dyDescent="0.25">
      <c r="C318" s="57">
        <f>IFERROR((VLOOKUP(B318,FONT!$W$5:$X$1091,2,0)),0)</f>
        <v>0</v>
      </c>
      <c r="G318" s="56">
        <f>IFERROR((VLOOKUP(B318,PENDIENTES!$L$5:$M$561,2,0)),0)</f>
        <v>0</v>
      </c>
    </row>
    <row r="319" spans="3:7" x14ac:dyDescent="0.25">
      <c r="C319" s="57">
        <f>IFERROR((VLOOKUP(B319,FONT!$W$5:$X$1091,2,0)),0)</f>
        <v>0</v>
      </c>
      <c r="G319" s="56">
        <f>IFERROR((VLOOKUP(B319,PENDIENTES!$L$5:$M$561,2,0)),0)</f>
        <v>0</v>
      </c>
    </row>
    <row r="320" spans="3:7" x14ac:dyDescent="0.25">
      <c r="C320" s="57">
        <f>IFERROR((VLOOKUP(B320,FONT!$W$5:$X$1091,2,0)),0)</f>
        <v>0</v>
      </c>
      <c r="G320" s="56">
        <f>IFERROR((VLOOKUP(B320,PENDIENTES!$L$5:$M$561,2,0)),0)</f>
        <v>0</v>
      </c>
    </row>
    <row r="321" spans="3:7" x14ac:dyDescent="0.25">
      <c r="C321" s="57">
        <f>IFERROR((VLOOKUP(B321,FONT!$W$5:$X$1091,2,0)),0)</f>
        <v>0</v>
      </c>
      <c r="G321" s="56">
        <f>IFERROR((VLOOKUP(B321,PENDIENTES!$L$5:$M$561,2,0)),0)</f>
        <v>0</v>
      </c>
    </row>
    <row r="322" spans="3:7" x14ac:dyDescent="0.25">
      <c r="C322" s="57">
        <f>IFERROR((VLOOKUP(B322,FONT!$W$5:$X$1091,2,0)),0)</f>
        <v>0</v>
      </c>
      <c r="G322" s="56">
        <f>IFERROR((VLOOKUP(B322,PENDIENTES!$L$5:$M$561,2,0)),0)</f>
        <v>0</v>
      </c>
    </row>
    <row r="323" spans="3:7" x14ac:dyDescent="0.25">
      <c r="C323" s="57">
        <f>IFERROR((VLOOKUP(B323,FONT!$W$5:$X$1091,2,0)),0)</f>
        <v>0</v>
      </c>
      <c r="G323" s="56">
        <f>IFERROR((VLOOKUP(B323,PENDIENTES!$L$5:$M$561,2,0)),0)</f>
        <v>0</v>
      </c>
    </row>
    <row r="324" spans="3:7" x14ac:dyDescent="0.25">
      <c r="C324" s="57">
        <f>IFERROR((VLOOKUP(B324,FONT!$W$5:$X$1091,2,0)),0)</f>
        <v>0</v>
      </c>
      <c r="G324" s="56">
        <f>IFERROR((VLOOKUP(B324,PENDIENTES!$L$5:$M$561,2,0)),0)</f>
        <v>0</v>
      </c>
    </row>
    <row r="325" spans="3:7" x14ac:dyDescent="0.25">
      <c r="C325" s="57">
        <f>IFERROR((VLOOKUP(B325,FONT!$W$5:$X$1091,2,0)),0)</f>
        <v>0</v>
      </c>
      <c r="G325" s="56">
        <f>IFERROR((VLOOKUP(B325,PENDIENTES!$L$5:$M$561,2,0)),0)</f>
        <v>0</v>
      </c>
    </row>
    <row r="326" spans="3:7" x14ac:dyDescent="0.25">
      <c r="C326" s="57">
        <f>IFERROR((VLOOKUP(B326,FONT!$W$5:$X$1091,2,0)),0)</f>
        <v>0</v>
      </c>
      <c r="G326" s="56">
        <f>IFERROR((VLOOKUP(B326,PENDIENTES!$L$5:$M$561,2,0)),0)</f>
        <v>0</v>
      </c>
    </row>
    <row r="327" spans="3:7" x14ac:dyDescent="0.25">
      <c r="C327" s="57">
        <f>IFERROR((VLOOKUP(B327,FONT!$W$5:$X$1091,2,0)),0)</f>
        <v>0</v>
      </c>
      <c r="G327" s="56">
        <f>IFERROR((VLOOKUP(B327,PENDIENTES!$L$5:$M$561,2,0)),0)</f>
        <v>0</v>
      </c>
    </row>
    <row r="328" spans="3:7" x14ac:dyDescent="0.25">
      <c r="C328" s="57">
        <f>IFERROR((VLOOKUP(B328,FONT!$W$5:$X$1091,2,0)),0)</f>
        <v>0</v>
      </c>
      <c r="G328" s="56">
        <f>IFERROR((VLOOKUP(B328,PENDIENTES!$L$5:$M$561,2,0)),0)</f>
        <v>0</v>
      </c>
    </row>
    <row r="329" spans="3:7" x14ac:dyDescent="0.25">
      <c r="C329" s="57">
        <f>IFERROR((VLOOKUP(B329,FONT!$W$5:$X$1091,2,0)),0)</f>
        <v>0</v>
      </c>
      <c r="G329" s="56">
        <f>IFERROR((VLOOKUP(B329,PENDIENTES!$L$5:$M$561,2,0)),0)</f>
        <v>0</v>
      </c>
    </row>
    <row r="330" spans="3:7" x14ac:dyDescent="0.25">
      <c r="C330" s="57">
        <f>IFERROR((VLOOKUP(B330,FONT!$W$5:$X$1091,2,0)),0)</f>
        <v>0</v>
      </c>
      <c r="G330" s="56">
        <f>IFERROR((VLOOKUP(B330,PENDIENTES!$L$5:$M$561,2,0)),0)</f>
        <v>0</v>
      </c>
    </row>
    <row r="331" spans="3:7" x14ac:dyDescent="0.25">
      <c r="C331" s="57">
        <f>IFERROR((VLOOKUP(B331,FONT!$W$5:$X$1091,2,0)),0)</f>
        <v>0</v>
      </c>
      <c r="G331" s="56">
        <f>IFERROR((VLOOKUP(B331,PENDIENTES!$L$5:$M$561,2,0)),0)</f>
        <v>0</v>
      </c>
    </row>
    <row r="332" spans="3:7" x14ac:dyDescent="0.25">
      <c r="C332" s="57">
        <f>IFERROR((VLOOKUP(B332,FONT!$W$5:$X$1091,2,0)),0)</f>
        <v>0</v>
      </c>
      <c r="G332" s="56">
        <f>IFERROR((VLOOKUP(B332,PENDIENTES!$L$5:$M$561,2,0)),0)</f>
        <v>0</v>
      </c>
    </row>
    <row r="333" spans="3:7" x14ac:dyDescent="0.25">
      <c r="C333" s="57">
        <f>IFERROR((VLOOKUP(B333,FONT!$W$5:$X$1091,2,0)),0)</f>
        <v>0</v>
      </c>
      <c r="G333" s="56">
        <f>IFERROR((VLOOKUP(B333,PENDIENTES!$L$5:$M$561,2,0)),0)</f>
        <v>0</v>
      </c>
    </row>
    <row r="334" spans="3:7" x14ac:dyDescent="0.25">
      <c r="C334" s="57">
        <f>IFERROR((VLOOKUP(B334,FONT!$W$5:$X$1091,2,0)),0)</f>
        <v>0</v>
      </c>
      <c r="G334" s="56">
        <f>IFERROR((VLOOKUP(B334,PENDIENTES!$L$5:$M$561,2,0)),0)</f>
        <v>0</v>
      </c>
    </row>
    <row r="335" spans="3:7" x14ac:dyDescent="0.25">
      <c r="C335" s="57">
        <f>IFERROR((VLOOKUP(B335,FONT!$W$5:$X$1091,2,0)),0)</f>
        <v>0</v>
      </c>
      <c r="G335" s="56">
        <f>IFERROR((VLOOKUP(B335,PENDIENTES!$L$5:$M$561,2,0)),0)</f>
        <v>0</v>
      </c>
    </row>
    <row r="336" spans="3:7" x14ac:dyDescent="0.25">
      <c r="C336" s="57">
        <f>IFERROR((VLOOKUP(B336,FONT!$W$5:$X$1091,2,0)),0)</f>
        <v>0</v>
      </c>
      <c r="G336" s="56">
        <f>IFERROR((VLOOKUP(B336,PENDIENTES!$L$5:$M$561,2,0)),0)</f>
        <v>0</v>
      </c>
    </row>
    <row r="337" spans="3:7" x14ac:dyDescent="0.25">
      <c r="C337" s="57">
        <f>IFERROR((VLOOKUP(B337,FONT!$W$5:$X$1091,2,0)),0)</f>
        <v>0</v>
      </c>
      <c r="G337" s="56">
        <f>IFERROR((VLOOKUP(B337,PENDIENTES!$L$5:$M$561,2,0)),0)</f>
        <v>0</v>
      </c>
    </row>
    <row r="338" spans="3:7" x14ac:dyDescent="0.25">
      <c r="C338" s="57">
        <f>IFERROR((VLOOKUP(B338,FONT!$W$5:$X$1091,2,0)),0)</f>
        <v>0</v>
      </c>
      <c r="G338" s="56">
        <f>IFERROR((VLOOKUP(B338,PENDIENTES!$L$5:$M$561,2,0)),0)</f>
        <v>0</v>
      </c>
    </row>
    <row r="339" spans="3:7" x14ac:dyDescent="0.25">
      <c r="C339" s="57">
        <f>IFERROR((VLOOKUP(B339,FONT!$W$5:$X$1091,2,0)),0)</f>
        <v>0</v>
      </c>
      <c r="G339" s="56">
        <f>IFERROR((VLOOKUP(B339,PENDIENTES!$L$5:$M$561,2,0)),0)</f>
        <v>0</v>
      </c>
    </row>
    <row r="340" spans="3:7" x14ac:dyDescent="0.25">
      <c r="C340" s="57">
        <f>IFERROR((VLOOKUP(B340,FONT!$W$5:$X$1091,2,0)),0)</f>
        <v>0</v>
      </c>
      <c r="G340" s="56">
        <f>IFERROR((VLOOKUP(B340,PENDIENTES!$L$5:$M$561,2,0)),0)</f>
        <v>0</v>
      </c>
    </row>
    <row r="341" spans="3:7" x14ac:dyDescent="0.25">
      <c r="C341" s="57">
        <f>IFERROR((VLOOKUP(B341,FONT!$W$5:$X$1091,2,0)),0)</f>
        <v>0</v>
      </c>
      <c r="G341" s="56">
        <f>IFERROR((VLOOKUP(B341,PENDIENTES!$L$5:$M$561,2,0)),0)</f>
        <v>0</v>
      </c>
    </row>
    <row r="342" spans="3:7" x14ac:dyDescent="0.25">
      <c r="C342" s="57">
        <f>IFERROR((VLOOKUP(B342,FONT!$W$5:$X$1091,2,0)),0)</f>
        <v>0</v>
      </c>
      <c r="G342" s="56">
        <f>IFERROR((VLOOKUP(B342,PENDIENTES!$L$5:$M$561,2,0)),0)</f>
        <v>0</v>
      </c>
    </row>
    <row r="343" spans="3:7" x14ac:dyDescent="0.25">
      <c r="C343" s="57">
        <f>IFERROR((VLOOKUP(B343,FONT!$W$5:$X$1091,2,0)),0)</f>
        <v>0</v>
      </c>
      <c r="G343" s="56">
        <f>IFERROR((VLOOKUP(B343,PENDIENTES!$L$5:$M$561,2,0)),0)</f>
        <v>0</v>
      </c>
    </row>
    <row r="344" spans="3:7" x14ac:dyDescent="0.25">
      <c r="C344" s="57">
        <f>IFERROR((VLOOKUP(B344,FONT!$W$5:$X$1091,2,0)),0)</f>
        <v>0</v>
      </c>
      <c r="G344" s="56">
        <f>IFERROR((VLOOKUP(B344,PENDIENTES!$L$5:$M$561,2,0)),0)</f>
        <v>0</v>
      </c>
    </row>
    <row r="345" spans="3:7" x14ac:dyDescent="0.25">
      <c r="C345" s="57">
        <f>IFERROR((VLOOKUP(B345,FONT!$W$5:$X$1091,2,0)),0)</f>
        <v>0</v>
      </c>
      <c r="G345" s="56">
        <f>IFERROR((VLOOKUP(B345,PENDIENTES!$L$5:$M$561,2,0)),0)</f>
        <v>0</v>
      </c>
    </row>
    <row r="346" spans="3:7" x14ac:dyDescent="0.25">
      <c r="C346" s="57">
        <f>IFERROR((VLOOKUP(B346,FONT!$W$5:$X$1091,2,0)),0)</f>
        <v>0</v>
      </c>
      <c r="G346" s="56">
        <f>IFERROR((VLOOKUP(B346,PENDIENTES!$L$5:$M$561,2,0)),0)</f>
        <v>0</v>
      </c>
    </row>
    <row r="347" spans="3:7" x14ac:dyDescent="0.25">
      <c r="C347" s="57">
        <f>IFERROR((VLOOKUP(B347,FONT!$W$5:$X$1091,2,0)),0)</f>
        <v>0</v>
      </c>
      <c r="G347" s="56">
        <f>IFERROR((VLOOKUP(B347,PENDIENTES!$L$5:$M$561,2,0)),0)</f>
        <v>0</v>
      </c>
    </row>
    <row r="348" spans="3:7" x14ac:dyDescent="0.25">
      <c r="C348" s="57">
        <f>IFERROR((VLOOKUP(B348,FONT!$W$5:$X$1091,2,0)),0)</f>
        <v>0</v>
      </c>
      <c r="G348" s="56">
        <f>IFERROR((VLOOKUP(B348,PENDIENTES!$L$5:$M$561,2,0)),0)</f>
        <v>0</v>
      </c>
    </row>
    <row r="349" spans="3:7" x14ac:dyDescent="0.25">
      <c r="C349" s="57">
        <f>IFERROR((VLOOKUP(B349,FONT!$W$5:$X$1091,2,0)),0)</f>
        <v>0</v>
      </c>
      <c r="G349" s="56">
        <f>IFERROR((VLOOKUP(B349,PENDIENTES!$L$5:$M$561,2,0)),0)</f>
        <v>0</v>
      </c>
    </row>
    <row r="350" spans="3:7" x14ac:dyDescent="0.25">
      <c r="C350" s="57">
        <f>IFERROR((VLOOKUP(B350,FONT!$W$5:$X$1091,2,0)),0)</f>
        <v>0</v>
      </c>
      <c r="G350" s="56">
        <f>IFERROR((VLOOKUP(B350,PENDIENTES!$L$5:$M$561,2,0)),0)</f>
        <v>0</v>
      </c>
    </row>
    <row r="351" spans="3:7" x14ac:dyDescent="0.25">
      <c r="C351" s="57">
        <f>IFERROR((VLOOKUP(B351,FONT!$W$5:$X$1091,2,0)),0)</f>
        <v>0</v>
      </c>
      <c r="G351" s="56">
        <f>IFERROR((VLOOKUP(B351,PENDIENTES!$L$5:$M$561,2,0)),0)</f>
        <v>0</v>
      </c>
    </row>
    <row r="352" spans="3:7" x14ac:dyDescent="0.25">
      <c r="C352" s="57">
        <f>IFERROR((VLOOKUP(B352,FONT!$W$5:$X$1091,2,0)),0)</f>
        <v>0</v>
      </c>
      <c r="G352" s="56">
        <f>IFERROR((VLOOKUP(B352,PENDIENTES!$L$5:$M$561,2,0)),0)</f>
        <v>0</v>
      </c>
    </row>
    <row r="353" spans="3:7" x14ac:dyDescent="0.25">
      <c r="C353" s="57">
        <f>IFERROR((VLOOKUP(B353,FONT!$W$5:$X$1091,2,0)),0)</f>
        <v>0</v>
      </c>
      <c r="G353" s="56">
        <f>IFERROR((VLOOKUP(B353,PENDIENTES!$L$5:$M$561,2,0)),0)</f>
        <v>0</v>
      </c>
    </row>
    <row r="354" spans="3:7" x14ac:dyDescent="0.25">
      <c r="C354" s="57">
        <f>IFERROR((VLOOKUP(B354,FONT!$W$5:$X$1091,2,0)),0)</f>
        <v>0</v>
      </c>
      <c r="G354" s="56">
        <f>IFERROR((VLOOKUP(B354,PENDIENTES!$L$5:$M$561,2,0)),0)</f>
        <v>0</v>
      </c>
    </row>
    <row r="355" spans="3:7" x14ac:dyDescent="0.25">
      <c r="C355" s="57">
        <f>IFERROR((VLOOKUP(B355,FONT!$W$5:$X$1091,2,0)),0)</f>
        <v>0</v>
      </c>
      <c r="G355" s="56">
        <f>IFERROR((VLOOKUP(B355,PENDIENTES!$L$5:$M$561,2,0)),0)</f>
        <v>0</v>
      </c>
    </row>
    <row r="356" spans="3:7" x14ac:dyDescent="0.25">
      <c r="C356" s="57">
        <f>IFERROR((VLOOKUP(B356,FONT!$W$5:$X$1091,2,0)),0)</f>
        <v>0</v>
      </c>
      <c r="G356" s="56">
        <f>IFERROR((VLOOKUP(B356,PENDIENTES!$L$5:$M$561,2,0)),0)</f>
        <v>0</v>
      </c>
    </row>
    <row r="357" spans="3:7" x14ac:dyDescent="0.25">
      <c r="C357" s="57">
        <f>IFERROR((VLOOKUP(B357,FONT!$W$5:$X$1091,2,0)),0)</f>
        <v>0</v>
      </c>
      <c r="G357" s="56">
        <f>IFERROR((VLOOKUP(B357,PENDIENTES!$L$5:$M$561,2,0)),0)</f>
        <v>0</v>
      </c>
    </row>
    <row r="358" spans="3:7" x14ac:dyDescent="0.25">
      <c r="C358" s="57">
        <f>IFERROR((VLOOKUP(B358,FONT!$W$5:$X$1091,2,0)),0)</f>
        <v>0</v>
      </c>
      <c r="G358" s="56">
        <f>IFERROR((VLOOKUP(B358,PENDIENTES!$L$5:$M$561,2,0)),0)</f>
        <v>0</v>
      </c>
    </row>
    <row r="359" spans="3:7" x14ac:dyDescent="0.25">
      <c r="C359" s="57">
        <f>IFERROR((VLOOKUP(B359,FONT!$W$5:$X$1091,2,0)),0)</f>
        <v>0</v>
      </c>
      <c r="G359" s="56">
        <f>IFERROR((VLOOKUP(B359,PENDIENTES!$L$5:$M$561,2,0)),0)</f>
        <v>0</v>
      </c>
    </row>
    <row r="360" spans="3:7" x14ac:dyDescent="0.25">
      <c r="C360" s="57">
        <f>IFERROR((VLOOKUP(B360,FONT!$W$5:$X$1091,2,0)),0)</f>
        <v>0</v>
      </c>
      <c r="G360" s="56">
        <f>IFERROR((VLOOKUP(B360,PENDIENTES!$L$5:$M$561,2,0)),0)</f>
        <v>0</v>
      </c>
    </row>
    <row r="361" spans="3:7" x14ac:dyDescent="0.25">
      <c r="C361" s="57">
        <f>IFERROR((VLOOKUP(B361,FONT!$W$5:$X$1091,2,0)),0)</f>
        <v>0</v>
      </c>
      <c r="G361" s="56">
        <f>IFERROR((VLOOKUP(B361,PENDIENTES!$L$5:$M$561,2,0)),0)</f>
        <v>0</v>
      </c>
    </row>
    <row r="362" spans="3:7" x14ac:dyDescent="0.25">
      <c r="C362" s="57">
        <f>IFERROR((VLOOKUP(B362,FONT!$W$5:$X$1091,2,0)),0)</f>
        <v>0</v>
      </c>
      <c r="G362" s="56">
        <f>IFERROR((VLOOKUP(B362,PENDIENTES!$L$5:$M$561,2,0)),0)</f>
        <v>0</v>
      </c>
    </row>
    <row r="363" spans="3:7" x14ac:dyDescent="0.25">
      <c r="C363" s="57">
        <f>IFERROR((VLOOKUP(B363,FONT!$W$5:$X$1091,2,0)),0)</f>
        <v>0</v>
      </c>
      <c r="G363" s="56">
        <f>IFERROR((VLOOKUP(B363,PENDIENTES!$L$5:$M$561,2,0)),0)</f>
        <v>0</v>
      </c>
    </row>
    <row r="364" spans="3:7" x14ac:dyDescent="0.25">
      <c r="C364" s="57">
        <f>IFERROR((VLOOKUP(B364,FONT!$W$5:$X$1091,2,0)),0)</f>
        <v>0</v>
      </c>
      <c r="G364" s="56">
        <f>IFERROR((VLOOKUP(B364,PENDIENTES!$L$5:$M$561,2,0)),0)</f>
        <v>0</v>
      </c>
    </row>
    <row r="365" spans="3:7" x14ac:dyDescent="0.25">
      <c r="C365" s="57">
        <f>IFERROR((VLOOKUP(B365,FONT!$W$5:$X$1091,2,0)),0)</f>
        <v>0</v>
      </c>
      <c r="G365" s="56">
        <f>IFERROR((VLOOKUP(B365,PENDIENTES!$L$5:$M$561,2,0)),0)</f>
        <v>0</v>
      </c>
    </row>
    <row r="366" spans="3:7" x14ac:dyDescent="0.25">
      <c r="C366" s="57">
        <f>IFERROR((VLOOKUP(B366,FONT!$W$5:$X$1091,2,0)),0)</f>
        <v>0</v>
      </c>
      <c r="G366" s="56">
        <f>IFERROR((VLOOKUP(B366,PENDIENTES!$L$5:$M$561,2,0)),0)</f>
        <v>0</v>
      </c>
    </row>
    <row r="367" spans="3:7" x14ac:dyDescent="0.25">
      <c r="C367" s="57">
        <f>IFERROR((VLOOKUP(B367,FONT!$W$5:$X$1091,2,0)),0)</f>
        <v>0</v>
      </c>
      <c r="G367" s="56">
        <f>IFERROR((VLOOKUP(B367,PENDIENTES!$L$5:$M$561,2,0)),0)</f>
        <v>0</v>
      </c>
    </row>
    <row r="368" spans="3:7" x14ac:dyDescent="0.25">
      <c r="C368" s="57">
        <f>IFERROR((VLOOKUP(B368,FONT!$W$5:$X$1091,2,0)),0)</f>
        <v>0</v>
      </c>
      <c r="G368" s="56">
        <f>IFERROR((VLOOKUP(B368,PENDIENTES!$L$5:$M$561,2,0)),0)</f>
        <v>0</v>
      </c>
    </row>
    <row r="369" spans="3:7" x14ac:dyDescent="0.25">
      <c r="C369" s="57">
        <f>IFERROR((VLOOKUP(B369,FONT!$W$5:$X$1091,2,0)),0)</f>
        <v>0</v>
      </c>
      <c r="G369" s="56">
        <f>IFERROR((VLOOKUP(B369,PENDIENTES!$L$5:$M$561,2,0)),0)</f>
        <v>0</v>
      </c>
    </row>
    <row r="370" spans="3:7" x14ac:dyDescent="0.25">
      <c r="C370" s="57">
        <f>IFERROR((VLOOKUP(B370,FONT!$W$5:$X$1091,2,0)),0)</f>
        <v>0</v>
      </c>
      <c r="G370" s="56">
        <f>IFERROR((VLOOKUP(B370,PENDIENTES!$L$5:$M$561,2,0)),0)</f>
        <v>0</v>
      </c>
    </row>
    <row r="371" spans="3:7" x14ac:dyDescent="0.25">
      <c r="C371" s="57">
        <f>IFERROR((VLOOKUP(B371,FONT!$W$5:$X$1091,2,0)),0)</f>
        <v>0</v>
      </c>
      <c r="G371" s="56">
        <f>IFERROR((VLOOKUP(B371,PENDIENTES!$L$5:$M$561,2,0)),0)</f>
        <v>0</v>
      </c>
    </row>
    <row r="372" spans="3:7" x14ac:dyDescent="0.25">
      <c r="C372" s="57">
        <f>IFERROR((VLOOKUP(B372,FONT!$W$5:$X$1091,2,0)),0)</f>
        <v>0</v>
      </c>
      <c r="G372" s="56">
        <f>IFERROR((VLOOKUP(B372,PENDIENTES!$L$5:$M$561,2,0)),0)</f>
        <v>0</v>
      </c>
    </row>
    <row r="373" spans="3:7" x14ac:dyDescent="0.25">
      <c r="C373" s="57">
        <f>IFERROR((VLOOKUP(B373,FONT!$W$5:$X$1091,2,0)),0)</f>
        <v>0</v>
      </c>
      <c r="G373" s="56">
        <f>IFERROR((VLOOKUP(B373,PENDIENTES!$L$5:$M$561,2,0)),0)</f>
        <v>0</v>
      </c>
    </row>
    <row r="374" spans="3:7" x14ac:dyDescent="0.25">
      <c r="C374" s="57">
        <f>IFERROR((VLOOKUP(B374,FONT!$W$5:$X$1091,2,0)),0)</f>
        <v>0</v>
      </c>
      <c r="G374" s="56">
        <f>IFERROR((VLOOKUP(B374,PENDIENTES!$L$5:$M$561,2,0)),0)</f>
        <v>0</v>
      </c>
    </row>
    <row r="375" spans="3:7" x14ac:dyDescent="0.25">
      <c r="C375" s="57">
        <f>IFERROR((VLOOKUP(B375,FONT!$W$5:$X$1091,2,0)),0)</f>
        <v>0</v>
      </c>
      <c r="G375" s="56">
        <f>IFERROR((VLOOKUP(B375,PENDIENTES!$L$5:$M$561,2,0)),0)</f>
        <v>0</v>
      </c>
    </row>
    <row r="376" spans="3:7" x14ac:dyDescent="0.25">
      <c r="C376" s="57">
        <f>IFERROR((VLOOKUP(B376,FONT!$W$5:$X$1091,2,0)),0)</f>
        <v>0</v>
      </c>
      <c r="G376" s="56">
        <f>IFERROR((VLOOKUP(B376,PENDIENTES!$L$5:$M$561,2,0)),0)</f>
        <v>0</v>
      </c>
    </row>
    <row r="377" spans="3:7" x14ac:dyDescent="0.25">
      <c r="C377" s="57">
        <f>IFERROR((VLOOKUP(B377,FONT!$W$5:$X$1091,2,0)),0)</f>
        <v>0</v>
      </c>
      <c r="G377" s="56">
        <f>IFERROR((VLOOKUP(B377,PENDIENTES!$L$5:$M$561,2,0)),0)</f>
        <v>0</v>
      </c>
    </row>
    <row r="378" spans="3:7" x14ac:dyDescent="0.25">
      <c r="C378" s="57">
        <f>IFERROR((VLOOKUP(B378,FONT!$W$5:$X$1091,2,0)),0)</f>
        <v>0</v>
      </c>
      <c r="G378" s="56">
        <f>IFERROR((VLOOKUP(B378,PENDIENTES!$L$5:$M$561,2,0)),0)</f>
        <v>0</v>
      </c>
    </row>
    <row r="379" spans="3:7" x14ac:dyDescent="0.25">
      <c r="C379" s="57">
        <f>IFERROR((VLOOKUP(B379,FONT!$W$5:$X$1091,2,0)),0)</f>
        <v>0</v>
      </c>
      <c r="G379" s="56">
        <f>IFERROR((VLOOKUP(B379,PENDIENTES!$L$5:$M$561,2,0)),0)</f>
        <v>0</v>
      </c>
    </row>
    <row r="380" spans="3:7" x14ac:dyDescent="0.25">
      <c r="C380" s="57">
        <f>IFERROR((VLOOKUP(B380,FONT!$W$5:$X$1091,2,0)),0)</f>
        <v>0</v>
      </c>
      <c r="G380" s="56">
        <f>IFERROR((VLOOKUP(B380,PENDIENTES!$L$5:$M$561,2,0)),0)</f>
        <v>0</v>
      </c>
    </row>
    <row r="381" spans="3:7" x14ac:dyDescent="0.25">
      <c r="C381" s="57">
        <f>IFERROR((VLOOKUP(B381,FONT!$W$5:$X$1091,2,0)),0)</f>
        <v>0</v>
      </c>
      <c r="G381" s="56">
        <f>IFERROR((VLOOKUP(B381,PENDIENTES!$L$5:$M$561,2,0)),0)</f>
        <v>0</v>
      </c>
    </row>
    <row r="382" spans="3:7" x14ac:dyDescent="0.25">
      <c r="C382" s="57">
        <f>IFERROR((VLOOKUP(B382,FONT!$W$5:$X$1091,2,0)),0)</f>
        <v>0</v>
      </c>
      <c r="G382" s="56">
        <f>IFERROR((VLOOKUP(B382,PENDIENTES!$L$5:$M$561,2,0)),0)</f>
        <v>0</v>
      </c>
    </row>
    <row r="383" spans="3:7" x14ac:dyDescent="0.25">
      <c r="C383" s="57">
        <f>IFERROR((VLOOKUP(B383,FONT!$W$5:$X$1091,2,0)),0)</f>
        <v>0</v>
      </c>
      <c r="G383" s="56">
        <f>IFERROR((VLOOKUP(B383,PENDIENTES!$L$5:$M$561,2,0)),0)</f>
        <v>0</v>
      </c>
    </row>
    <row r="384" spans="3:7" x14ac:dyDescent="0.25">
      <c r="C384" s="57">
        <f>IFERROR((VLOOKUP(B384,FONT!$W$5:$X$1091,2,0)),0)</f>
        <v>0</v>
      </c>
      <c r="G384" s="56">
        <f>IFERROR((VLOOKUP(B384,PENDIENTES!$L$5:$M$561,2,0)),0)</f>
        <v>0</v>
      </c>
    </row>
    <row r="385" spans="3:7" x14ac:dyDescent="0.25">
      <c r="C385" s="57">
        <f>IFERROR((VLOOKUP(B385,FONT!$W$5:$X$1091,2,0)),0)</f>
        <v>0</v>
      </c>
      <c r="G385" s="56">
        <f>IFERROR((VLOOKUP(B385,PENDIENTES!$L$5:$M$561,2,0)),0)</f>
        <v>0</v>
      </c>
    </row>
    <row r="386" spans="3:7" x14ac:dyDescent="0.25">
      <c r="C386" s="57">
        <f>IFERROR((VLOOKUP(B386,FONT!$W$5:$X$1091,2,0)),0)</f>
        <v>0</v>
      </c>
      <c r="G386" s="56">
        <f>IFERROR((VLOOKUP(B386,PENDIENTES!$L$5:$M$561,2,0)),0)</f>
        <v>0</v>
      </c>
    </row>
    <row r="387" spans="3:7" x14ac:dyDescent="0.25">
      <c r="C387" s="57">
        <f>IFERROR((VLOOKUP(B387,FONT!$W$5:$X$1091,2,0)),0)</f>
        <v>0</v>
      </c>
      <c r="G387" s="56">
        <f>IFERROR((VLOOKUP(B387,PENDIENTES!$L$5:$M$561,2,0)),0)</f>
        <v>0</v>
      </c>
    </row>
    <row r="388" spans="3:7" x14ac:dyDescent="0.25">
      <c r="C388" s="57">
        <f>IFERROR((VLOOKUP(B388,FONT!$W$5:$X$1091,2,0)),0)</f>
        <v>0</v>
      </c>
      <c r="G388" s="56">
        <f>IFERROR((VLOOKUP(B388,PENDIENTES!$L$5:$M$561,2,0)),0)</f>
        <v>0</v>
      </c>
    </row>
    <row r="389" spans="3:7" x14ac:dyDescent="0.25">
      <c r="C389" s="57">
        <f>IFERROR((VLOOKUP(B389,FONT!$W$5:$X$1091,2,0)),0)</f>
        <v>0</v>
      </c>
      <c r="G389" s="56">
        <f>IFERROR((VLOOKUP(B389,PENDIENTES!$L$5:$M$561,2,0)),0)</f>
        <v>0</v>
      </c>
    </row>
    <row r="390" spans="3:7" x14ac:dyDescent="0.25">
      <c r="C390" s="57">
        <f>IFERROR((VLOOKUP(B390,FONT!$W$5:$X$1091,2,0)),0)</f>
        <v>0</v>
      </c>
      <c r="G390" s="56">
        <f>IFERROR((VLOOKUP(B390,PENDIENTES!$L$5:$M$561,2,0)),0)</f>
        <v>0</v>
      </c>
    </row>
    <row r="391" spans="3:7" x14ac:dyDescent="0.25">
      <c r="C391" s="57">
        <f>IFERROR((VLOOKUP(B391,FONT!$W$5:$X$1091,2,0)),0)</f>
        <v>0</v>
      </c>
      <c r="G391" s="56">
        <f>IFERROR((VLOOKUP(B391,PENDIENTES!$L$5:$M$561,2,0)),0)</f>
        <v>0</v>
      </c>
    </row>
    <row r="392" spans="3:7" x14ac:dyDescent="0.25">
      <c r="C392" s="57">
        <f>IFERROR((VLOOKUP(B392,FONT!$W$5:$X$1091,2,0)),0)</f>
        <v>0</v>
      </c>
      <c r="G392" s="56">
        <f>IFERROR((VLOOKUP(B392,PENDIENTES!$L$5:$M$561,2,0)),0)</f>
        <v>0</v>
      </c>
    </row>
    <row r="393" spans="3:7" x14ac:dyDescent="0.25">
      <c r="C393" s="57">
        <f>IFERROR((VLOOKUP(B393,FONT!$W$5:$X$1091,2,0)),0)</f>
        <v>0</v>
      </c>
      <c r="G393" s="56">
        <f>IFERROR((VLOOKUP(B393,PENDIENTES!$L$5:$M$561,2,0)),0)</f>
        <v>0</v>
      </c>
    </row>
    <row r="394" spans="3:7" x14ac:dyDescent="0.25">
      <c r="C394" s="57">
        <f>IFERROR((VLOOKUP(B394,FONT!$W$5:$X$1091,2,0)),0)</f>
        <v>0</v>
      </c>
      <c r="G394" s="56">
        <f>IFERROR((VLOOKUP(B394,PENDIENTES!$L$5:$M$561,2,0)),0)</f>
        <v>0</v>
      </c>
    </row>
    <row r="395" spans="3:7" x14ac:dyDescent="0.25">
      <c r="C395" s="57">
        <f>IFERROR((VLOOKUP(B395,FONT!$W$5:$X$1091,2,0)),0)</f>
        <v>0</v>
      </c>
      <c r="G395" s="56">
        <f>IFERROR((VLOOKUP(B395,PENDIENTES!$L$5:$M$561,2,0)),0)</f>
        <v>0</v>
      </c>
    </row>
    <row r="396" spans="3:7" x14ac:dyDescent="0.25">
      <c r="C396" s="57">
        <f>IFERROR((VLOOKUP(B396,FONT!$W$5:$X$1091,2,0)),0)</f>
        <v>0</v>
      </c>
      <c r="G396" s="56">
        <f>IFERROR((VLOOKUP(B396,PENDIENTES!$L$5:$M$561,2,0)),0)</f>
        <v>0</v>
      </c>
    </row>
    <row r="397" spans="3:7" x14ac:dyDescent="0.25">
      <c r="C397" s="57">
        <f>IFERROR((VLOOKUP(B397,FONT!$W$5:$X$1091,2,0)),0)</f>
        <v>0</v>
      </c>
      <c r="G397" s="56">
        <f>IFERROR((VLOOKUP(B397,PENDIENTES!$L$5:$M$561,2,0)),0)</f>
        <v>0</v>
      </c>
    </row>
    <row r="398" spans="3:7" x14ac:dyDescent="0.25">
      <c r="C398" s="57">
        <f>IFERROR((VLOOKUP(B398,FONT!$W$5:$X$1091,2,0)),0)</f>
        <v>0</v>
      </c>
      <c r="G398" s="56">
        <f>IFERROR((VLOOKUP(B398,PENDIENTES!$L$5:$M$561,2,0)),0)</f>
        <v>0</v>
      </c>
    </row>
    <row r="399" spans="3:7" x14ac:dyDescent="0.25">
      <c r="C399" s="57">
        <f>IFERROR((VLOOKUP(B399,FONT!$W$5:$X$1091,2,0)),0)</f>
        <v>0</v>
      </c>
      <c r="G399" s="56">
        <f>IFERROR((VLOOKUP(B399,PENDIENTES!$L$5:$M$561,2,0)),0)</f>
        <v>0</v>
      </c>
    </row>
    <row r="400" spans="3:7" x14ac:dyDescent="0.25">
      <c r="C400" s="57">
        <f>IFERROR((VLOOKUP(B400,FONT!$W$5:$X$1091,2,0)),0)</f>
        <v>0</v>
      </c>
      <c r="G400" s="56">
        <f>IFERROR((VLOOKUP(B400,PENDIENTES!$L$5:$M$561,2,0)),0)</f>
        <v>0</v>
      </c>
    </row>
    <row r="401" spans="3:7" x14ac:dyDescent="0.25">
      <c r="C401" s="57">
        <f>IFERROR((VLOOKUP(B401,FONT!$W$5:$X$1091,2,0)),0)</f>
        <v>0</v>
      </c>
      <c r="G401" s="56">
        <f>IFERROR((VLOOKUP(B401,PENDIENTES!$L$5:$M$561,2,0)),0)</f>
        <v>0</v>
      </c>
    </row>
    <row r="402" spans="3:7" x14ac:dyDescent="0.25">
      <c r="C402" s="57">
        <f>IFERROR((VLOOKUP(B402,FONT!$W$5:$X$1091,2,0)),0)</f>
        <v>0</v>
      </c>
      <c r="G402" s="56">
        <f>IFERROR((VLOOKUP(B402,PENDIENTES!$L$5:$M$561,2,0)),0)</f>
        <v>0</v>
      </c>
    </row>
    <row r="403" spans="3:7" x14ac:dyDescent="0.25">
      <c r="C403" s="57">
        <f>IFERROR((VLOOKUP(B403,FONT!$W$5:$X$1091,2,0)),0)</f>
        <v>0</v>
      </c>
      <c r="G403" s="56">
        <f>IFERROR((VLOOKUP(B403,PENDIENTES!$L$5:$M$561,2,0)),0)</f>
        <v>0</v>
      </c>
    </row>
    <row r="404" spans="3:7" x14ac:dyDescent="0.25">
      <c r="C404" s="57">
        <f>IFERROR((VLOOKUP(B404,FONT!$W$5:$X$1091,2,0)),0)</f>
        <v>0</v>
      </c>
      <c r="G404" s="56">
        <f>IFERROR((VLOOKUP(B404,PENDIENTES!$L$5:$M$561,2,0)),0)</f>
        <v>0</v>
      </c>
    </row>
    <row r="405" spans="3:7" x14ac:dyDescent="0.25">
      <c r="C405" s="57">
        <f>IFERROR((VLOOKUP(B405,FONT!$W$5:$X$1091,2,0)),0)</f>
        <v>0</v>
      </c>
      <c r="G405" s="56">
        <f>IFERROR((VLOOKUP(B405,PENDIENTES!$L$5:$M$561,2,0)),0)</f>
        <v>0</v>
      </c>
    </row>
    <row r="406" spans="3:7" x14ac:dyDescent="0.25">
      <c r="C406" s="57">
        <f>IFERROR((VLOOKUP(B406,FONT!$W$5:$X$1091,2,0)),0)</f>
        <v>0</v>
      </c>
      <c r="G406" s="56">
        <f>IFERROR((VLOOKUP(B406,PENDIENTES!$L$5:$M$561,2,0)),0)</f>
        <v>0</v>
      </c>
    </row>
    <row r="407" spans="3:7" x14ac:dyDescent="0.25">
      <c r="C407" s="57">
        <f>IFERROR((VLOOKUP(B407,FONT!$W$5:$X$1091,2,0)),0)</f>
        <v>0</v>
      </c>
      <c r="G407" s="56">
        <f>IFERROR((VLOOKUP(B407,PENDIENTES!$L$5:$M$561,2,0)),0)</f>
        <v>0</v>
      </c>
    </row>
    <row r="408" spans="3:7" x14ac:dyDescent="0.25">
      <c r="C408" s="57">
        <f>IFERROR((VLOOKUP(B408,FONT!$W$5:$X$1091,2,0)),0)</f>
        <v>0</v>
      </c>
      <c r="G408" s="56">
        <f>IFERROR((VLOOKUP(B408,PENDIENTES!$L$5:$M$561,2,0)),0)</f>
        <v>0</v>
      </c>
    </row>
    <row r="409" spans="3:7" x14ac:dyDescent="0.25">
      <c r="C409" s="57">
        <f>IFERROR((VLOOKUP(B409,FONT!$W$5:$X$1091,2,0)),0)</f>
        <v>0</v>
      </c>
      <c r="G409" s="56">
        <f>IFERROR((VLOOKUP(B409,PENDIENTES!$L$5:$M$561,2,0)),0)</f>
        <v>0</v>
      </c>
    </row>
    <row r="410" spans="3:7" x14ac:dyDescent="0.25">
      <c r="C410" s="57">
        <f>IFERROR((VLOOKUP(B410,FONT!$W$5:$X$1091,2,0)),0)</f>
        <v>0</v>
      </c>
      <c r="G410" s="56">
        <f>IFERROR((VLOOKUP(B410,PENDIENTES!$L$5:$M$561,2,0)),0)</f>
        <v>0</v>
      </c>
    </row>
    <row r="411" spans="3:7" x14ac:dyDescent="0.25">
      <c r="C411" s="57">
        <f>IFERROR((VLOOKUP(B411,FONT!$W$5:$X$1091,2,0)),0)</f>
        <v>0</v>
      </c>
      <c r="G411" s="56">
        <f>IFERROR((VLOOKUP(B411,PENDIENTES!$L$5:$M$561,2,0)),0)</f>
        <v>0</v>
      </c>
    </row>
    <row r="412" spans="3:7" x14ac:dyDescent="0.25">
      <c r="C412" s="57">
        <f>IFERROR((VLOOKUP(B412,FONT!$W$5:$X$1091,2,0)),0)</f>
        <v>0</v>
      </c>
      <c r="G412" s="56">
        <f>IFERROR((VLOOKUP(B412,PENDIENTES!$L$5:$M$561,2,0)),0)</f>
        <v>0</v>
      </c>
    </row>
    <row r="413" spans="3:7" x14ac:dyDescent="0.25">
      <c r="C413" s="57">
        <f>IFERROR((VLOOKUP(B413,FONT!$W$5:$X$1091,2,0)),0)</f>
        <v>0</v>
      </c>
      <c r="G413" s="56">
        <f>IFERROR((VLOOKUP(B413,PENDIENTES!$L$5:$M$561,2,0)),0)</f>
        <v>0</v>
      </c>
    </row>
    <row r="414" spans="3:7" x14ac:dyDescent="0.25">
      <c r="C414" s="57">
        <f>IFERROR((VLOOKUP(B414,FONT!$W$5:$X$1091,2,0)),0)</f>
        <v>0</v>
      </c>
      <c r="G414" s="56">
        <f>IFERROR((VLOOKUP(B414,PENDIENTES!$L$5:$M$561,2,0)),0)</f>
        <v>0</v>
      </c>
    </row>
    <row r="415" spans="3:7" x14ac:dyDescent="0.25">
      <c r="C415" s="57">
        <f>IFERROR((VLOOKUP(B415,FONT!$W$5:$X$1091,2,0)),0)</f>
        <v>0</v>
      </c>
      <c r="G415" s="56">
        <f>IFERROR((VLOOKUP(B415,PENDIENTES!$L$5:$M$561,2,0)),0)</f>
        <v>0</v>
      </c>
    </row>
    <row r="416" spans="3:7" x14ac:dyDescent="0.25">
      <c r="C416" s="57">
        <f>IFERROR((VLOOKUP(B416,FONT!$W$5:$X$1091,2,0)),0)</f>
        <v>0</v>
      </c>
      <c r="G416" s="56">
        <f>IFERROR((VLOOKUP(B416,PENDIENTES!$L$5:$M$561,2,0)),0)</f>
        <v>0</v>
      </c>
    </row>
    <row r="417" spans="3:7" x14ac:dyDescent="0.25">
      <c r="C417" s="57">
        <f>IFERROR((VLOOKUP(B417,FONT!$W$5:$X$1091,2,0)),0)</f>
        <v>0</v>
      </c>
      <c r="G417" s="56">
        <f>IFERROR((VLOOKUP(B417,PENDIENTES!$L$5:$M$561,2,0)),0)</f>
        <v>0</v>
      </c>
    </row>
    <row r="418" spans="3:7" x14ac:dyDescent="0.25">
      <c r="C418" s="57">
        <f>IFERROR((VLOOKUP(B418,FONT!$W$5:$X$1091,2,0)),0)</f>
        <v>0</v>
      </c>
      <c r="G418" s="56">
        <f>IFERROR((VLOOKUP(B418,PENDIENTES!$L$5:$M$561,2,0)),0)</f>
        <v>0</v>
      </c>
    </row>
    <row r="419" spans="3:7" x14ac:dyDescent="0.25">
      <c r="C419" s="57">
        <f>IFERROR((VLOOKUP(B419,FONT!$W$5:$X$1091,2,0)),0)</f>
        <v>0</v>
      </c>
      <c r="G419" s="56">
        <f>IFERROR((VLOOKUP(B419,PENDIENTES!$L$5:$M$561,2,0)),0)</f>
        <v>0</v>
      </c>
    </row>
    <row r="420" spans="3:7" x14ac:dyDescent="0.25">
      <c r="C420" s="57">
        <f>IFERROR((VLOOKUP(B420,FONT!$W$5:$X$1091,2,0)),0)</f>
        <v>0</v>
      </c>
      <c r="G420" s="56">
        <f>IFERROR((VLOOKUP(B420,PENDIENTES!$L$5:$M$561,2,0)),0)</f>
        <v>0</v>
      </c>
    </row>
    <row r="421" spans="3:7" x14ac:dyDescent="0.25">
      <c r="C421" s="57">
        <f>IFERROR((VLOOKUP(B421,FONT!$W$5:$X$1091,2,0)),0)</f>
        <v>0</v>
      </c>
      <c r="G421" s="56">
        <f>IFERROR((VLOOKUP(B421,PENDIENTES!$L$5:$M$561,2,0)),0)</f>
        <v>0</v>
      </c>
    </row>
    <row r="422" spans="3:7" x14ac:dyDescent="0.25">
      <c r="C422" s="57">
        <f>IFERROR((VLOOKUP(B422,FONT!$W$5:$X$1091,2,0)),0)</f>
        <v>0</v>
      </c>
      <c r="G422" s="56">
        <f>IFERROR((VLOOKUP(B422,PENDIENTES!$L$5:$M$561,2,0)),0)</f>
        <v>0</v>
      </c>
    </row>
    <row r="423" spans="3:7" x14ac:dyDescent="0.25">
      <c r="C423" s="57">
        <f>IFERROR((VLOOKUP(B423,FONT!$W$5:$X$1091,2,0)),0)</f>
        <v>0</v>
      </c>
      <c r="G423" s="56">
        <f>IFERROR((VLOOKUP(B423,PENDIENTES!$L$5:$M$561,2,0)),0)</f>
        <v>0</v>
      </c>
    </row>
    <row r="424" spans="3:7" x14ac:dyDescent="0.25">
      <c r="C424" s="57">
        <f>IFERROR((VLOOKUP(B424,FONT!$W$5:$X$1091,2,0)),0)</f>
        <v>0</v>
      </c>
      <c r="G424" s="56">
        <f>IFERROR((VLOOKUP(B424,PENDIENTES!$L$5:$M$561,2,0)),0)</f>
        <v>0</v>
      </c>
    </row>
    <row r="425" spans="3:7" x14ac:dyDescent="0.25">
      <c r="C425" s="57">
        <f>IFERROR((VLOOKUP(B425,FONT!$W$5:$X$1091,2,0)),0)</f>
        <v>0</v>
      </c>
      <c r="G425" s="56">
        <f>IFERROR((VLOOKUP(B425,PENDIENTES!$L$5:$M$561,2,0)),0)</f>
        <v>0</v>
      </c>
    </row>
    <row r="426" spans="3:7" x14ac:dyDescent="0.25">
      <c r="C426" s="57">
        <f>IFERROR((VLOOKUP(B426,FONT!$W$5:$X$1091,2,0)),0)</f>
        <v>0</v>
      </c>
      <c r="G426" s="56">
        <f>IFERROR((VLOOKUP(B426,PENDIENTES!$L$5:$M$561,2,0)),0)</f>
        <v>0</v>
      </c>
    </row>
    <row r="427" spans="3:7" x14ac:dyDescent="0.25">
      <c r="C427" s="57">
        <f>IFERROR((VLOOKUP(B427,FONT!$W$5:$X$1091,2,0)),0)</f>
        <v>0</v>
      </c>
      <c r="G427" s="56">
        <f>IFERROR((VLOOKUP(B427,PENDIENTES!$L$5:$M$561,2,0)),0)</f>
        <v>0</v>
      </c>
    </row>
    <row r="428" spans="3:7" x14ac:dyDescent="0.25">
      <c r="C428" s="57">
        <f>IFERROR((VLOOKUP(B428,FONT!$W$5:$X$1091,2,0)),0)</f>
        <v>0</v>
      </c>
      <c r="G428" s="56">
        <f>IFERROR((VLOOKUP(B428,PENDIENTES!$L$5:$M$561,2,0)),0)</f>
        <v>0</v>
      </c>
    </row>
    <row r="429" spans="3:7" x14ac:dyDescent="0.25">
      <c r="C429" s="57">
        <f>IFERROR((VLOOKUP(B429,FONT!$W$5:$X$1091,2,0)),0)</f>
        <v>0</v>
      </c>
      <c r="G429" s="56">
        <f>IFERROR((VLOOKUP(B429,PENDIENTES!$L$5:$M$561,2,0)),0)</f>
        <v>0</v>
      </c>
    </row>
    <row r="430" spans="3:7" x14ac:dyDescent="0.25">
      <c r="C430" s="57">
        <f>IFERROR((VLOOKUP(B430,FONT!$W$5:$X$1091,2,0)),0)</f>
        <v>0</v>
      </c>
      <c r="G430" s="56">
        <f>IFERROR((VLOOKUP(B430,PENDIENTES!$L$5:$M$561,2,0)),0)</f>
        <v>0</v>
      </c>
    </row>
    <row r="431" spans="3:7" x14ac:dyDescent="0.25">
      <c r="C431" s="57">
        <f>IFERROR((VLOOKUP(B431,FONT!$W$5:$X$1091,2,0)),0)</f>
        <v>0</v>
      </c>
      <c r="G431" s="56">
        <f>IFERROR((VLOOKUP(B431,PENDIENTES!$L$5:$M$561,2,0)),0)</f>
        <v>0</v>
      </c>
    </row>
    <row r="432" spans="3:7" x14ac:dyDescent="0.25">
      <c r="C432" s="57">
        <f>IFERROR((VLOOKUP(B432,FONT!$W$5:$X$1091,2,0)),0)</f>
        <v>0</v>
      </c>
      <c r="G432" s="56">
        <f>IFERROR((VLOOKUP(B432,PENDIENTES!$L$5:$M$561,2,0)),0)</f>
        <v>0</v>
      </c>
    </row>
    <row r="433" spans="3:7" x14ac:dyDescent="0.25">
      <c r="C433" s="57">
        <f>IFERROR((VLOOKUP(B433,FONT!$W$5:$X$1091,2,0)),0)</f>
        <v>0</v>
      </c>
      <c r="G433" s="56">
        <f>IFERROR((VLOOKUP(B433,PENDIENTES!$L$5:$M$561,2,0)),0)</f>
        <v>0</v>
      </c>
    </row>
    <row r="434" spans="3:7" x14ac:dyDescent="0.25">
      <c r="C434" s="57">
        <f>IFERROR((VLOOKUP(B434,FONT!$W$5:$X$1091,2,0)),0)</f>
        <v>0</v>
      </c>
      <c r="G434" s="56">
        <f>IFERROR((VLOOKUP(B434,PENDIENTES!$L$5:$M$561,2,0)),0)</f>
        <v>0</v>
      </c>
    </row>
    <row r="435" spans="3:7" x14ac:dyDescent="0.25">
      <c r="C435" s="57">
        <f>IFERROR((VLOOKUP(B435,FONT!$W$5:$X$1091,2,0)),0)</f>
        <v>0</v>
      </c>
      <c r="G435" s="56">
        <f>IFERROR((VLOOKUP(B435,PENDIENTES!$L$5:$M$561,2,0)),0)</f>
        <v>0</v>
      </c>
    </row>
    <row r="436" spans="3:7" x14ac:dyDescent="0.25">
      <c r="C436" s="57">
        <f>IFERROR((VLOOKUP(B436,FONT!$W$5:$X$1091,2,0)),0)</f>
        <v>0</v>
      </c>
      <c r="G436" s="56">
        <f>IFERROR((VLOOKUP(B436,PENDIENTES!$L$5:$M$561,2,0)),0)</f>
        <v>0</v>
      </c>
    </row>
    <row r="437" spans="3:7" x14ac:dyDescent="0.25">
      <c r="C437" s="57">
        <f>IFERROR((VLOOKUP(B437,FONT!$W$5:$X$1091,2,0)),0)</f>
        <v>0</v>
      </c>
      <c r="G437" s="56">
        <f>IFERROR((VLOOKUP(B437,PENDIENTES!$L$5:$M$561,2,0)),0)</f>
        <v>0</v>
      </c>
    </row>
    <row r="438" spans="3:7" x14ac:dyDescent="0.25">
      <c r="C438" s="57">
        <f>IFERROR((VLOOKUP(B438,FONT!$W$5:$X$1091,2,0)),0)</f>
        <v>0</v>
      </c>
      <c r="G438" s="56">
        <f>IFERROR((VLOOKUP(B438,PENDIENTES!$L$5:$M$561,2,0)),0)</f>
        <v>0</v>
      </c>
    </row>
    <row r="439" spans="3:7" x14ac:dyDescent="0.25">
      <c r="C439" s="57">
        <f>IFERROR((VLOOKUP(B439,FONT!$W$5:$X$1091,2,0)),0)</f>
        <v>0</v>
      </c>
      <c r="G439" s="56">
        <f>IFERROR((VLOOKUP(B439,PENDIENTES!$L$5:$M$561,2,0)),0)</f>
        <v>0</v>
      </c>
    </row>
    <row r="440" spans="3:7" x14ac:dyDescent="0.25">
      <c r="C440" s="57">
        <f>IFERROR((VLOOKUP(B440,FONT!$W$5:$X$1091,2,0)),0)</f>
        <v>0</v>
      </c>
      <c r="G440" s="56">
        <f>IFERROR((VLOOKUP(B440,PENDIENTES!$L$5:$M$561,2,0)),0)</f>
        <v>0</v>
      </c>
    </row>
    <row r="441" spans="3:7" x14ac:dyDescent="0.25">
      <c r="C441" s="57">
        <f>IFERROR((VLOOKUP(B441,FONT!$W$5:$X$1091,2,0)),0)</f>
        <v>0</v>
      </c>
      <c r="G441" s="56">
        <f>IFERROR((VLOOKUP(B441,PENDIENTES!$L$5:$M$561,2,0)),0)</f>
        <v>0</v>
      </c>
    </row>
    <row r="442" spans="3:7" x14ac:dyDescent="0.25">
      <c r="C442" s="57">
        <f>IFERROR((VLOOKUP(B442,FONT!$W$5:$X$1091,2,0)),0)</f>
        <v>0</v>
      </c>
      <c r="G442" s="56">
        <f>IFERROR((VLOOKUP(B442,PENDIENTES!$L$5:$M$561,2,0)),0)</f>
        <v>0</v>
      </c>
    </row>
    <row r="443" spans="3:7" x14ac:dyDescent="0.25">
      <c r="C443" s="57">
        <f>IFERROR((VLOOKUP(B443,FONT!$W$5:$X$1091,2,0)),0)</f>
        <v>0</v>
      </c>
      <c r="G443" s="56">
        <f>IFERROR((VLOOKUP(B443,PENDIENTES!$L$5:$M$561,2,0)),0)</f>
        <v>0</v>
      </c>
    </row>
    <row r="444" spans="3:7" x14ac:dyDescent="0.25">
      <c r="C444" s="57">
        <f>IFERROR((VLOOKUP(B444,FONT!$W$5:$X$1091,2,0)),0)</f>
        <v>0</v>
      </c>
      <c r="G444" s="56">
        <f>IFERROR((VLOOKUP(B444,PENDIENTES!$L$5:$M$561,2,0)),0)</f>
        <v>0</v>
      </c>
    </row>
    <row r="445" spans="3:7" x14ac:dyDescent="0.25">
      <c r="C445" s="57">
        <f>IFERROR((VLOOKUP(B445,FONT!$W$5:$X$1091,2,0)),0)</f>
        <v>0</v>
      </c>
      <c r="G445" s="56">
        <f>IFERROR((VLOOKUP(B445,PENDIENTES!$L$5:$M$561,2,0)),0)</f>
        <v>0</v>
      </c>
    </row>
    <row r="446" spans="3:7" x14ac:dyDescent="0.25">
      <c r="C446" s="57">
        <f>IFERROR((VLOOKUP(B446,FONT!$W$5:$X$1091,2,0)),0)</f>
        <v>0</v>
      </c>
      <c r="G446" s="56">
        <f>IFERROR((VLOOKUP(B446,PENDIENTES!$L$5:$M$561,2,0)),0)</f>
        <v>0</v>
      </c>
    </row>
    <row r="447" spans="3:7" x14ac:dyDescent="0.25">
      <c r="C447" s="57">
        <f>IFERROR((VLOOKUP(B447,FONT!$W$5:$X$1091,2,0)),0)</f>
        <v>0</v>
      </c>
      <c r="G447" s="56">
        <f>IFERROR((VLOOKUP(B447,PENDIENTES!$L$5:$M$561,2,0)),0)</f>
        <v>0</v>
      </c>
    </row>
    <row r="448" spans="3:7" x14ac:dyDescent="0.25">
      <c r="C448" s="57">
        <f>IFERROR((VLOOKUP(B448,FONT!$W$5:$X$1091,2,0)),0)</f>
        <v>0</v>
      </c>
      <c r="G448" s="56">
        <f>IFERROR((VLOOKUP(B448,PENDIENTES!$L$5:$M$561,2,0)),0)</f>
        <v>0</v>
      </c>
    </row>
    <row r="449" spans="3:7" x14ac:dyDescent="0.25">
      <c r="C449" s="57">
        <f>IFERROR((VLOOKUP(B449,FONT!$W$5:$X$1091,2,0)),0)</f>
        <v>0</v>
      </c>
      <c r="G449" s="56">
        <f>IFERROR((VLOOKUP(B449,PENDIENTES!$L$5:$M$561,2,0)),0)</f>
        <v>0</v>
      </c>
    </row>
    <row r="450" spans="3:7" x14ac:dyDescent="0.25">
      <c r="C450" s="57">
        <f>IFERROR((VLOOKUP(B450,FONT!$W$5:$X$1091,2,0)),0)</f>
        <v>0</v>
      </c>
      <c r="G450" s="56">
        <f>IFERROR((VLOOKUP(B450,PENDIENTES!$L$5:$M$561,2,0)),0)</f>
        <v>0</v>
      </c>
    </row>
    <row r="451" spans="3:7" x14ac:dyDescent="0.25">
      <c r="C451" s="57">
        <f>IFERROR((VLOOKUP(B451,FONT!$W$5:$X$1091,2,0)),0)</f>
        <v>0</v>
      </c>
      <c r="G451" s="56">
        <f>IFERROR((VLOOKUP(B451,PENDIENTES!$L$5:$M$561,2,0)),0)</f>
        <v>0</v>
      </c>
    </row>
    <row r="452" spans="3:7" x14ac:dyDescent="0.25">
      <c r="C452" s="57">
        <f>IFERROR((VLOOKUP(B452,FONT!$W$5:$X$1091,2,0)),0)</f>
        <v>0</v>
      </c>
      <c r="G452" s="56">
        <f>IFERROR((VLOOKUP(B452,PENDIENTES!$L$5:$M$561,2,0)),0)</f>
        <v>0</v>
      </c>
    </row>
    <row r="453" spans="3:7" x14ac:dyDescent="0.25">
      <c r="C453" s="57">
        <f>IFERROR((VLOOKUP(B453,FONT!$W$5:$X$1091,2,0)),0)</f>
        <v>0</v>
      </c>
      <c r="G453" s="56">
        <f>IFERROR((VLOOKUP(B453,PENDIENTES!$L$5:$M$561,2,0)),0)</f>
        <v>0</v>
      </c>
    </row>
    <row r="454" spans="3:7" x14ac:dyDescent="0.25">
      <c r="C454" s="57">
        <f>IFERROR((VLOOKUP(B454,FONT!$W$5:$X$1091,2,0)),0)</f>
        <v>0</v>
      </c>
      <c r="G454" s="56">
        <f>IFERROR((VLOOKUP(B454,PENDIENTES!$L$5:$M$561,2,0)),0)</f>
        <v>0</v>
      </c>
    </row>
    <row r="455" spans="3:7" x14ac:dyDescent="0.25">
      <c r="C455" s="57">
        <f>IFERROR((VLOOKUP(B455,FONT!$W$5:$X$1091,2,0)),0)</f>
        <v>0</v>
      </c>
      <c r="G455" s="56">
        <f>IFERROR((VLOOKUP(B455,PENDIENTES!$L$5:$M$561,2,0)),0)</f>
        <v>0</v>
      </c>
    </row>
    <row r="456" spans="3:7" x14ac:dyDescent="0.25">
      <c r="C456" s="57">
        <f>IFERROR((VLOOKUP(B456,FONT!$W$5:$X$1091,2,0)),0)</f>
        <v>0</v>
      </c>
      <c r="G456" s="56">
        <f>IFERROR((VLOOKUP(B456,PENDIENTES!$L$5:$M$561,2,0)),0)</f>
        <v>0</v>
      </c>
    </row>
    <row r="457" spans="3:7" x14ac:dyDescent="0.25">
      <c r="C457" s="57">
        <f>IFERROR((VLOOKUP(B457,FONT!$W$5:$X$1091,2,0)),0)</f>
        <v>0</v>
      </c>
      <c r="G457" s="56">
        <f>IFERROR((VLOOKUP(B457,PENDIENTES!$L$5:$M$561,2,0)),0)</f>
        <v>0</v>
      </c>
    </row>
    <row r="458" spans="3:7" x14ac:dyDescent="0.25">
      <c r="C458" s="57">
        <f>IFERROR((VLOOKUP(B458,FONT!$W$5:$X$1091,2,0)),0)</f>
        <v>0</v>
      </c>
      <c r="G458" s="56">
        <f>IFERROR((VLOOKUP(B458,PENDIENTES!$L$5:$M$561,2,0)),0)</f>
        <v>0</v>
      </c>
    </row>
    <row r="459" spans="3:7" x14ac:dyDescent="0.25">
      <c r="C459" s="57">
        <f>IFERROR((VLOOKUP(B459,FONT!$W$5:$X$1091,2,0)),0)</f>
        <v>0</v>
      </c>
      <c r="G459" s="56">
        <f>IFERROR((VLOOKUP(B459,PENDIENTES!$L$5:$M$561,2,0)),0)</f>
        <v>0</v>
      </c>
    </row>
    <row r="460" spans="3:7" x14ac:dyDescent="0.25">
      <c r="C460" s="57">
        <f>IFERROR((VLOOKUP(B460,FONT!$W$5:$X$1091,2,0)),0)</f>
        <v>0</v>
      </c>
      <c r="G460" s="56">
        <f>IFERROR((VLOOKUP(B460,PENDIENTES!$L$5:$M$561,2,0)),0)</f>
        <v>0</v>
      </c>
    </row>
    <row r="461" spans="3:7" x14ac:dyDescent="0.25">
      <c r="C461" s="57">
        <f>IFERROR((VLOOKUP(B461,FONT!$W$5:$X$1091,2,0)),0)</f>
        <v>0</v>
      </c>
      <c r="G461" s="56">
        <f>IFERROR((VLOOKUP(B461,PENDIENTES!$L$5:$M$561,2,0)),0)</f>
        <v>0</v>
      </c>
    </row>
    <row r="462" spans="3:7" x14ac:dyDescent="0.25">
      <c r="C462" s="57">
        <f>IFERROR((VLOOKUP(B462,FONT!$W$5:$X$1091,2,0)),0)</f>
        <v>0</v>
      </c>
      <c r="G462" s="56">
        <f>IFERROR((VLOOKUP(B462,PENDIENTES!$L$5:$M$561,2,0)),0)</f>
        <v>0</v>
      </c>
    </row>
    <row r="463" spans="3:7" x14ac:dyDescent="0.25">
      <c r="C463" s="57">
        <f>IFERROR((VLOOKUP(B463,FONT!$W$5:$X$1091,2,0)),0)</f>
        <v>0</v>
      </c>
      <c r="G463" s="56">
        <f>IFERROR((VLOOKUP(B463,PENDIENTES!$L$5:$M$561,2,0)),0)</f>
        <v>0</v>
      </c>
    </row>
    <row r="464" spans="3:7" x14ac:dyDescent="0.25">
      <c r="C464" s="57">
        <f>IFERROR((VLOOKUP(B464,FONT!$W$5:$X$1091,2,0)),0)</f>
        <v>0</v>
      </c>
      <c r="G464" s="56">
        <f>IFERROR((VLOOKUP(B464,PENDIENTES!$L$5:$M$561,2,0)),0)</f>
        <v>0</v>
      </c>
    </row>
    <row r="465" spans="3:7" x14ac:dyDescent="0.25">
      <c r="C465" s="57">
        <f>IFERROR((VLOOKUP(B465,FONT!$W$5:$X$1091,2,0)),0)</f>
        <v>0</v>
      </c>
      <c r="G465" s="56">
        <f>IFERROR((VLOOKUP(B465,PENDIENTES!$L$5:$M$561,2,0)),0)</f>
        <v>0</v>
      </c>
    </row>
    <row r="466" spans="3:7" x14ac:dyDescent="0.25">
      <c r="C466" s="57">
        <f>IFERROR((VLOOKUP(B466,FONT!$W$5:$X$1091,2,0)),0)</f>
        <v>0</v>
      </c>
      <c r="G466" s="56">
        <f>IFERROR((VLOOKUP(B466,PENDIENTES!$L$5:$M$561,2,0)),0)</f>
        <v>0</v>
      </c>
    </row>
    <row r="467" spans="3:7" x14ac:dyDescent="0.25">
      <c r="C467" s="57">
        <f>IFERROR((VLOOKUP(B467,FONT!$W$5:$X$1091,2,0)),0)</f>
        <v>0</v>
      </c>
      <c r="G467" s="56">
        <f>IFERROR((VLOOKUP(B467,PENDIENTES!$L$5:$M$561,2,0)),0)</f>
        <v>0</v>
      </c>
    </row>
    <row r="468" spans="3:7" x14ac:dyDescent="0.25">
      <c r="C468" s="57">
        <f>IFERROR((VLOOKUP(B468,FONT!$W$5:$X$1091,2,0)),0)</f>
        <v>0</v>
      </c>
      <c r="G468" s="56">
        <f>IFERROR((VLOOKUP(B468,PENDIENTES!$L$5:$M$561,2,0)),0)</f>
        <v>0</v>
      </c>
    </row>
    <row r="469" spans="3:7" x14ac:dyDescent="0.25">
      <c r="C469" s="57">
        <f>IFERROR((VLOOKUP(B469,FONT!$W$5:$X$1091,2,0)),0)</f>
        <v>0</v>
      </c>
      <c r="G469" s="56">
        <f>IFERROR((VLOOKUP(B469,PENDIENTES!$L$5:$M$561,2,0)),0)</f>
        <v>0</v>
      </c>
    </row>
    <row r="470" spans="3:7" x14ac:dyDescent="0.25">
      <c r="C470" s="57">
        <f>IFERROR((VLOOKUP(B470,FONT!$W$5:$X$1091,2,0)),0)</f>
        <v>0</v>
      </c>
      <c r="G470" s="56">
        <f>IFERROR((VLOOKUP(B470,PENDIENTES!$L$5:$M$561,2,0)),0)</f>
        <v>0</v>
      </c>
    </row>
    <row r="471" spans="3:7" x14ac:dyDescent="0.25">
      <c r="C471" s="57">
        <f>IFERROR((VLOOKUP(B471,FONT!$W$5:$X$1091,2,0)),0)</f>
        <v>0</v>
      </c>
      <c r="G471" s="56">
        <f>IFERROR((VLOOKUP(B471,PENDIENTES!$L$5:$M$561,2,0)),0)</f>
        <v>0</v>
      </c>
    </row>
    <row r="472" spans="3:7" x14ac:dyDescent="0.25">
      <c r="C472" s="57">
        <f>IFERROR((VLOOKUP(B472,FONT!$W$5:$X$1091,2,0)),0)</f>
        <v>0</v>
      </c>
      <c r="G472" s="56">
        <f>IFERROR((VLOOKUP(B472,PENDIENTES!$L$5:$M$561,2,0)),0)</f>
        <v>0</v>
      </c>
    </row>
    <row r="473" spans="3:7" x14ac:dyDescent="0.25">
      <c r="C473" s="57">
        <f>IFERROR((VLOOKUP(B473,FONT!$W$5:$X$1091,2,0)),0)</f>
        <v>0</v>
      </c>
      <c r="G473" s="56">
        <f>IFERROR((VLOOKUP(B473,PENDIENTES!$L$5:$M$561,2,0)),0)</f>
        <v>0</v>
      </c>
    </row>
    <row r="474" spans="3:7" x14ac:dyDescent="0.25">
      <c r="C474" s="57">
        <f>IFERROR((VLOOKUP(B474,FONT!$W$5:$X$1091,2,0)),0)</f>
        <v>0</v>
      </c>
      <c r="G474" s="56">
        <f>IFERROR((VLOOKUP(B474,PENDIENTES!$L$5:$M$561,2,0)),0)</f>
        <v>0</v>
      </c>
    </row>
    <row r="475" spans="3:7" x14ac:dyDescent="0.25">
      <c r="C475" s="57">
        <f>IFERROR((VLOOKUP(B475,FONT!$W$5:$X$1091,2,0)),0)</f>
        <v>0</v>
      </c>
      <c r="G475" s="56">
        <f>IFERROR((VLOOKUP(B475,PENDIENTES!$L$5:$M$561,2,0)),0)</f>
        <v>0</v>
      </c>
    </row>
    <row r="476" spans="3:7" x14ac:dyDescent="0.25">
      <c r="C476" s="57">
        <f>IFERROR((VLOOKUP(B476,FONT!$W$5:$X$1091,2,0)),0)</f>
        <v>0</v>
      </c>
      <c r="G476" s="56">
        <f>IFERROR((VLOOKUP(B476,PENDIENTES!$L$5:$M$561,2,0)),0)</f>
        <v>0</v>
      </c>
    </row>
    <row r="477" spans="3:7" x14ac:dyDescent="0.25">
      <c r="C477" s="57">
        <f>IFERROR((VLOOKUP(B477,FONT!$W$5:$X$1091,2,0)),0)</f>
        <v>0</v>
      </c>
      <c r="G477" s="56">
        <f>IFERROR((VLOOKUP(B477,PENDIENTES!$L$5:$M$561,2,0)),0)</f>
        <v>0</v>
      </c>
    </row>
    <row r="478" spans="3:7" x14ac:dyDescent="0.25">
      <c r="C478" s="57">
        <f>IFERROR((VLOOKUP(B478,FONT!$W$5:$X$1091,2,0)),0)</f>
        <v>0</v>
      </c>
      <c r="G478" s="56">
        <f>IFERROR((VLOOKUP(B478,PENDIENTES!$L$5:$M$561,2,0)),0)</f>
        <v>0</v>
      </c>
    </row>
    <row r="479" spans="3:7" x14ac:dyDescent="0.25">
      <c r="C479" s="57">
        <f>IFERROR((VLOOKUP(B479,FONT!$W$5:$X$1091,2,0)),0)</f>
        <v>0</v>
      </c>
      <c r="G479" s="56">
        <f>IFERROR((VLOOKUP(B479,PENDIENTES!$L$5:$M$561,2,0)),0)</f>
        <v>0</v>
      </c>
    </row>
    <row r="480" spans="3:7" x14ac:dyDescent="0.25">
      <c r="C480" s="57">
        <f>IFERROR((VLOOKUP(B480,FONT!$W$5:$X$1091,2,0)),0)</f>
        <v>0</v>
      </c>
      <c r="G480" s="56">
        <f>IFERROR((VLOOKUP(B480,PENDIENTES!$L$5:$M$561,2,0)),0)</f>
        <v>0</v>
      </c>
    </row>
    <row r="481" spans="3:7" x14ac:dyDescent="0.25">
      <c r="C481" s="57">
        <f>IFERROR((VLOOKUP(B481,FONT!$W$5:$X$1091,2,0)),0)</f>
        <v>0</v>
      </c>
      <c r="G481" s="56">
        <f>IFERROR((VLOOKUP(B481,PENDIENTES!$L$5:$M$561,2,0)),0)</f>
        <v>0</v>
      </c>
    </row>
    <row r="482" spans="3:7" x14ac:dyDescent="0.25">
      <c r="C482" s="57">
        <f>IFERROR((VLOOKUP(B482,FONT!$W$5:$X$1091,2,0)),0)</f>
        <v>0</v>
      </c>
      <c r="G482" s="56">
        <f>IFERROR((VLOOKUP(B482,PENDIENTES!$L$5:$M$561,2,0)),0)</f>
        <v>0</v>
      </c>
    </row>
    <row r="483" spans="3:7" x14ac:dyDescent="0.25">
      <c r="C483" s="57">
        <f>IFERROR((VLOOKUP(B483,FONT!$W$5:$X$1091,2,0)),0)</f>
        <v>0</v>
      </c>
      <c r="G483" s="56">
        <f>IFERROR((VLOOKUP(B483,PENDIENTES!$L$5:$M$561,2,0)),0)</f>
        <v>0</v>
      </c>
    </row>
    <row r="484" spans="3:7" x14ac:dyDescent="0.25">
      <c r="C484" s="57">
        <f>IFERROR((VLOOKUP(B484,FONT!$W$5:$X$1091,2,0)),0)</f>
        <v>0</v>
      </c>
      <c r="G484" s="56">
        <f>IFERROR((VLOOKUP(B484,PENDIENTES!$L$5:$M$561,2,0)),0)</f>
        <v>0</v>
      </c>
    </row>
    <row r="485" spans="3:7" x14ac:dyDescent="0.25">
      <c r="C485" s="57">
        <f>IFERROR((VLOOKUP(B485,FONT!$W$5:$X$1091,2,0)),0)</f>
        <v>0</v>
      </c>
      <c r="G485" s="56">
        <f>IFERROR((VLOOKUP(B485,PENDIENTES!$L$5:$M$561,2,0)),0)</f>
        <v>0</v>
      </c>
    </row>
    <row r="486" spans="3:7" x14ac:dyDescent="0.25">
      <c r="C486" s="57">
        <f>IFERROR((VLOOKUP(B486,FONT!$W$5:$X$1091,2,0)),0)</f>
        <v>0</v>
      </c>
      <c r="G486" s="56">
        <f>IFERROR((VLOOKUP(B486,PENDIENTES!$L$5:$M$561,2,0)),0)</f>
        <v>0</v>
      </c>
    </row>
    <row r="487" spans="3:7" x14ac:dyDescent="0.25">
      <c r="C487" s="57">
        <f>IFERROR((VLOOKUP(B487,FONT!$W$5:$X$1091,2,0)),0)</f>
        <v>0</v>
      </c>
      <c r="G487" s="56">
        <f>IFERROR((VLOOKUP(B487,PENDIENTES!$L$5:$M$561,2,0)),0)</f>
        <v>0</v>
      </c>
    </row>
    <row r="488" spans="3:7" x14ac:dyDescent="0.25">
      <c r="C488" s="57">
        <f>IFERROR((VLOOKUP(B488,FONT!$W$5:$X$1091,2,0)),0)</f>
        <v>0</v>
      </c>
      <c r="G488" s="56">
        <f>IFERROR((VLOOKUP(B488,PENDIENTES!$L$5:$M$561,2,0)),0)</f>
        <v>0</v>
      </c>
    </row>
    <row r="489" spans="3:7" x14ac:dyDescent="0.25">
      <c r="C489" s="57">
        <f>IFERROR((VLOOKUP(B489,FONT!$W$5:$X$1091,2,0)),0)</f>
        <v>0</v>
      </c>
      <c r="G489" s="56">
        <f>IFERROR((VLOOKUP(B489,PENDIENTES!$L$5:$M$561,2,0)),0)</f>
        <v>0</v>
      </c>
    </row>
    <row r="490" spans="3:7" x14ac:dyDescent="0.25">
      <c r="C490" s="57">
        <f>IFERROR((VLOOKUP(B490,FONT!$W$5:$X$1091,2,0)),0)</f>
        <v>0</v>
      </c>
      <c r="G490" s="56">
        <f>IFERROR((VLOOKUP(B490,PENDIENTES!$L$5:$M$561,2,0)),0)</f>
        <v>0</v>
      </c>
    </row>
    <row r="491" spans="3:7" x14ac:dyDescent="0.25">
      <c r="C491" s="57">
        <f>IFERROR((VLOOKUP(B491,FONT!$W$5:$X$1091,2,0)),0)</f>
        <v>0</v>
      </c>
      <c r="G491" s="56">
        <f>IFERROR((VLOOKUP(B491,PENDIENTES!$L$5:$M$561,2,0)),0)</f>
        <v>0</v>
      </c>
    </row>
    <row r="492" spans="3:7" x14ac:dyDescent="0.25">
      <c r="C492" s="57">
        <f>IFERROR((VLOOKUP(B492,FONT!$W$5:$X$1091,2,0)),0)</f>
        <v>0</v>
      </c>
      <c r="G492" s="56">
        <f>IFERROR((VLOOKUP(B492,PENDIENTES!$L$5:$M$561,2,0)),0)</f>
        <v>0</v>
      </c>
    </row>
    <row r="493" spans="3:7" x14ac:dyDescent="0.25">
      <c r="C493" s="57">
        <f>IFERROR((VLOOKUP(B493,FONT!$W$5:$X$1091,2,0)),0)</f>
        <v>0</v>
      </c>
      <c r="G493" s="56">
        <f>IFERROR((VLOOKUP(B493,PENDIENTES!$L$5:$M$561,2,0)),0)</f>
        <v>0</v>
      </c>
    </row>
    <row r="494" spans="3:7" x14ac:dyDescent="0.25">
      <c r="C494" s="57">
        <f>IFERROR((VLOOKUP(B494,FONT!$W$5:$X$1091,2,0)),0)</f>
        <v>0</v>
      </c>
      <c r="G494" s="56">
        <f>IFERROR((VLOOKUP(B494,PENDIENTES!$L$5:$M$561,2,0)),0)</f>
        <v>0</v>
      </c>
    </row>
    <row r="495" spans="3:7" x14ac:dyDescent="0.25">
      <c r="C495" s="57">
        <f>IFERROR((VLOOKUP(B495,FONT!$W$5:$X$1091,2,0)),0)</f>
        <v>0</v>
      </c>
      <c r="G495" s="56">
        <f>IFERROR((VLOOKUP(B495,PENDIENTES!$L$5:$M$561,2,0)),0)</f>
        <v>0</v>
      </c>
    </row>
    <row r="496" spans="3:7" x14ac:dyDescent="0.25">
      <c r="C496" s="57">
        <f>IFERROR((VLOOKUP(B496,FONT!$W$5:$X$1091,2,0)),0)</f>
        <v>0</v>
      </c>
      <c r="G496" s="56">
        <f>IFERROR((VLOOKUP(B496,PENDIENTES!$L$5:$M$561,2,0)),0)</f>
        <v>0</v>
      </c>
    </row>
    <row r="497" spans="3:7" x14ac:dyDescent="0.25">
      <c r="C497" s="57">
        <f>IFERROR((VLOOKUP(B497,FONT!$W$5:$X$1091,2,0)),0)</f>
        <v>0</v>
      </c>
      <c r="G497" s="56">
        <f>IFERROR((VLOOKUP(B497,PENDIENTES!$L$5:$M$561,2,0)),0)</f>
        <v>0</v>
      </c>
    </row>
    <row r="498" spans="3:7" x14ac:dyDescent="0.25">
      <c r="C498" s="57">
        <f>IFERROR((VLOOKUP(B498,FONT!$W$5:$X$1091,2,0)),0)</f>
        <v>0</v>
      </c>
      <c r="G498" s="56">
        <f>IFERROR((VLOOKUP(B498,PENDIENTES!$L$5:$M$561,2,0)),0)</f>
        <v>0</v>
      </c>
    </row>
    <row r="499" spans="3:7" x14ac:dyDescent="0.25">
      <c r="C499" s="57">
        <f>IFERROR((VLOOKUP(B499,FONT!$W$5:$X$1091,2,0)),0)</f>
        <v>0</v>
      </c>
      <c r="G499" s="56">
        <f>IFERROR((VLOOKUP(B499,PENDIENTES!$L$5:$M$561,2,0)),0)</f>
        <v>0</v>
      </c>
    </row>
    <row r="500" spans="3:7" x14ac:dyDescent="0.25">
      <c r="C500" s="57">
        <f>IFERROR((VLOOKUP(B500,FONT!$W$5:$X$1091,2,0)),0)</f>
        <v>0</v>
      </c>
      <c r="G500" s="56">
        <f>IFERROR((VLOOKUP(B500,PENDIENTES!$L$5:$M$561,2,0)),0)</f>
        <v>0</v>
      </c>
    </row>
    <row r="501" spans="3:7" x14ac:dyDescent="0.25">
      <c r="C501" s="57">
        <f>IFERROR((VLOOKUP(B501,FONT!$W$5:$X$1091,2,0)),0)</f>
        <v>0</v>
      </c>
      <c r="G501" s="56">
        <f>IFERROR((VLOOKUP(B501,PENDIENTES!$L$5:$M$561,2,0)),0)</f>
        <v>0</v>
      </c>
    </row>
    <row r="502" spans="3:7" x14ac:dyDescent="0.25">
      <c r="C502" s="57">
        <f>IFERROR((VLOOKUP(B502,FONT!$W$5:$X$1091,2,0)),0)</f>
        <v>0</v>
      </c>
      <c r="G502" s="56">
        <f>IFERROR((VLOOKUP(B502,PENDIENTES!$L$5:$M$561,2,0)),0)</f>
        <v>0</v>
      </c>
    </row>
    <row r="503" spans="3:7" x14ac:dyDescent="0.25">
      <c r="C503" s="57">
        <f>IFERROR((VLOOKUP(B503,FONT!$W$5:$X$1091,2,0)),0)</f>
        <v>0</v>
      </c>
      <c r="G503" s="56">
        <f>IFERROR((VLOOKUP(B503,PENDIENTES!$L$5:$M$561,2,0)),0)</f>
        <v>0</v>
      </c>
    </row>
    <row r="504" spans="3:7" x14ac:dyDescent="0.25">
      <c r="C504" s="57">
        <f>IFERROR((VLOOKUP(B504,FONT!$W$5:$X$1091,2,0)),0)</f>
        <v>0</v>
      </c>
      <c r="G504" s="56">
        <f>IFERROR((VLOOKUP(B504,PENDIENTES!$L$5:$M$561,2,0)),0)</f>
        <v>0</v>
      </c>
    </row>
    <row r="505" spans="3:7" x14ac:dyDescent="0.25">
      <c r="C505" s="57">
        <f>IFERROR((VLOOKUP(B505,FONT!$W$5:$X$1091,2,0)),0)</f>
        <v>0</v>
      </c>
      <c r="G505" s="56">
        <f>IFERROR((VLOOKUP(B505,PENDIENTES!$L$5:$M$561,2,0)),0)</f>
        <v>0</v>
      </c>
    </row>
    <row r="506" spans="3:7" x14ac:dyDescent="0.25">
      <c r="C506" s="57">
        <f>IFERROR((VLOOKUP(B506,FONT!$W$5:$X$1091,2,0)),0)</f>
        <v>0</v>
      </c>
      <c r="G506" s="56">
        <f>IFERROR((VLOOKUP(B506,PENDIENTES!$L$5:$M$561,2,0)),0)</f>
        <v>0</v>
      </c>
    </row>
    <row r="507" spans="3:7" x14ac:dyDescent="0.25">
      <c r="C507" s="57">
        <f>IFERROR((VLOOKUP(B507,FONT!$W$5:$X$1091,2,0)),0)</f>
        <v>0</v>
      </c>
      <c r="G507" s="56">
        <f>IFERROR((VLOOKUP(B507,PENDIENTES!$L$5:$M$561,2,0)),0)</f>
        <v>0</v>
      </c>
    </row>
    <row r="508" spans="3:7" x14ac:dyDescent="0.25">
      <c r="C508" s="57">
        <f>IFERROR((VLOOKUP(B508,FONT!$W$5:$X$1091,2,0)),0)</f>
        <v>0</v>
      </c>
      <c r="G508" s="56">
        <f>IFERROR((VLOOKUP(B508,PENDIENTES!$L$5:$M$561,2,0)),0)</f>
        <v>0</v>
      </c>
    </row>
    <row r="509" spans="3:7" x14ac:dyDescent="0.25">
      <c r="C509" s="57">
        <f>IFERROR((VLOOKUP(B509,FONT!$W$5:$X$1091,2,0)),0)</f>
        <v>0</v>
      </c>
      <c r="G509" s="56">
        <f>IFERROR((VLOOKUP(B509,PENDIENTES!$L$5:$M$561,2,0)),0)</f>
        <v>0</v>
      </c>
    </row>
    <row r="510" spans="3:7" x14ac:dyDescent="0.25">
      <c r="C510" s="57">
        <f>IFERROR((VLOOKUP(B510,FONT!$W$5:$X$1091,2,0)),0)</f>
        <v>0</v>
      </c>
      <c r="G510" s="56">
        <f>IFERROR((VLOOKUP(B510,PENDIENTES!$L$5:$M$561,2,0)),0)</f>
        <v>0</v>
      </c>
    </row>
    <row r="511" spans="3:7" x14ac:dyDescent="0.25">
      <c r="C511" s="57">
        <f>IFERROR((VLOOKUP(B511,FONT!$W$5:$X$1091,2,0)),0)</f>
        <v>0</v>
      </c>
      <c r="G511" s="56">
        <f>IFERROR((VLOOKUP(B511,PENDIENTES!$L$5:$M$561,2,0)),0)</f>
        <v>0</v>
      </c>
    </row>
    <row r="512" spans="3:7" x14ac:dyDescent="0.25">
      <c r="C512" s="57">
        <f>IFERROR((VLOOKUP(B512,FONT!$W$5:$X$1091,2,0)),0)</f>
        <v>0</v>
      </c>
      <c r="G512" s="56">
        <f>IFERROR((VLOOKUP(B512,PENDIENTES!$L$5:$M$561,2,0)),0)</f>
        <v>0</v>
      </c>
    </row>
    <row r="513" spans="3:7" x14ac:dyDescent="0.25">
      <c r="C513" s="57">
        <f>IFERROR((VLOOKUP(B513,FONT!$W$5:$X$1091,2,0)),0)</f>
        <v>0</v>
      </c>
      <c r="G513" s="56">
        <f>IFERROR((VLOOKUP(B513,PENDIENTES!$L$5:$M$561,2,0)),0)</f>
        <v>0</v>
      </c>
    </row>
    <row r="514" spans="3:7" x14ac:dyDescent="0.25">
      <c r="C514" s="57">
        <f>IFERROR((VLOOKUP(B514,FONT!$W$5:$X$1091,2,0)),0)</f>
        <v>0</v>
      </c>
      <c r="G514" s="56">
        <f>IFERROR((VLOOKUP(B514,PENDIENTES!$L$5:$M$561,2,0)),0)</f>
        <v>0</v>
      </c>
    </row>
    <row r="515" spans="3:7" x14ac:dyDescent="0.25">
      <c r="C515" s="57">
        <f>IFERROR((VLOOKUP(B515,FONT!$W$5:$X$1091,2,0)),0)</f>
        <v>0</v>
      </c>
      <c r="G515" s="56">
        <f>IFERROR((VLOOKUP(B515,PENDIENTES!$L$5:$M$561,2,0)),0)</f>
        <v>0</v>
      </c>
    </row>
    <row r="516" spans="3:7" x14ac:dyDescent="0.25">
      <c r="C516" s="57">
        <f>IFERROR((VLOOKUP(B516,FONT!$W$5:$X$1091,2,0)),0)</f>
        <v>0</v>
      </c>
      <c r="G516" s="56">
        <f>IFERROR((VLOOKUP(B516,PENDIENTES!$L$5:$M$561,2,0)),0)</f>
        <v>0</v>
      </c>
    </row>
    <row r="517" spans="3:7" x14ac:dyDescent="0.25">
      <c r="C517" s="57">
        <f>IFERROR((VLOOKUP(B517,FONT!$W$5:$X$1091,2,0)),0)</f>
        <v>0</v>
      </c>
      <c r="G517" s="56">
        <f>IFERROR((VLOOKUP(B517,PENDIENTES!$L$5:$M$561,2,0)),0)</f>
        <v>0</v>
      </c>
    </row>
    <row r="518" spans="3:7" x14ac:dyDescent="0.25">
      <c r="C518" s="57">
        <f>IFERROR((VLOOKUP(B518,FONT!$W$5:$X$1091,2,0)),0)</f>
        <v>0</v>
      </c>
      <c r="G518" s="56">
        <f>IFERROR((VLOOKUP(B518,PENDIENTES!$L$5:$M$561,2,0)),0)</f>
        <v>0</v>
      </c>
    </row>
    <row r="519" spans="3:7" x14ac:dyDescent="0.25">
      <c r="C519" s="57">
        <f>IFERROR((VLOOKUP(B519,FONT!$W$5:$X$1091,2,0)),0)</f>
        <v>0</v>
      </c>
      <c r="G519" s="56">
        <f>IFERROR((VLOOKUP(B519,PENDIENTES!$L$5:$M$561,2,0)),0)</f>
        <v>0</v>
      </c>
    </row>
    <row r="520" spans="3:7" x14ac:dyDescent="0.25">
      <c r="C520" s="57">
        <f>IFERROR((VLOOKUP(B520,FONT!$W$5:$X$1091,2,0)),0)</f>
        <v>0</v>
      </c>
      <c r="G520" s="56">
        <f>IFERROR((VLOOKUP(B520,PENDIENTES!$L$5:$M$561,2,0)),0)</f>
        <v>0</v>
      </c>
    </row>
    <row r="521" spans="3:7" x14ac:dyDescent="0.25">
      <c r="C521" s="57">
        <f>IFERROR((VLOOKUP(B521,FONT!$W$5:$X$1091,2,0)),0)</f>
        <v>0</v>
      </c>
      <c r="G521" s="56">
        <f>IFERROR((VLOOKUP(B521,PENDIENTES!$L$5:$M$561,2,0)),0)</f>
        <v>0</v>
      </c>
    </row>
    <row r="522" spans="3:7" x14ac:dyDescent="0.25">
      <c r="C522" s="57">
        <f>IFERROR((VLOOKUP(B522,FONT!$W$5:$X$1091,2,0)),0)</f>
        <v>0</v>
      </c>
      <c r="G522" s="56">
        <f>IFERROR((VLOOKUP(B522,PENDIENTES!$L$5:$M$561,2,0)),0)</f>
        <v>0</v>
      </c>
    </row>
    <row r="523" spans="3:7" x14ac:dyDescent="0.25">
      <c r="C523" s="57">
        <f>IFERROR((VLOOKUP(B523,FONT!$W$5:$X$1091,2,0)),0)</f>
        <v>0</v>
      </c>
      <c r="G523" s="56">
        <f>IFERROR((VLOOKUP(B523,PENDIENTES!$L$5:$M$561,2,0)),0)</f>
        <v>0</v>
      </c>
    </row>
    <row r="524" spans="3:7" x14ac:dyDescent="0.25">
      <c r="C524" s="57">
        <f>IFERROR((VLOOKUP(B524,FONT!$W$5:$X$1091,2,0)),0)</f>
        <v>0</v>
      </c>
      <c r="G524" s="56">
        <f>IFERROR((VLOOKUP(B524,PENDIENTES!$L$5:$M$561,2,0)),0)</f>
        <v>0</v>
      </c>
    </row>
    <row r="525" spans="3:7" x14ac:dyDescent="0.25">
      <c r="C525" s="57">
        <f>IFERROR((VLOOKUP(B525,FONT!$W$5:$X$1091,2,0)),0)</f>
        <v>0</v>
      </c>
      <c r="G525" s="56">
        <f>IFERROR((VLOOKUP(B525,PENDIENTES!$L$5:$M$561,2,0)),0)</f>
        <v>0</v>
      </c>
    </row>
    <row r="526" spans="3:7" x14ac:dyDescent="0.25">
      <c r="C526" s="57">
        <f>IFERROR((VLOOKUP(B526,FONT!$W$5:$X$1091,2,0)),0)</f>
        <v>0</v>
      </c>
      <c r="G526" s="56">
        <f>IFERROR((VLOOKUP(B526,PENDIENTES!$L$5:$M$561,2,0)),0)</f>
        <v>0</v>
      </c>
    </row>
    <row r="527" spans="3:7" x14ac:dyDescent="0.25">
      <c r="C527" s="57">
        <f>IFERROR((VLOOKUP(B527,FONT!$W$5:$X$1091,2,0)),0)</f>
        <v>0</v>
      </c>
      <c r="G527" s="56">
        <f>IFERROR((VLOOKUP(B527,PENDIENTES!$L$5:$M$561,2,0)),0)</f>
        <v>0</v>
      </c>
    </row>
    <row r="528" spans="3:7" x14ac:dyDescent="0.25">
      <c r="C528" s="57">
        <f>IFERROR((VLOOKUP(B528,FONT!$W$5:$X$1091,2,0)),0)</f>
        <v>0</v>
      </c>
      <c r="G528" s="56">
        <f>IFERROR((VLOOKUP(B528,PENDIENTES!$L$5:$M$561,2,0)),0)</f>
        <v>0</v>
      </c>
    </row>
    <row r="529" spans="3:7" x14ac:dyDescent="0.25">
      <c r="C529" s="57">
        <f>IFERROR((VLOOKUP(B529,FONT!$W$5:$X$1091,2,0)),0)</f>
        <v>0</v>
      </c>
      <c r="G529" s="56">
        <f>IFERROR((VLOOKUP(B529,PENDIENTES!$L$5:$M$561,2,0)),0)</f>
        <v>0</v>
      </c>
    </row>
    <row r="530" spans="3:7" x14ac:dyDescent="0.25">
      <c r="C530" s="57">
        <f>IFERROR((VLOOKUP(B530,FONT!$W$5:$X$1091,2,0)),0)</f>
        <v>0</v>
      </c>
      <c r="G530" s="56">
        <f>IFERROR((VLOOKUP(B530,PENDIENTES!$L$5:$M$561,2,0)),0)</f>
        <v>0</v>
      </c>
    </row>
    <row r="531" spans="3:7" x14ac:dyDescent="0.25">
      <c r="C531" s="57">
        <f>IFERROR((VLOOKUP(B531,FONT!$W$5:$X$1091,2,0)),0)</f>
        <v>0</v>
      </c>
      <c r="G531" s="56">
        <f>IFERROR((VLOOKUP(B531,PENDIENTES!$L$5:$M$561,2,0)),0)</f>
        <v>0</v>
      </c>
    </row>
    <row r="532" spans="3:7" x14ac:dyDescent="0.25">
      <c r="C532" s="57">
        <f>IFERROR((VLOOKUP(B532,FONT!$W$5:$X$1091,2,0)),0)</f>
        <v>0</v>
      </c>
      <c r="G532" s="56">
        <f>IFERROR((VLOOKUP(B532,PENDIENTES!$L$5:$M$561,2,0)),0)</f>
        <v>0</v>
      </c>
    </row>
    <row r="533" spans="3:7" x14ac:dyDescent="0.25">
      <c r="C533" s="57">
        <f>IFERROR((VLOOKUP(B533,FONT!$W$5:$X$1091,2,0)),0)</f>
        <v>0</v>
      </c>
      <c r="G533" s="56">
        <f>IFERROR((VLOOKUP(B533,PENDIENTES!$L$5:$M$561,2,0)),0)</f>
        <v>0</v>
      </c>
    </row>
    <row r="534" spans="3:7" x14ac:dyDescent="0.25">
      <c r="C534" s="57">
        <f>IFERROR((VLOOKUP(B534,FONT!$W$5:$X$1091,2,0)),0)</f>
        <v>0</v>
      </c>
      <c r="G534" s="56">
        <f>IFERROR((VLOOKUP(B534,PENDIENTES!$L$5:$M$561,2,0)),0)</f>
        <v>0</v>
      </c>
    </row>
    <row r="535" spans="3:7" x14ac:dyDescent="0.25">
      <c r="C535" s="57">
        <f>IFERROR((VLOOKUP(B535,FONT!$W$5:$X$1091,2,0)),0)</f>
        <v>0</v>
      </c>
      <c r="G535" s="56">
        <f>IFERROR((VLOOKUP(B535,PENDIENTES!$L$5:$M$561,2,0)),0)</f>
        <v>0</v>
      </c>
    </row>
    <row r="536" spans="3:7" x14ac:dyDescent="0.25">
      <c r="C536" s="57">
        <f>IFERROR((VLOOKUP(B536,FONT!$W$5:$X$1091,2,0)),0)</f>
        <v>0</v>
      </c>
      <c r="G536" s="56">
        <f>IFERROR((VLOOKUP(B536,PENDIENTES!$L$5:$M$561,2,0)),0)</f>
        <v>0</v>
      </c>
    </row>
    <row r="537" spans="3:7" x14ac:dyDescent="0.25">
      <c r="C537" s="57">
        <f>IFERROR((VLOOKUP(B537,FONT!$W$5:$X$1091,2,0)),0)</f>
        <v>0</v>
      </c>
      <c r="G537" s="56">
        <f>IFERROR((VLOOKUP(B537,PENDIENTES!$L$5:$M$561,2,0)),0)</f>
        <v>0</v>
      </c>
    </row>
    <row r="538" spans="3:7" x14ac:dyDescent="0.25">
      <c r="C538" s="57">
        <f>IFERROR((VLOOKUP(B538,FONT!$W$5:$X$1091,2,0)),0)</f>
        <v>0</v>
      </c>
      <c r="G538" s="56">
        <f>IFERROR((VLOOKUP(B538,PENDIENTES!$L$5:$M$561,2,0)),0)</f>
        <v>0</v>
      </c>
    </row>
    <row r="539" spans="3:7" x14ac:dyDescent="0.25">
      <c r="C539" s="57">
        <f>IFERROR((VLOOKUP(B539,FONT!$W$5:$X$1091,2,0)),0)</f>
        <v>0</v>
      </c>
      <c r="G539" s="56">
        <f>IFERROR((VLOOKUP(B539,PENDIENTES!$L$5:$M$561,2,0)),0)</f>
        <v>0</v>
      </c>
    </row>
    <row r="540" spans="3:7" x14ac:dyDescent="0.25">
      <c r="C540" s="57">
        <f>IFERROR((VLOOKUP(B540,FONT!$W$5:$X$1091,2,0)),0)</f>
        <v>0</v>
      </c>
      <c r="G540" s="56">
        <f>IFERROR((VLOOKUP(B540,PENDIENTES!$L$5:$M$561,2,0)),0)</f>
        <v>0</v>
      </c>
    </row>
    <row r="541" spans="3:7" x14ac:dyDescent="0.25">
      <c r="C541" s="57">
        <f>IFERROR((VLOOKUP(B541,FONT!$W$5:$X$1091,2,0)),0)</f>
        <v>0</v>
      </c>
      <c r="G541" s="56">
        <f>IFERROR((VLOOKUP(B541,PENDIENTES!$L$5:$M$561,2,0)),0)</f>
        <v>0</v>
      </c>
    </row>
    <row r="542" spans="3:7" x14ac:dyDescent="0.25">
      <c r="C542" s="57">
        <f>IFERROR((VLOOKUP(B542,FONT!$W$5:$X$1091,2,0)),0)</f>
        <v>0</v>
      </c>
      <c r="G542" s="56">
        <f>IFERROR((VLOOKUP(B542,PENDIENTES!$L$5:$M$561,2,0)),0)</f>
        <v>0</v>
      </c>
    </row>
    <row r="543" spans="3:7" x14ac:dyDescent="0.25">
      <c r="C543" s="57">
        <f>IFERROR((VLOOKUP(B543,FONT!$W$5:$X$1091,2,0)),0)</f>
        <v>0</v>
      </c>
      <c r="G543" s="56">
        <f>IFERROR((VLOOKUP(B543,PENDIENTES!$L$5:$M$561,2,0)),0)</f>
        <v>0</v>
      </c>
    </row>
    <row r="544" spans="3:7" x14ac:dyDescent="0.25">
      <c r="C544" s="57">
        <f>IFERROR((VLOOKUP(B544,FONT!$W$5:$X$1091,2,0)),0)</f>
        <v>0</v>
      </c>
      <c r="G544" s="56">
        <f>IFERROR((VLOOKUP(B544,PENDIENTES!$L$5:$M$561,2,0)),0)</f>
        <v>0</v>
      </c>
    </row>
    <row r="545" spans="3:7" x14ac:dyDescent="0.25">
      <c r="C545" s="57">
        <f>IFERROR((VLOOKUP(B545,FONT!$W$5:$X$1091,2,0)),0)</f>
        <v>0</v>
      </c>
      <c r="G545" s="56">
        <f>IFERROR((VLOOKUP(B545,PENDIENTES!$L$5:$M$561,2,0)),0)</f>
        <v>0</v>
      </c>
    </row>
    <row r="546" spans="3:7" x14ac:dyDescent="0.25">
      <c r="C546" s="57">
        <f>IFERROR((VLOOKUP(B546,FONT!$W$5:$X$1091,2,0)),0)</f>
        <v>0</v>
      </c>
      <c r="G546" s="56">
        <f>IFERROR((VLOOKUP(B546,PENDIENTES!$L$5:$M$561,2,0)),0)</f>
        <v>0</v>
      </c>
    </row>
    <row r="547" spans="3:7" x14ac:dyDescent="0.25">
      <c r="C547" s="57">
        <f>IFERROR((VLOOKUP(B547,FONT!$W$5:$X$1091,2,0)),0)</f>
        <v>0</v>
      </c>
      <c r="G547" s="56">
        <f>IFERROR((VLOOKUP(B547,PENDIENTES!$L$5:$M$561,2,0)),0)</f>
        <v>0</v>
      </c>
    </row>
    <row r="548" spans="3:7" x14ac:dyDescent="0.25">
      <c r="C548" s="57">
        <f>IFERROR((VLOOKUP(B548,FONT!$W$5:$X$1091,2,0)),0)</f>
        <v>0</v>
      </c>
      <c r="G548" s="56">
        <f>IFERROR((VLOOKUP(B548,PENDIENTES!$L$5:$M$561,2,0)),0)</f>
        <v>0</v>
      </c>
    </row>
    <row r="549" spans="3:7" x14ac:dyDescent="0.25">
      <c r="C549" s="57">
        <f>IFERROR((VLOOKUP(B549,FONT!$W$5:$X$1091,2,0)),0)</f>
        <v>0</v>
      </c>
      <c r="G549" s="56">
        <f>IFERROR((VLOOKUP(B549,PENDIENTES!$L$5:$M$561,2,0)),0)</f>
        <v>0</v>
      </c>
    </row>
    <row r="550" spans="3:7" x14ac:dyDescent="0.25">
      <c r="C550" s="57">
        <f>IFERROR((VLOOKUP(B550,FONT!$W$5:$X$1091,2,0)),0)</f>
        <v>0</v>
      </c>
      <c r="G550" s="56">
        <f>IFERROR((VLOOKUP(B550,PENDIENTES!$L$5:$M$561,2,0)),0)</f>
        <v>0</v>
      </c>
    </row>
    <row r="551" spans="3:7" x14ac:dyDescent="0.25">
      <c r="C551" s="57">
        <f>IFERROR((VLOOKUP(B551,FONT!$W$5:$X$1091,2,0)),0)</f>
        <v>0</v>
      </c>
      <c r="G551" s="56">
        <f>IFERROR((VLOOKUP(B551,PENDIENTES!$L$5:$M$561,2,0)),0)</f>
        <v>0</v>
      </c>
    </row>
    <row r="552" spans="3:7" x14ac:dyDescent="0.25">
      <c r="C552" s="57">
        <f>IFERROR((VLOOKUP(B552,FONT!$W$5:$X$1091,2,0)),0)</f>
        <v>0</v>
      </c>
      <c r="G552" s="56">
        <f>IFERROR((VLOOKUP(B552,PENDIENTES!$L$5:$M$561,2,0)),0)</f>
        <v>0</v>
      </c>
    </row>
    <row r="553" spans="3:7" x14ac:dyDescent="0.25">
      <c r="C553" s="57">
        <f>IFERROR((VLOOKUP(B553,FONT!$W$5:$X$1091,2,0)),0)</f>
        <v>0</v>
      </c>
      <c r="G553" s="56">
        <f>IFERROR((VLOOKUP(B553,PENDIENTES!$L$5:$M$561,2,0)),0)</f>
        <v>0</v>
      </c>
    </row>
    <row r="554" spans="3:7" x14ac:dyDescent="0.25">
      <c r="C554" s="57">
        <f>IFERROR((VLOOKUP(B554,FONT!$W$5:$X$1091,2,0)),0)</f>
        <v>0</v>
      </c>
      <c r="G554" s="56">
        <f>IFERROR((VLOOKUP(B554,PENDIENTES!$L$5:$M$561,2,0)),0)</f>
        <v>0</v>
      </c>
    </row>
    <row r="555" spans="3:7" x14ac:dyDescent="0.25">
      <c r="C555" s="57">
        <f>IFERROR((VLOOKUP(B555,FONT!$W$5:$X$1091,2,0)),0)</f>
        <v>0</v>
      </c>
      <c r="G555" s="56">
        <f>IFERROR((VLOOKUP(B555,PENDIENTES!$L$5:$M$561,2,0)),0)</f>
        <v>0</v>
      </c>
    </row>
    <row r="556" spans="3:7" x14ac:dyDescent="0.25">
      <c r="C556" s="57">
        <f>IFERROR((VLOOKUP(B556,FONT!$W$5:$X$1091,2,0)),0)</f>
        <v>0</v>
      </c>
      <c r="G556" s="56">
        <f>IFERROR((VLOOKUP(B556,PENDIENTES!$L$5:$M$561,2,0)),0)</f>
        <v>0</v>
      </c>
    </row>
    <row r="557" spans="3:7" x14ac:dyDescent="0.25">
      <c r="C557" s="57">
        <f>IFERROR((VLOOKUP(B557,FONT!$W$5:$X$1091,2,0)),0)</f>
        <v>0</v>
      </c>
      <c r="G557" s="56">
        <f>IFERROR((VLOOKUP(B557,PENDIENTES!$L$5:$M$561,2,0)),0)</f>
        <v>0</v>
      </c>
    </row>
    <row r="558" spans="3:7" x14ac:dyDescent="0.25">
      <c r="C558" s="57">
        <f>IFERROR((VLOOKUP(B558,FONT!$W$5:$X$1091,2,0)),0)</f>
        <v>0</v>
      </c>
      <c r="G558" s="56">
        <f>IFERROR((VLOOKUP(B558,PENDIENTES!$L$5:$M$561,2,0)),0)</f>
        <v>0</v>
      </c>
    </row>
    <row r="559" spans="3:7" x14ac:dyDescent="0.25">
      <c r="C559" s="57">
        <f>IFERROR((VLOOKUP(B559,FONT!$W$5:$X$1091,2,0)),0)</f>
        <v>0</v>
      </c>
      <c r="G559" s="56">
        <f>IFERROR((VLOOKUP(B559,PENDIENTES!$L$5:$M$561,2,0)),0)</f>
        <v>0</v>
      </c>
    </row>
    <row r="560" spans="3:7" x14ac:dyDescent="0.25">
      <c r="C560" s="57">
        <f>IFERROR((VLOOKUP(B560,FONT!$W$5:$X$1091,2,0)),0)</f>
        <v>0</v>
      </c>
      <c r="G560" s="56">
        <f>IFERROR((VLOOKUP(B560,PENDIENTES!$L$5:$M$561,2,0)),0)</f>
        <v>0</v>
      </c>
    </row>
    <row r="561" spans="3:7" x14ac:dyDescent="0.25">
      <c r="C561" s="57">
        <f>IFERROR((VLOOKUP(B561,FONT!$W$5:$X$1091,2,0)),0)</f>
        <v>0</v>
      </c>
      <c r="G561" s="56">
        <f>IFERROR((VLOOKUP(B561,PENDIENTES!$L$5:$M$561,2,0)),0)</f>
        <v>0</v>
      </c>
    </row>
    <row r="562" spans="3:7" x14ac:dyDescent="0.25">
      <c r="C562" s="57">
        <f>IFERROR((VLOOKUP(B562,FONT!$W$5:$X$1091,2,0)),0)</f>
        <v>0</v>
      </c>
      <c r="G562" s="56">
        <f>IFERROR((VLOOKUP(B562,PENDIENTES!$L$5:$M$561,2,0)),0)</f>
        <v>0</v>
      </c>
    </row>
    <row r="563" spans="3:7" x14ac:dyDescent="0.25">
      <c r="C563" s="57">
        <f>IFERROR((VLOOKUP(B563,FONT!$W$5:$X$1091,2,0)),0)</f>
        <v>0</v>
      </c>
      <c r="G563" s="56">
        <f>IFERROR((VLOOKUP(B563,PENDIENTES!$L$5:$M$561,2,0)),0)</f>
        <v>0</v>
      </c>
    </row>
    <row r="564" spans="3:7" x14ac:dyDescent="0.25">
      <c r="C564" s="57">
        <f>IFERROR((VLOOKUP(B564,FONT!$W$5:$X$1091,2,0)),0)</f>
        <v>0</v>
      </c>
      <c r="G564" s="56">
        <f>IFERROR((VLOOKUP(B564,PENDIENTES!$L$5:$M$561,2,0)),0)</f>
        <v>0</v>
      </c>
    </row>
    <row r="565" spans="3:7" x14ac:dyDescent="0.25">
      <c r="C565" s="57">
        <f>IFERROR((VLOOKUP(B565,FONT!$W$5:$X$1091,2,0)),0)</f>
        <v>0</v>
      </c>
      <c r="G565" s="56">
        <f>IFERROR((VLOOKUP(B565,PENDIENTES!$L$5:$M$561,2,0)),0)</f>
        <v>0</v>
      </c>
    </row>
    <row r="566" spans="3:7" x14ac:dyDescent="0.25">
      <c r="C566" s="57">
        <f>IFERROR((VLOOKUP(B566,FONT!$W$5:$X$1091,2,0)),0)</f>
        <v>0</v>
      </c>
      <c r="G566" s="56">
        <f>IFERROR((VLOOKUP(B566,PENDIENTES!$L$5:$M$561,2,0)),0)</f>
        <v>0</v>
      </c>
    </row>
    <row r="567" spans="3:7" x14ac:dyDescent="0.25">
      <c r="C567" s="57">
        <f>IFERROR((VLOOKUP(B567,FONT!$W$5:$X$1091,2,0)),0)</f>
        <v>0</v>
      </c>
      <c r="G567" s="56">
        <f>IFERROR((VLOOKUP(B567,PENDIENTES!$L$5:$M$561,2,0)),0)</f>
        <v>0</v>
      </c>
    </row>
    <row r="568" spans="3:7" x14ac:dyDescent="0.25">
      <c r="C568" s="57">
        <f>IFERROR((VLOOKUP(B568,FONT!$W$5:$X$1091,2,0)),0)</f>
        <v>0</v>
      </c>
      <c r="G568" s="56">
        <f>IFERROR((VLOOKUP(B568,PENDIENTES!$L$5:$M$561,2,0)),0)</f>
        <v>0</v>
      </c>
    </row>
    <row r="569" spans="3:7" x14ac:dyDescent="0.25">
      <c r="C569" s="57">
        <f>IFERROR((VLOOKUP(B569,FONT!$W$5:$X$1091,2,0)),0)</f>
        <v>0</v>
      </c>
      <c r="G569" s="56">
        <f>IFERROR((VLOOKUP(B569,PENDIENTES!$L$5:$M$561,2,0)),0)</f>
        <v>0</v>
      </c>
    </row>
    <row r="570" spans="3:7" x14ac:dyDescent="0.25">
      <c r="C570" s="57">
        <f>IFERROR((VLOOKUP(B570,FONT!$W$5:$X$1091,2,0)),0)</f>
        <v>0</v>
      </c>
      <c r="G570" s="56">
        <f>IFERROR((VLOOKUP(B570,PENDIENTES!$L$5:$M$561,2,0)),0)</f>
        <v>0</v>
      </c>
    </row>
    <row r="571" spans="3:7" x14ac:dyDescent="0.25">
      <c r="C571" s="57">
        <f>IFERROR((VLOOKUP(B571,FONT!$W$5:$X$1091,2,0)),0)</f>
        <v>0</v>
      </c>
      <c r="G571" s="56">
        <f>IFERROR((VLOOKUP(B571,PENDIENTES!$L$5:$M$561,2,0)),0)</f>
        <v>0</v>
      </c>
    </row>
    <row r="572" spans="3:7" x14ac:dyDescent="0.25">
      <c r="C572" s="57">
        <f>IFERROR((VLOOKUP(B572,FONT!$W$5:$X$1091,2,0)),0)</f>
        <v>0</v>
      </c>
      <c r="G572" s="56">
        <f>IFERROR((VLOOKUP(B572,PENDIENTES!$L$5:$M$561,2,0)),0)</f>
        <v>0</v>
      </c>
    </row>
    <row r="573" spans="3:7" x14ac:dyDescent="0.25">
      <c r="C573" s="57">
        <f>IFERROR((VLOOKUP(B573,FONT!$W$5:$X$1091,2,0)),0)</f>
        <v>0</v>
      </c>
      <c r="G573" s="56">
        <f>IFERROR((VLOOKUP(B573,PENDIENTES!$L$5:$M$561,2,0)),0)</f>
        <v>0</v>
      </c>
    </row>
    <row r="574" spans="3:7" x14ac:dyDescent="0.25">
      <c r="C574" s="57">
        <f>IFERROR((VLOOKUP(B574,FONT!$W$5:$X$1091,2,0)),0)</f>
        <v>0</v>
      </c>
      <c r="G574" s="56">
        <f>IFERROR((VLOOKUP(B574,PENDIENTES!$L$5:$M$561,2,0)),0)</f>
        <v>0</v>
      </c>
    </row>
    <row r="575" spans="3:7" x14ac:dyDescent="0.25">
      <c r="C575" s="57">
        <f>IFERROR((VLOOKUP(B575,FONT!$W$5:$X$1091,2,0)),0)</f>
        <v>0</v>
      </c>
      <c r="G575" s="56">
        <f>IFERROR((VLOOKUP(B575,PENDIENTES!$L$5:$M$561,2,0)),0)</f>
        <v>0</v>
      </c>
    </row>
    <row r="576" spans="3:7" x14ac:dyDescent="0.25">
      <c r="C576" s="57">
        <f>IFERROR((VLOOKUP(B576,FONT!$W$5:$X$1091,2,0)),0)</f>
        <v>0</v>
      </c>
      <c r="G576" s="56">
        <f>IFERROR((VLOOKUP(B576,PENDIENTES!$L$5:$M$561,2,0)),0)</f>
        <v>0</v>
      </c>
    </row>
    <row r="577" spans="3:7" x14ac:dyDescent="0.25">
      <c r="C577" s="57">
        <f>IFERROR((VLOOKUP(B577,FONT!$W$5:$X$1091,2,0)),0)</f>
        <v>0</v>
      </c>
      <c r="G577" s="56">
        <f>IFERROR((VLOOKUP(B577,PENDIENTES!$L$5:$M$561,2,0)),0)</f>
        <v>0</v>
      </c>
    </row>
    <row r="578" spans="3:7" x14ac:dyDescent="0.25">
      <c r="C578" s="57">
        <f>IFERROR((VLOOKUP(B578,FONT!$W$5:$X$1091,2,0)),0)</f>
        <v>0</v>
      </c>
      <c r="G578" s="56">
        <f>IFERROR((VLOOKUP(B578,PENDIENTES!$L$5:$M$561,2,0)),0)</f>
        <v>0</v>
      </c>
    </row>
    <row r="579" spans="3:7" x14ac:dyDescent="0.25">
      <c r="C579" s="57">
        <f>IFERROR((VLOOKUP(B579,FONT!$W$5:$X$1091,2,0)),0)</f>
        <v>0</v>
      </c>
      <c r="G579" s="56">
        <f>IFERROR((VLOOKUP(B579,PENDIENTES!$L$5:$M$561,2,0)),0)</f>
        <v>0</v>
      </c>
    </row>
    <row r="580" spans="3:7" x14ac:dyDescent="0.25">
      <c r="C580" s="57">
        <f>IFERROR((VLOOKUP(B580,FONT!$W$5:$X$1091,2,0)),0)</f>
        <v>0</v>
      </c>
      <c r="G580" s="56">
        <f>IFERROR((VLOOKUP(B580,PENDIENTES!$L$5:$M$561,2,0)),0)</f>
        <v>0</v>
      </c>
    </row>
    <row r="581" spans="3:7" x14ac:dyDescent="0.25">
      <c r="C581" s="57">
        <f>IFERROR((VLOOKUP(B581,FONT!$W$5:$X$1091,2,0)),0)</f>
        <v>0</v>
      </c>
      <c r="G581" s="56">
        <f>IFERROR((VLOOKUP(B581,PENDIENTES!$L$5:$M$561,2,0)),0)</f>
        <v>0</v>
      </c>
    </row>
    <row r="582" spans="3:7" x14ac:dyDescent="0.25">
      <c r="C582" s="57">
        <f>IFERROR((VLOOKUP(B582,FONT!$W$5:$X$1091,2,0)),0)</f>
        <v>0</v>
      </c>
      <c r="G582" s="56">
        <f>IFERROR((VLOOKUP(B582,PENDIENTES!$L$5:$M$561,2,0)),0)</f>
        <v>0</v>
      </c>
    </row>
    <row r="583" spans="3:7" x14ac:dyDescent="0.25">
      <c r="C583" s="57">
        <f>IFERROR((VLOOKUP(B583,FONT!$W$5:$X$1091,2,0)),0)</f>
        <v>0</v>
      </c>
      <c r="G583" s="56">
        <f>IFERROR((VLOOKUP(B583,PENDIENTES!$L$5:$M$561,2,0)),0)</f>
        <v>0</v>
      </c>
    </row>
    <row r="584" spans="3:7" x14ac:dyDescent="0.25">
      <c r="C584" s="57">
        <f>IFERROR((VLOOKUP(B584,FONT!$W$5:$X$1091,2,0)),0)</f>
        <v>0</v>
      </c>
      <c r="G584" s="56">
        <f>IFERROR((VLOOKUP(B584,PENDIENTES!$L$5:$M$561,2,0)),0)</f>
        <v>0</v>
      </c>
    </row>
    <row r="585" spans="3:7" x14ac:dyDescent="0.25">
      <c r="C585" s="57">
        <f>IFERROR((VLOOKUP(B585,FONT!$W$5:$X$1091,2,0)),0)</f>
        <v>0</v>
      </c>
      <c r="G585" s="56">
        <f>IFERROR((VLOOKUP(B585,PENDIENTES!$L$5:$M$561,2,0)),0)</f>
        <v>0</v>
      </c>
    </row>
    <row r="586" spans="3:7" x14ac:dyDescent="0.25">
      <c r="C586" s="57">
        <f>IFERROR((VLOOKUP(B586,FONT!$W$5:$X$1091,2,0)),0)</f>
        <v>0</v>
      </c>
      <c r="G586" s="56">
        <f>IFERROR((VLOOKUP(B586,PENDIENTES!$L$5:$M$561,2,0)),0)</f>
        <v>0</v>
      </c>
    </row>
    <row r="587" spans="3:7" x14ac:dyDescent="0.25">
      <c r="C587" s="57">
        <f>IFERROR((VLOOKUP(B587,FONT!$W$5:$X$1091,2,0)),0)</f>
        <v>0</v>
      </c>
      <c r="G587" s="56">
        <f>IFERROR((VLOOKUP(B587,PENDIENTES!$L$5:$M$561,2,0)),0)</f>
        <v>0</v>
      </c>
    </row>
    <row r="588" spans="3:7" x14ac:dyDescent="0.25">
      <c r="C588" s="57">
        <f>IFERROR((VLOOKUP(B588,FONT!$W$5:$X$1091,2,0)),0)</f>
        <v>0</v>
      </c>
      <c r="G588" s="56">
        <f>IFERROR((VLOOKUP(B588,PENDIENTES!$L$5:$M$561,2,0)),0)</f>
        <v>0</v>
      </c>
    </row>
    <row r="589" spans="3:7" x14ac:dyDescent="0.25">
      <c r="C589" s="57">
        <f>IFERROR((VLOOKUP(B589,FONT!$W$5:$X$1091,2,0)),0)</f>
        <v>0</v>
      </c>
      <c r="G589" s="56">
        <f>IFERROR((VLOOKUP(B589,PENDIENTES!$L$5:$M$561,2,0)),0)</f>
        <v>0</v>
      </c>
    </row>
    <row r="590" spans="3:7" x14ac:dyDescent="0.25">
      <c r="C590" s="57">
        <f>IFERROR((VLOOKUP(B590,FONT!$W$5:$X$1091,2,0)),0)</f>
        <v>0</v>
      </c>
      <c r="G590" s="56">
        <f>IFERROR((VLOOKUP(B590,PENDIENTES!$L$5:$M$561,2,0)),0)</f>
        <v>0</v>
      </c>
    </row>
    <row r="591" spans="3:7" x14ac:dyDescent="0.25">
      <c r="C591" s="57">
        <f>IFERROR((VLOOKUP(B591,FONT!$W$5:$X$1091,2,0)),0)</f>
        <v>0</v>
      </c>
      <c r="G591" s="56">
        <f>IFERROR((VLOOKUP(B591,PENDIENTES!$L$5:$M$561,2,0)),0)</f>
        <v>0</v>
      </c>
    </row>
    <row r="592" spans="3:7" x14ac:dyDescent="0.25">
      <c r="C592" s="57">
        <f>IFERROR((VLOOKUP(B592,FONT!$W$5:$X$1091,2,0)),0)</f>
        <v>0</v>
      </c>
      <c r="G592" s="56">
        <f>IFERROR((VLOOKUP(B592,PENDIENTES!$L$5:$M$561,2,0)),0)</f>
        <v>0</v>
      </c>
    </row>
    <row r="593" spans="3:7" x14ac:dyDescent="0.25">
      <c r="C593" s="57">
        <f>IFERROR((VLOOKUP(B593,FONT!$W$5:$X$1091,2,0)),0)</f>
        <v>0</v>
      </c>
      <c r="G593" s="56">
        <f>IFERROR((VLOOKUP(B593,PENDIENTES!$L$5:$M$561,2,0)),0)</f>
        <v>0</v>
      </c>
    </row>
    <row r="594" spans="3:7" x14ac:dyDescent="0.25">
      <c r="C594" s="57">
        <f>IFERROR((VLOOKUP(B594,FONT!$W$5:$X$1091,2,0)),0)</f>
        <v>0</v>
      </c>
      <c r="G594" s="56">
        <f>IFERROR((VLOOKUP(B594,PENDIENTES!$L$5:$M$561,2,0)),0)</f>
        <v>0</v>
      </c>
    </row>
    <row r="595" spans="3:7" x14ac:dyDescent="0.25">
      <c r="C595" s="57">
        <f>IFERROR((VLOOKUP(B595,FONT!$W$5:$X$1091,2,0)),0)</f>
        <v>0</v>
      </c>
      <c r="G595" s="56">
        <f>IFERROR((VLOOKUP(B595,PENDIENTES!$L$5:$M$561,2,0)),0)</f>
        <v>0</v>
      </c>
    </row>
    <row r="596" spans="3:7" x14ac:dyDescent="0.25">
      <c r="C596" s="57">
        <f>IFERROR((VLOOKUP(B596,FONT!$W$5:$X$1091,2,0)),0)</f>
        <v>0</v>
      </c>
      <c r="G596" s="56">
        <f>IFERROR((VLOOKUP(B596,PENDIENTES!$L$5:$M$561,2,0)),0)</f>
        <v>0</v>
      </c>
    </row>
    <row r="597" spans="3:7" x14ac:dyDescent="0.25">
      <c r="C597" s="57">
        <f>IFERROR((VLOOKUP(B597,FONT!$W$5:$X$1091,2,0)),0)</f>
        <v>0</v>
      </c>
      <c r="G597" s="56">
        <f>IFERROR((VLOOKUP(B597,PENDIENTES!$L$5:$M$561,2,0)),0)</f>
        <v>0</v>
      </c>
    </row>
    <row r="598" spans="3:7" x14ac:dyDescent="0.25">
      <c r="C598" s="57">
        <f>IFERROR((VLOOKUP(B598,FONT!$W$5:$X$1091,2,0)),0)</f>
        <v>0</v>
      </c>
      <c r="G598" s="56">
        <f>IFERROR((VLOOKUP(B598,PENDIENTES!$L$5:$M$561,2,0)),0)</f>
        <v>0</v>
      </c>
    </row>
    <row r="599" spans="3:7" x14ac:dyDescent="0.25">
      <c r="C599" s="57">
        <f>IFERROR((VLOOKUP(B599,FONT!$W$5:$X$1091,2,0)),0)</f>
        <v>0</v>
      </c>
      <c r="G599" s="56">
        <f>IFERROR((VLOOKUP(B599,PENDIENTES!$L$5:$M$561,2,0)),0)</f>
        <v>0</v>
      </c>
    </row>
    <row r="600" spans="3:7" x14ac:dyDescent="0.25">
      <c r="C600" s="57">
        <f>IFERROR((VLOOKUP(B600,FONT!$W$5:$X$1091,2,0)),0)</f>
        <v>0</v>
      </c>
      <c r="G600" s="56">
        <f>IFERROR((VLOOKUP(B600,PENDIENTES!$L$5:$M$561,2,0)),0)</f>
        <v>0</v>
      </c>
    </row>
    <row r="601" spans="3:7" x14ac:dyDescent="0.25">
      <c r="C601" s="57">
        <f>IFERROR((VLOOKUP(B601,FONT!$W$5:$X$1091,2,0)),0)</f>
        <v>0</v>
      </c>
      <c r="G601" s="56">
        <f>IFERROR((VLOOKUP(B601,PENDIENTES!$L$5:$M$561,2,0)),0)</f>
        <v>0</v>
      </c>
    </row>
    <row r="602" spans="3:7" x14ac:dyDescent="0.25">
      <c r="C602" s="57">
        <f>IFERROR((VLOOKUP(B602,FONT!$W$5:$X$1091,2,0)),0)</f>
        <v>0</v>
      </c>
      <c r="G602" s="56">
        <f>IFERROR((VLOOKUP(B602,PENDIENTES!$L$5:$M$561,2,0)),0)</f>
        <v>0</v>
      </c>
    </row>
    <row r="603" spans="3:7" x14ac:dyDescent="0.25">
      <c r="C603" s="57">
        <f>IFERROR((VLOOKUP(B603,FONT!$W$5:$X$1091,2,0)),0)</f>
        <v>0</v>
      </c>
      <c r="G603" s="56">
        <f>IFERROR((VLOOKUP(B603,PENDIENTES!$L$5:$M$561,2,0)),0)</f>
        <v>0</v>
      </c>
    </row>
    <row r="604" spans="3:7" x14ac:dyDescent="0.25">
      <c r="C604" s="57">
        <f>IFERROR((VLOOKUP(B604,FONT!$W$5:$X$1091,2,0)),0)</f>
        <v>0</v>
      </c>
      <c r="G604" s="56">
        <f>IFERROR((VLOOKUP(B604,PENDIENTES!$L$5:$M$561,2,0)),0)</f>
        <v>0</v>
      </c>
    </row>
    <row r="605" spans="3:7" x14ac:dyDescent="0.25">
      <c r="C605" s="57">
        <f>IFERROR((VLOOKUP(B605,FONT!$W$5:$X$1091,2,0)),0)</f>
        <v>0</v>
      </c>
      <c r="G605" s="56">
        <f>IFERROR((VLOOKUP(B605,PENDIENTES!$L$5:$M$561,2,0)),0)</f>
        <v>0</v>
      </c>
    </row>
    <row r="606" spans="3:7" x14ac:dyDescent="0.25">
      <c r="C606" s="57">
        <f>IFERROR((VLOOKUP(B606,FONT!$W$5:$X$1091,2,0)),0)</f>
        <v>0</v>
      </c>
      <c r="G606" s="56">
        <f>IFERROR((VLOOKUP(B606,PENDIENTES!$L$5:$M$561,2,0)),0)</f>
        <v>0</v>
      </c>
    </row>
    <row r="607" spans="3:7" x14ac:dyDescent="0.25">
      <c r="C607" s="57">
        <f>IFERROR((VLOOKUP(B607,FONT!$W$5:$X$1091,2,0)),0)</f>
        <v>0</v>
      </c>
      <c r="G607" s="56">
        <f>IFERROR((VLOOKUP(B607,PENDIENTES!$L$5:$M$561,2,0)),0)</f>
        <v>0</v>
      </c>
    </row>
    <row r="608" spans="3:7" x14ac:dyDescent="0.25">
      <c r="C608" s="57">
        <f>IFERROR((VLOOKUP(B608,FONT!$W$5:$X$1091,2,0)),0)</f>
        <v>0</v>
      </c>
      <c r="G608" s="56">
        <f>IFERROR((VLOOKUP(B608,PENDIENTES!$L$5:$M$561,2,0)),0)</f>
        <v>0</v>
      </c>
    </row>
    <row r="609" spans="3:7" x14ac:dyDescent="0.25">
      <c r="C609" s="57">
        <f>IFERROR((VLOOKUP(B609,FONT!$W$5:$X$1091,2,0)),0)</f>
        <v>0</v>
      </c>
      <c r="G609" s="56">
        <f>IFERROR((VLOOKUP(B609,PENDIENTES!$L$5:$M$561,2,0)),0)</f>
        <v>0</v>
      </c>
    </row>
    <row r="610" spans="3:7" x14ac:dyDescent="0.25">
      <c r="C610" s="57">
        <f>IFERROR((VLOOKUP(B610,FONT!$W$5:$X$1091,2,0)),0)</f>
        <v>0</v>
      </c>
      <c r="G610" s="56">
        <f>IFERROR((VLOOKUP(B610,PENDIENTES!$L$5:$M$561,2,0)),0)</f>
        <v>0</v>
      </c>
    </row>
    <row r="611" spans="3:7" x14ac:dyDescent="0.25">
      <c r="C611" s="57">
        <f>IFERROR((VLOOKUP(B611,FONT!$W$5:$X$1091,2,0)),0)</f>
        <v>0</v>
      </c>
      <c r="G611" s="56">
        <f>IFERROR((VLOOKUP(B611,PENDIENTES!$L$5:$M$561,2,0)),0)</f>
        <v>0</v>
      </c>
    </row>
    <row r="612" spans="3:7" x14ac:dyDescent="0.25">
      <c r="C612" s="57">
        <f>IFERROR((VLOOKUP(B612,FONT!$W$5:$X$1091,2,0)),0)</f>
        <v>0</v>
      </c>
      <c r="G612" s="56">
        <f>IFERROR((VLOOKUP(B612,PENDIENTES!$L$5:$M$561,2,0)),0)</f>
        <v>0</v>
      </c>
    </row>
    <row r="613" spans="3:7" x14ac:dyDescent="0.25">
      <c r="C613" s="57">
        <f>IFERROR((VLOOKUP(B613,FONT!$W$5:$X$1091,2,0)),0)</f>
        <v>0</v>
      </c>
      <c r="G613" s="56">
        <f>IFERROR((VLOOKUP(B613,PENDIENTES!$L$5:$M$561,2,0)),0)</f>
        <v>0</v>
      </c>
    </row>
    <row r="614" spans="3:7" x14ac:dyDescent="0.25">
      <c r="C614" s="57">
        <f>IFERROR((VLOOKUP(B614,FONT!$W$5:$X$1091,2,0)),0)</f>
        <v>0</v>
      </c>
      <c r="G614" s="56">
        <f>IFERROR((VLOOKUP(B614,PENDIENTES!$L$5:$M$561,2,0)),0)</f>
        <v>0</v>
      </c>
    </row>
    <row r="615" spans="3:7" x14ac:dyDescent="0.25">
      <c r="C615" s="57">
        <f>IFERROR((VLOOKUP(B615,FONT!$W$5:$X$1091,2,0)),0)</f>
        <v>0</v>
      </c>
      <c r="G615" s="56">
        <f>IFERROR((VLOOKUP(B615,PENDIENTES!$L$5:$M$561,2,0)),0)</f>
        <v>0</v>
      </c>
    </row>
    <row r="616" spans="3:7" x14ac:dyDescent="0.25">
      <c r="C616" s="57">
        <f>IFERROR((VLOOKUP(B616,FONT!$W$5:$X$1091,2,0)),0)</f>
        <v>0</v>
      </c>
      <c r="G616" s="56">
        <f>IFERROR((VLOOKUP(B616,PENDIENTES!$L$5:$M$561,2,0)),0)</f>
        <v>0</v>
      </c>
    </row>
    <row r="617" spans="3:7" x14ac:dyDescent="0.25">
      <c r="C617" s="57">
        <f>IFERROR((VLOOKUP(B617,FONT!$W$5:$X$1091,2,0)),0)</f>
        <v>0</v>
      </c>
      <c r="G617" s="56">
        <f>IFERROR((VLOOKUP(B617,PENDIENTES!$L$5:$M$561,2,0)),0)</f>
        <v>0</v>
      </c>
    </row>
    <row r="618" spans="3:7" x14ac:dyDescent="0.25">
      <c r="C618" s="57">
        <f>IFERROR((VLOOKUP(B618,FONT!$W$5:$X$1091,2,0)),0)</f>
        <v>0</v>
      </c>
      <c r="G618" s="56">
        <f>IFERROR((VLOOKUP(B618,PENDIENTES!$L$5:$M$561,2,0)),0)</f>
        <v>0</v>
      </c>
    </row>
    <row r="619" spans="3:7" x14ac:dyDescent="0.25">
      <c r="C619" s="57">
        <f>IFERROR((VLOOKUP(B619,FONT!$W$5:$X$1091,2,0)),0)</f>
        <v>0</v>
      </c>
      <c r="G619" s="56">
        <f>IFERROR((VLOOKUP(B619,PENDIENTES!$L$5:$M$561,2,0)),0)</f>
        <v>0</v>
      </c>
    </row>
    <row r="620" spans="3:7" x14ac:dyDescent="0.25">
      <c r="C620" s="57">
        <f>IFERROR((VLOOKUP(B620,FONT!$W$5:$X$1091,2,0)),0)</f>
        <v>0</v>
      </c>
      <c r="G620" s="56">
        <f>IFERROR((VLOOKUP(B620,PENDIENTES!$L$5:$M$561,2,0)),0)</f>
        <v>0</v>
      </c>
    </row>
    <row r="621" spans="3:7" x14ac:dyDescent="0.25">
      <c r="C621" s="57">
        <f>IFERROR((VLOOKUP(B621,FONT!$W$5:$X$1091,2,0)),0)</f>
        <v>0</v>
      </c>
      <c r="G621" s="56">
        <f>IFERROR((VLOOKUP(B621,PENDIENTES!$L$5:$M$561,2,0)),0)</f>
        <v>0</v>
      </c>
    </row>
    <row r="622" spans="3:7" x14ac:dyDescent="0.25">
      <c r="C622" s="57">
        <f>IFERROR((VLOOKUP(B622,FONT!$W$5:$X$1091,2,0)),0)</f>
        <v>0</v>
      </c>
      <c r="G622" s="56">
        <f>IFERROR((VLOOKUP(B622,PENDIENTES!$L$5:$M$561,2,0)),0)</f>
        <v>0</v>
      </c>
    </row>
    <row r="623" spans="3:7" x14ac:dyDescent="0.25">
      <c r="C623" s="57">
        <f>IFERROR((VLOOKUP(B623,FONT!$W$5:$X$1091,2,0)),0)</f>
        <v>0</v>
      </c>
      <c r="G623" s="56">
        <f>IFERROR((VLOOKUP(B623,PENDIENTES!$L$5:$M$561,2,0)),0)</f>
        <v>0</v>
      </c>
    </row>
    <row r="624" spans="3:7" x14ac:dyDescent="0.25">
      <c r="C624" s="57">
        <f>IFERROR((VLOOKUP(B624,FONT!$W$5:$X$1091,2,0)),0)</f>
        <v>0</v>
      </c>
      <c r="G624" s="56">
        <f>IFERROR((VLOOKUP(B624,PENDIENTES!$L$5:$M$561,2,0)),0)</f>
        <v>0</v>
      </c>
    </row>
    <row r="625" spans="3:7" x14ac:dyDescent="0.25">
      <c r="C625" s="57">
        <f>IFERROR((VLOOKUP(B625,FONT!$W$5:$X$1091,2,0)),0)</f>
        <v>0</v>
      </c>
      <c r="G625" s="56">
        <f>IFERROR((VLOOKUP(B625,PENDIENTES!$L$5:$M$561,2,0)),0)</f>
        <v>0</v>
      </c>
    </row>
    <row r="626" spans="3:7" x14ac:dyDescent="0.25">
      <c r="C626" s="57">
        <f>IFERROR((VLOOKUP(B626,FONT!$W$5:$X$1091,2,0)),0)</f>
        <v>0</v>
      </c>
      <c r="G626" s="56">
        <f>IFERROR((VLOOKUP(B626,PENDIENTES!$L$5:$M$561,2,0)),0)</f>
        <v>0</v>
      </c>
    </row>
    <row r="627" spans="3:7" x14ac:dyDescent="0.25">
      <c r="C627" s="57">
        <f>IFERROR((VLOOKUP(B627,FONT!$W$5:$X$1091,2,0)),0)</f>
        <v>0</v>
      </c>
      <c r="G627" s="56">
        <f>IFERROR((VLOOKUP(B627,PENDIENTES!$L$5:$M$561,2,0)),0)</f>
        <v>0</v>
      </c>
    </row>
    <row r="628" spans="3:7" x14ac:dyDescent="0.25">
      <c r="C628" s="57">
        <f>IFERROR((VLOOKUP(B628,FONT!$W$5:$X$1091,2,0)),0)</f>
        <v>0</v>
      </c>
      <c r="G628" s="56">
        <f>IFERROR((VLOOKUP(B628,PENDIENTES!$L$5:$M$561,2,0)),0)</f>
        <v>0</v>
      </c>
    </row>
    <row r="629" spans="3:7" x14ac:dyDescent="0.25">
      <c r="C629" s="57">
        <f>IFERROR((VLOOKUP(B629,FONT!$W$5:$X$1091,2,0)),0)</f>
        <v>0</v>
      </c>
      <c r="G629" s="56">
        <f>IFERROR((VLOOKUP(B629,PENDIENTES!$L$5:$M$561,2,0)),0)</f>
        <v>0</v>
      </c>
    </row>
    <row r="630" spans="3:7" x14ac:dyDescent="0.25">
      <c r="C630" s="57">
        <f>IFERROR((VLOOKUP(B630,FONT!$W$5:$X$1091,2,0)),0)</f>
        <v>0</v>
      </c>
      <c r="G630" s="56">
        <f>IFERROR((VLOOKUP(B630,PENDIENTES!$L$5:$M$561,2,0)),0)</f>
        <v>0</v>
      </c>
    </row>
    <row r="631" spans="3:7" x14ac:dyDescent="0.25">
      <c r="C631" s="57">
        <f>IFERROR((VLOOKUP(B631,FONT!$W$5:$X$1091,2,0)),0)</f>
        <v>0</v>
      </c>
      <c r="G631" s="56">
        <f>IFERROR((VLOOKUP(B631,PENDIENTES!$L$5:$M$561,2,0)),0)</f>
        <v>0</v>
      </c>
    </row>
    <row r="632" spans="3:7" x14ac:dyDescent="0.25">
      <c r="C632" s="57">
        <f>IFERROR((VLOOKUP(B632,FONT!$W$5:$X$1091,2,0)),0)</f>
        <v>0</v>
      </c>
      <c r="G632" s="56">
        <f>IFERROR((VLOOKUP(B632,PENDIENTES!$L$5:$M$561,2,0)),0)</f>
        <v>0</v>
      </c>
    </row>
    <row r="633" spans="3:7" x14ac:dyDescent="0.25">
      <c r="C633" s="57">
        <f>IFERROR((VLOOKUP(B633,FONT!$W$5:$X$1091,2,0)),0)</f>
        <v>0</v>
      </c>
      <c r="G633" s="56">
        <f>IFERROR((VLOOKUP(B633,PENDIENTES!$L$5:$M$561,2,0)),0)</f>
        <v>0</v>
      </c>
    </row>
    <row r="634" spans="3:7" x14ac:dyDescent="0.25">
      <c r="C634" s="57">
        <f>IFERROR((VLOOKUP(B634,FONT!$W$5:$X$1091,2,0)),0)</f>
        <v>0</v>
      </c>
      <c r="G634" s="56">
        <f>IFERROR((VLOOKUP(B634,PENDIENTES!$L$5:$M$561,2,0)),0)</f>
        <v>0</v>
      </c>
    </row>
    <row r="635" spans="3:7" x14ac:dyDescent="0.25">
      <c r="C635" s="57">
        <f>IFERROR((VLOOKUP(B635,FONT!$W$5:$X$1091,2,0)),0)</f>
        <v>0</v>
      </c>
      <c r="G635" s="56">
        <f>IFERROR((VLOOKUP(B635,PENDIENTES!$L$5:$M$561,2,0)),0)</f>
        <v>0</v>
      </c>
    </row>
    <row r="636" spans="3:7" x14ac:dyDescent="0.25">
      <c r="C636" s="57">
        <f>IFERROR((VLOOKUP(B636,FONT!$W$5:$X$1091,2,0)),0)</f>
        <v>0</v>
      </c>
      <c r="G636" s="56">
        <f>IFERROR((VLOOKUP(B636,PENDIENTES!$L$5:$M$561,2,0)),0)</f>
        <v>0</v>
      </c>
    </row>
    <row r="637" spans="3:7" x14ac:dyDescent="0.25">
      <c r="C637" s="57">
        <f>IFERROR((VLOOKUP(B637,FONT!$W$5:$X$1091,2,0)),0)</f>
        <v>0</v>
      </c>
      <c r="G637" s="56">
        <f>IFERROR((VLOOKUP(B637,PENDIENTES!$L$5:$M$561,2,0)),0)</f>
        <v>0</v>
      </c>
    </row>
    <row r="638" spans="3:7" x14ac:dyDescent="0.25">
      <c r="C638" s="57">
        <f>IFERROR((VLOOKUP(B638,FONT!$W$5:$X$1091,2,0)),0)</f>
        <v>0</v>
      </c>
      <c r="G638" s="56">
        <f>IFERROR((VLOOKUP(B638,PENDIENTES!$L$5:$M$561,2,0)),0)</f>
        <v>0</v>
      </c>
    </row>
    <row r="639" spans="3:7" x14ac:dyDescent="0.25">
      <c r="C639" s="57">
        <f>IFERROR((VLOOKUP(B639,FONT!$W$5:$X$1091,2,0)),0)</f>
        <v>0</v>
      </c>
      <c r="G639" s="56">
        <f>IFERROR((VLOOKUP(B639,PENDIENTES!$L$5:$M$561,2,0)),0)</f>
        <v>0</v>
      </c>
    </row>
    <row r="640" spans="3:7" x14ac:dyDescent="0.25">
      <c r="C640" s="57">
        <f>IFERROR((VLOOKUP(B640,FONT!$W$5:$X$1091,2,0)),0)</f>
        <v>0</v>
      </c>
      <c r="G640" s="56">
        <f>IFERROR((VLOOKUP(B640,PENDIENTES!$L$5:$M$561,2,0)),0)</f>
        <v>0</v>
      </c>
    </row>
    <row r="641" spans="3:7" x14ac:dyDescent="0.25">
      <c r="C641" s="57">
        <f>IFERROR((VLOOKUP(B641,FONT!$W$5:$X$1091,2,0)),0)</f>
        <v>0</v>
      </c>
      <c r="G641" s="56">
        <f>IFERROR((VLOOKUP(B641,PENDIENTES!$L$5:$M$561,2,0)),0)</f>
        <v>0</v>
      </c>
    </row>
    <row r="642" spans="3:7" x14ac:dyDescent="0.25">
      <c r="C642" s="57">
        <f>IFERROR((VLOOKUP(B642,FONT!$W$5:$X$1091,2,0)),0)</f>
        <v>0</v>
      </c>
      <c r="G642" s="56">
        <f>IFERROR((VLOOKUP(B642,PENDIENTES!$L$5:$M$561,2,0)),0)</f>
        <v>0</v>
      </c>
    </row>
    <row r="643" spans="3:7" x14ac:dyDescent="0.25">
      <c r="C643" s="57">
        <f>IFERROR((VLOOKUP(B643,FONT!$W$5:$X$1091,2,0)),0)</f>
        <v>0</v>
      </c>
      <c r="G643" s="56">
        <f>IFERROR((VLOOKUP(B643,PENDIENTES!$L$5:$M$561,2,0)),0)</f>
        <v>0</v>
      </c>
    </row>
    <row r="644" spans="3:7" x14ac:dyDescent="0.25">
      <c r="C644" s="57">
        <f>IFERROR((VLOOKUP(B644,FONT!$W$5:$X$1091,2,0)),0)</f>
        <v>0</v>
      </c>
      <c r="G644" s="56">
        <f>IFERROR((VLOOKUP(B644,PENDIENTES!$L$5:$M$561,2,0)),0)</f>
        <v>0</v>
      </c>
    </row>
    <row r="645" spans="3:7" x14ac:dyDescent="0.25">
      <c r="C645" s="57">
        <f>IFERROR((VLOOKUP(B645,FONT!$W$5:$X$1091,2,0)),0)</f>
        <v>0</v>
      </c>
      <c r="G645" s="56">
        <f>IFERROR((VLOOKUP(B645,PENDIENTES!$L$5:$M$561,2,0)),0)</f>
        <v>0</v>
      </c>
    </row>
    <row r="646" spans="3:7" x14ac:dyDescent="0.25">
      <c r="C646" s="57">
        <f>IFERROR((VLOOKUP(B646,FONT!$W$5:$X$1091,2,0)),0)</f>
        <v>0</v>
      </c>
      <c r="G646" s="56">
        <f>IFERROR((VLOOKUP(B646,PENDIENTES!$L$5:$M$561,2,0)),0)</f>
        <v>0</v>
      </c>
    </row>
    <row r="647" spans="3:7" x14ac:dyDescent="0.25">
      <c r="C647" s="57">
        <f>IFERROR((VLOOKUP(B647,FONT!$W$5:$X$1091,2,0)),0)</f>
        <v>0</v>
      </c>
      <c r="G647" s="56">
        <f>IFERROR((VLOOKUP(B647,PENDIENTES!$L$5:$M$561,2,0)),0)</f>
        <v>0</v>
      </c>
    </row>
    <row r="648" spans="3:7" x14ac:dyDescent="0.25">
      <c r="C648" s="57">
        <f>IFERROR((VLOOKUP(B648,FONT!$W$5:$X$1091,2,0)),0)</f>
        <v>0</v>
      </c>
      <c r="G648" s="56">
        <f>IFERROR((VLOOKUP(B648,PENDIENTES!$L$5:$M$561,2,0)),0)</f>
        <v>0</v>
      </c>
    </row>
    <row r="649" spans="3:7" x14ac:dyDescent="0.25">
      <c r="C649" s="57">
        <f>IFERROR((VLOOKUP(B649,FONT!$W$5:$X$1091,2,0)),0)</f>
        <v>0</v>
      </c>
      <c r="G649" s="56">
        <f>IFERROR((VLOOKUP(B649,PENDIENTES!$L$5:$M$561,2,0)),0)</f>
        <v>0</v>
      </c>
    </row>
    <row r="650" spans="3:7" x14ac:dyDescent="0.25">
      <c r="C650" s="57">
        <f>IFERROR((VLOOKUP(B650,FONT!$W$5:$X$1091,2,0)),0)</f>
        <v>0</v>
      </c>
      <c r="G650" s="56">
        <f>IFERROR((VLOOKUP(B650,PENDIENTES!$L$5:$M$561,2,0)),0)</f>
        <v>0</v>
      </c>
    </row>
    <row r="651" spans="3:7" x14ac:dyDescent="0.25">
      <c r="C651" s="57">
        <f>IFERROR((VLOOKUP(B651,FONT!$W$5:$X$1091,2,0)),0)</f>
        <v>0</v>
      </c>
      <c r="G651" s="56">
        <f>IFERROR((VLOOKUP(B651,PENDIENTES!$L$5:$M$561,2,0)),0)</f>
        <v>0</v>
      </c>
    </row>
    <row r="652" spans="3:7" x14ac:dyDescent="0.25">
      <c r="C652" s="57">
        <f>IFERROR((VLOOKUP(B652,FONT!$W$5:$X$1091,2,0)),0)</f>
        <v>0</v>
      </c>
      <c r="G652" s="56">
        <f>IFERROR((VLOOKUP(B652,PENDIENTES!$L$5:$M$561,2,0)),0)</f>
        <v>0</v>
      </c>
    </row>
    <row r="653" spans="3:7" x14ac:dyDescent="0.25">
      <c r="C653" s="57">
        <f>IFERROR((VLOOKUP(B653,FONT!$W$5:$X$1091,2,0)),0)</f>
        <v>0</v>
      </c>
      <c r="G653" s="56">
        <f>IFERROR((VLOOKUP(B653,PENDIENTES!$L$5:$M$561,2,0)),0)</f>
        <v>0</v>
      </c>
    </row>
    <row r="654" spans="3:7" x14ac:dyDescent="0.25">
      <c r="C654" s="57">
        <f>IFERROR((VLOOKUP(B654,FONT!$W$5:$X$1091,2,0)),0)</f>
        <v>0</v>
      </c>
      <c r="G654" s="56">
        <f>IFERROR((VLOOKUP(B654,PENDIENTES!$L$5:$M$561,2,0)),0)</f>
        <v>0</v>
      </c>
    </row>
    <row r="655" spans="3:7" x14ac:dyDescent="0.25">
      <c r="C655" s="57">
        <f>IFERROR((VLOOKUP(B655,FONT!$W$5:$X$1091,2,0)),0)</f>
        <v>0</v>
      </c>
      <c r="G655" s="56">
        <f>IFERROR((VLOOKUP(B655,PENDIENTES!$L$5:$M$561,2,0)),0)</f>
        <v>0</v>
      </c>
    </row>
    <row r="656" spans="3:7" x14ac:dyDescent="0.25">
      <c r="C656" s="57">
        <f>IFERROR((VLOOKUP(B656,FONT!$W$5:$X$1091,2,0)),0)</f>
        <v>0</v>
      </c>
      <c r="G656" s="56">
        <f>IFERROR((VLOOKUP(B656,PENDIENTES!$L$5:$M$561,2,0)),0)</f>
        <v>0</v>
      </c>
    </row>
    <row r="657" spans="3:7" x14ac:dyDescent="0.25">
      <c r="C657" s="57">
        <f>IFERROR((VLOOKUP(B657,FONT!$W$5:$X$1091,2,0)),0)</f>
        <v>0</v>
      </c>
      <c r="G657" s="56">
        <f>IFERROR((VLOOKUP(B657,PENDIENTES!$L$5:$M$561,2,0)),0)</f>
        <v>0</v>
      </c>
    </row>
    <row r="658" spans="3:7" x14ac:dyDescent="0.25">
      <c r="C658" s="57">
        <f>IFERROR((VLOOKUP(B658,FONT!$W$5:$X$1091,2,0)),0)</f>
        <v>0</v>
      </c>
      <c r="G658" s="56">
        <f>IFERROR((VLOOKUP(B658,PENDIENTES!$L$5:$M$561,2,0)),0)</f>
        <v>0</v>
      </c>
    </row>
    <row r="659" spans="3:7" x14ac:dyDescent="0.25">
      <c r="C659" s="57">
        <f>IFERROR((VLOOKUP(B659,FONT!$W$5:$X$1091,2,0)),0)</f>
        <v>0</v>
      </c>
      <c r="G659" s="56">
        <f>IFERROR((VLOOKUP(B659,PENDIENTES!$L$5:$M$561,2,0)),0)</f>
        <v>0</v>
      </c>
    </row>
    <row r="660" spans="3:7" x14ac:dyDescent="0.25">
      <c r="C660" s="57">
        <f>IFERROR((VLOOKUP(B660,FONT!$W$5:$X$1091,2,0)),0)</f>
        <v>0</v>
      </c>
      <c r="G660" s="56">
        <f>IFERROR((VLOOKUP(B660,PENDIENTES!$L$5:$M$561,2,0)),0)</f>
        <v>0</v>
      </c>
    </row>
    <row r="661" spans="3:7" x14ac:dyDescent="0.25">
      <c r="C661" s="57">
        <f>IFERROR((VLOOKUP(B661,FONT!$W$5:$X$1091,2,0)),0)</f>
        <v>0</v>
      </c>
      <c r="G661" s="56">
        <f>IFERROR((VLOOKUP(B661,PENDIENTES!$L$5:$M$561,2,0)),0)</f>
        <v>0</v>
      </c>
    </row>
    <row r="662" spans="3:7" x14ac:dyDescent="0.25">
      <c r="C662" s="57">
        <f>IFERROR((VLOOKUP(B662,FONT!$W$5:$X$1091,2,0)),0)</f>
        <v>0</v>
      </c>
      <c r="G662" s="56">
        <f>IFERROR((VLOOKUP(B662,PENDIENTES!$L$5:$M$561,2,0)),0)</f>
        <v>0</v>
      </c>
    </row>
    <row r="663" spans="3:7" x14ac:dyDescent="0.25">
      <c r="C663" s="57">
        <f>IFERROR((VLOOKUP(B663,FONT!$W$5:$X$1091,2,0)),0)</f>
        <v>0</v>
      </c>
      <c r="G663" s="56">
        <f>IFERROR((VLOOKUP(B663,PENDIENTES!$L$5:$M$561,2,0)),0)</f>
        <v>0</v>
      </c>
    </row>
    <row r="664" spans="3:7" x14ac:dyDescent="0.25">
      <c r="C664" s="57">
        <f>IFERROR((VLOOKUP(B664,FONT!$W$5:$X$1091,2,0)),0)</f>
        <v>0</v>
      </c>
      <c r="G664" s="56">
        <f>IFERROR((VLOOKUP(B664,PENDIENTES!$L$5:$M$561,2,0)),0)</f>
        <v>0</v>
      </c>
    </row>
    <row r="665" spans="3:7" x14ac:dyDescent="0.25">
      <c r="C665" s="57">
        <f>IFERROR((VLOOKUP(B665,FONT!$W$5:$X$1091,2,0)),0)</f>
        <v>0</v>
      </c>
      <c r="G665" s="56">
        <f>IFERROR((VLOOKUP(B665,PENDIENTES!$L$5:$M$561,2,0)),0)</f>
        <v>0</v>
      </c>
    </row>
    <row r="666" spans="3:7" x14ac:dyDescent="0.25">
      <c r="C666" s="57">
        <f>IFERROR((VLOOKUP(B666,FONT!$W$5:$X$1091,2,0)),0)</f>
        <v>0</v>
      </c>
      <c r="G666" s="56">
        <f>IFERROR((VLOOKUP(B666,PENDIENTES!$L$5:$M$561,2,0)),0)</f>
        <v>0</v>
      </c>
    </row>
    <row r="667" spans="3:7" x14ac:dyDescent="0.25">
      <c r="C667" s="57">
        <f>IFERROR((VLOOKUP(B667,FONT!$W$5:$X$1091,2,0)),0)</f>
        <v>0</v>
      </c>
      <c r="G667" s="56">
        <f>IFERROR((VLOOKUP(B667,PENDIENTES!$L$5:$M$561,2,0)),0)</f>
        <v>0</v>
      </c>
    </row>
    <row r="668" spans="3:7" x14ac:dyDescent="0.25">
      <c r="C668" s="57">
        <f>IFERROR((VLOOKUP(B668,FONT!$W$5:$X$1091,2,0)),0)</f>
        <v>0</v>
      </c>
      <c r="G668" s="56">
        <f>IFERROR((VLOOKUP(B668,PENDIENTES!$L$5:$M$561,2,0)),0)</f>
        <v>0</v>
      </c>
    </row>
    <row r="669" spans="3:7" x14ac:dyDescent="0.25">
      <c r="C669" s="57">
        <f>IFERROR((VLOOKUP(B669,FONT!$W$5:$X$1091,2,0)),0)</f>
        <v>0</v>
      </c>
      <c r="G669" s="56">
        <f>IFERROR((VLOOKUP(B669,PENDIENTES!$L$5:$M$561,2,0)),0)</f>
        <v>0</v>
      </c>
    </row>
    <row r="670" spans="3:7" x14ac:dyDescent="0.25">
      <c r="C670" s="57">
        <f>IFERROR((VLOOKUP(B670,FONT!$W$5:$X$1091,2,0)),0)</f>
        <v>0</v>
      </c>
      <c r="G670" s="56">
        <f>IFERROR((VLOOKUP(B670,PENDIENTES!$L$5:$M$561,2,0)),0)</f>
        <v>0</v>
      </c>
    </row>
    <row r="671" spans="3:7" x14ac:dyDescent="0.25">
      <c r="C671" s="57">
        <f>IFERROR((VLOOKUP(B671,FONT!$W$5:$X$1091,2,0)),0)</f>
        <v>0</v>
      </c>
      <c r="G671" s="56">
        <f>IFERROR((VLOOKUP(B671,PENDIENTES!$L$5:$M$561,2,0)),0)</f>
        <v>0</v>
      </c>
    </row>
    <row r="672" spans="3:7" x14ac:dyDescent="0.25">
      <c r="C672" s="57">
        <f>IFERROR((VLOOKUP(B672,FONT!$W$5:$X$1091,2,0)),0)</f>
        <v>0</v>
      </c>
      <c r="G672" s="56">
        <f>IFERROR((VLOOKUP(B672,PENDIENTES!$L$5:$M$561,2,0)),0)</f>
        <v>0</v>
      </c>
    </row>
    <row r="673" spans="3:7" x14ac:dyDescent="0.25">
      <c r="C673" s="57">
        <f>IFERROR((VLOOKUP(B673,FONT!$W$5:$X$1091,2,0)),0)</f>
        <v>0</v>
      </c>
      <c r="G673" s="56">
        <f>IFERROR((VLOOKUP(B673,PENDIENTES!$L$5:$M$561,2,0)),0)</f>
        <v>0</v>
      </c>
    </row>
    <row r="674" spans="3:7" x14ac:dyDescent="0.25">
      <c r="C674" s="57">
        <f>IFERROR((VLOOKUP(B674,FONT!$W$5:$X$1091,2,0)),0)</f>
        <v>0</v>
      </c>
      <c r="G674" s="56">
        <f>IFERROR((VLOOKUP(B674,PENDIENTES!$L$5:$M$561,2,0)),0)</f>
        <v>0</v>
      </c>
    </row>
    <row r="675" spans="3:7" x14ac:dyDescent="0.25">
      <c r="C675" s="57">
        <f>IFERROR((VLOOKUP(B675,FONT!$W$5:$X$1091,2,0)),0)</f>
        <v>0</v>
      </c>
      <c r="G675" s="56">
        <f>IFERROR((VLOOKUP(B675,PENDIENTES!$L$5:$M$561,2,0)),0)</f>
        <v>0</v>
      </c>
    </row>
    <row r="676" spans="3:7" x14ac:dyDescent="0.25">
      <c r="C676" s="57">
        <f>IFERROR((VLOOKUP(B676,FONT!$W$5:$X$1091,2,0)),0)</f>
        <v>0</v>
      </c>
      <c r="G676" s="56">
        <f>IFERROR((VLOOKUP(B676,PENDIENTES!$L$5:$M$561,2,0)),0)</f>
        <v>0</v>
      </c>
    </row>
    <row r="677" spans="3:7" x14ac:dyDescent="0.25">
      <c r="C677" s="57">
        <f>IFERROR((VLOOKUP(B677,FONT!$W$5:$X$1091,2,0)),0)</f>
        <v>0</v>
      </c>
      <c r="G677" s="56">
        <f>IFERROR((VLOOKUP(B677,PENDIENTES!$L$5:$M$561,2,0)),0)</f>
        <v>0</v>
      </c>
    </row>
    <row r="678" spans="3:7" x14ac:dyDescent="0.25">
      <c r="C678" s="57">
        <f>IFERROR((VLOOKUP(B678,FONT!$W$5:$X$1091,2,0)),0)</f>
        <v>0</v>
      </c>
      <c r="G678" s="56">
        <f>IFERROR((VLOOKUP(B678,PENDIENTES!$L$5:$M$561,2,0)),0)</f>
        <v>0</v>
      </c>
    </row>
    <row r="679" spans="3:7" x14ac:dyDescent="0.25">
      <c r="C679" s="57">
        <f>IFERROR((VLOOKUP(B679,FONT!$W$5:$X$1091,2,0)),0)</f>
        <v>0</v>
      </c>
      <c r="G679" s="56">
        <f>IFERROR((VLOOKUP(B679,PENDIENTES!$L$5:$M$561,2,0)),0)</f>
        <v>0</v>
      </c>
    </row>
    <row r="680" spans="3:7" x14ac:dyDescent="0.25">
      <c r="C680" s="57">
        <f>IFERROR((VLOOKUP(B680,FONT!$W$5:$X$1091,2,0)),0)</f>
        <v>0</v>
      </c>
      <c r="G680" s="56">
        <f>IFERROR((VLOOKUP(B680,PENDIENTES!$L$5:$M$561,2,0)),0)</f>
        <v>0</v>
      </c>
    </row>
    <row r="681" spans="3:7" x14ac:dyDescent="0.25">
      <c r="C681" s="57">
        <f>IFERROR((VLOOKUP(B681,FONT!$W$5:$X$1091,2,0)),0)</f>
        <v>0</v>
      </c>
      <c r="G681" s="56">
        <f>IFERROR((VLOOKUP(B681,PENDIENTES!$L$5:$M$561,2,0)),0)</f>
        <v>0</v>
      </c>
    </row>
    <row r="682" spans="3:7" x14ac:dyDescent="0.25">
      <c r="C682" s="57">
        <f>IFERROR((VLOOKUP(B682,FONT!$W$5:$X$1091,2,0)),0)</f>
        <v>0</v>
      </c>
      <c r="G682" s="56">
        <f>IFERROR((VLOOKUP(B682,PENDIENTES!$L$5:$M$561,2,0)),0)</f>
        <v>0</v>
      </c>
    </row>
    <row r="683" spans="3:7" x14ac:dyDescent="0.25">
      <c r="C683" s="57">
        <f>IFERROR((VLOOKUP(B683,FONT!$W$5:$X$1091,2,0)),0)</f>
        <v>0</v>
      </c>
      <c r="G683" s="56">
        <f>IFERROR((VLOOKUP(B683,PENDIENTES!$L$5:$M$561,2,0)),0)</f>
        <v>0</v>
      </c>
    </row>
    <row r="684" spans="3:7" x14ac:dyDescent="0.25">
      <c r="C684" s="57">
        <f>IFERROR((VLOOKUP(B684,FONT!$W$5:$X$1091,2,0)),0)</f>
        <v>0</v>
      </c>
      <c r="G684" s="56">
        <f>IFERROR((VLOOKUP(B684,PENDIENTES!$L$5:$M$561,2,0)),0)</f>
        <v>0</v>
      </c>
    </row>
    <row r="685" spans="3:7" x14ac:dyDescent="0.25">
      <c r="C685" s="57">
        <f>IFERROR((VLOOKUP(B685,FONT!$W$5:$X$1091,2,0)),0)</f>
        <v>0</v>
      </c>
      <c r="G685" s="56">
        <f>IFERROR((VLOOKUP(B685,PENDIENTES!$L$5:$M$561,2,0)),0)</f>
        <v>0</v>
      </c>
    </row>
    <row r="686" spans="3:7" x14ac:dyDescent="0.25">
      <c r="C686" s="57">
        <f>IFERROR((VLOOKUP(B686,FONT!$W$5:$X$1091,2,0)),0)</f>
        <v>0</v>
      </c>
      <c r="G686" s="56">
        <f>IFERROR((VLOOKUP(B686,PENDIENTES!$L$5:$M$561,2,0)),0)</f>
        <v>0</v>
      </c>
    </row>
    <row r="687" spans="3:7" x14ac:dyDescent="0.25">
      <c r="C687" s="57">
        <f>IFERROR((VLOOKUP(B687,FONT!$W$5:$X$1091,2,0)),0)</f>
        <v>0</v>
      </c>
      <c r="G687" s="56">
        <f>IFERROR((VLOOKUP(B687,PENDIENTES!$L$5:$M$561,2,0)),0)</f>
        <v>0</v>
      </c>
    </row>
    <row r="688" spans="3:7" x14ac:dyDescent="0.25">
      <c r="C688" s="57">
        <f>IFERROR((VLOOKUP(B688,FONT!$W$5:$X$1091,2,0)),0)</f>
        <v>0</v>
      </c>
      <c r="G688" s="56">
        <f>IFERROR((VLOOKUP(B688,PENDIENTES!$L$5:$M$561,2,0)),0)</f>
        <v>0</v>
      </c>
    </row>
    <row r="689" spans="3:7" x14ac:dyDescent="0.25">
      <c r="C689" s="57">
        <f>IFERROR((VLOOKUP(B689,FONT!$W$5:$X$1091,2,0)),0)</f>
        <v>0</v>
      </c>
      <c r="G689" s="56">
        <f>IFERROR((VLOOKUP(B689,PENDIENTES!$L$5:$M$561,2,0)),0)</f>
        <v>0</v>
      </c>
    </row>
    <row r="690" spans="3:7" x14ac:dyDescent="0.25">
      <c r="C690" s="57">
        <f>IFERROR((VLOOKUP(B690,FONT!$W$5:$X$1091,2,0)),0)</f>
        <v>0</v>
      </c>
      <c r="G690" s="56">
        <f>IFERROR((VLOOKUP(B690,PENDIENTES!$L$5:$M$561,2,0)),0)</f>
        <v>0</v>
      </c>
    </row>
    <row r="691" spans="3:7" x14ac:dyDescent="0.25">
      <c r="C691" s="57">
        <f>IFERROR((VLOOKUP(B691,FONT!$W$5:$X$1091,2,0)),0)</f>
        <v>0</v>
      </c>
      <c r="G691" s="56">
        <f>IFERROR((VLOOKUP(B691,PENDIENTES!$L$5:$M$561,2,0)),0)</f>
        <v>0</v>
      </c>
    </row>
    <row r="692" spans="3:7" x14ac:dyDescent="0.25">
      <c r="C692" s="57">
        <f>IFERROR((VLOOKUP(B692,FONT!$W$5:$X$1091,2,0)),0)</f>
        <v>0</v>
      </c>
      <c r="G692" s="56">
        <f>IFERROR((VLOOKUP(B692,PENDIENTES!$L$5:$M$561,2,0)),0)</f>
        <v>0</v>
      </c>
    </row>
    <row r="693" spans="3:7" x14ac:dyDescent="0.25">
      <c r="C693" s="57">
        <f>IFERROR((VLOOKUP(B693,FONT!$W$5:$X$1091,2,0)),0)</f>
        <v>0</v>
      </c>
      <c r="G693" s="56">
        <f>IFERROR((VLOOKUP(B693,PENDIENTES!$L$5:$M$561,2,0)),0)</f>
        <v>0</v>
      </c>
    </row>
    <row r="694" spans="3:7" x14ac:dyDescent="0.25">
      <c r="C694" s="57">
        <f>IFERROR((VLOOKUP(B694,FONT!$W$5:$X$1091,2,0)),0)</f>
        <v>0</v>
      </c>
      <c r="G694" s="56">
        <f>IFERROR((VLOOKUP(B694,PENDIENTES!$L$5:$M$561,2,0)),0)</f>
        <v>0</v>
      </c>
    </row>
    <row r="695" spans="3:7" x14ac:dyDescent="0.25">
      <c r="C695" s="57">
        <f>IFERROR((VLOOKUP(B695,FONT!$W$5:$X$1091,2,0)),0)</f>
        <v>0</v>
      </c>
      <c r="G695" s="56">
        <f>IFERROR((VLOOKUP(B695,PENDIENTES!$L$5:$M$561,2,0)),0)</f>
        <v>0</v>
      </c>
    </row>
    <row r="696" spans="3:7" x14ac:dyDescent="0.25">
      <c r="C696" s="57">
        <f>IFERROR((VLOOKUP(B696,FONT!$W$5:$X$1091,2,0)),0)</f>
        <v>0</v>
      </c>
      <c r="G696" s="56">
        <f>IFERROR((VLOOKUP(B696,PENDIENTES!$L$5:$M$561,2,0)),0)</f>
        <v>0</v>
      </c>
    </row>
    <row r="697" spans="3:7" x14ac:dyDescent="0.25">
      <c r="C697" s="57">
        <f>IFERROR((VLOOKUP(B697,FONT!$W$5:$X$1091,2,0)),0)</f>
        <v>0</v>
      </c>
      <c r="G697" s="56">
        <f>IFERROR((VLOOKUP(B697,PENDIENTES!$L$5:$M$561,2,0)),0)</f>
        <v>0</v>
      </c>
    </row>
    <row r="698" spans="3:7" x14ac:dyDescent="0.25">
      <c r="C698" s="57">
        <f>IFERROR((VLOOKUP(B698,FONT!$W$5:$X$1091,2,0)),0)</f>
        <v>0</v>
      </c>
      <c r="G698" s="56">
        <f>IFERROR((VLOOKUP(B698,PENDIENTES!$L$5:$M$561,2,0)),0)</f>
        <v>0</v>
      </c>
    </row>
    <row r="699" spans="3:7" x14ac:dyDescent="0.25">
      <c r="C699" s="57">
        <f>IFERROR((VLOOKUP(B699,FONT!$W$5:$X$1091,2,0)),0)</f>
        <v>0</v>
      </c>
      <c r="G699" s="56">
        <f>IFERROR((VLOOKUP(B699,PENDIENTES!$L$5:$M$561,2,0)),0)</f>
        <v>0</v>
      </c>
    </row>
    <row r="700" spans="3:7" x14ac:dyDescent="0.25">
      <c r="C700" s="57">
        <f>IFERROR((VLOOKUP(B700,FONT!$W$5:$X$1091,2,0)),0)</f>
        <v>0</v>
      </c>
      <c r="G700" s="56">
        <f>IFERROR((VLOOKUP(B700,PENDIENTES!$L$5:$M$561,2,0)),0)</f>
        <v>0</v>
      </c>
    </row>
    <row r="701" spans="3:7" x14ac:dyDescent="0.25">
      <c r="C701" s="57">
        <f>IFERROR((VLOOKUP(B701,FONT!$W$5:$X$1091,2,0)),0)</f>
        <v>0</v>
      </c>
      <c r="G701" s="56">
        <f>IFERROR((VLOOKUP(B701,PENDIENTES!$L$5:$M$561,2,0)),0)</f>
        <v>0</v>
      </c>
    </row>
    <row r="702" spans="3:7" x14ac:dyDescent="0.25">
      <c r="C702" s="57">
        <f>IFERROR((VLOOKUP(B702,FONT!$W$5:$X$1091,2,0)),0)</f>
        <v>0</v>
      </c>
      <c r="G702" s="56">
        <f>IFERROR((VLOOKUP(B702,PENDIENTES!$L$5:$M$561,2,0)),0)</f>
        <v>0</v>
      </c>
    </row>
    <row r="703" spans="3:7" x14ac:dyDescent="0.25">
      <c r="C703" s="57">
        <f>IFERROR((VLOOKUP(B703,FONT!$W$5:$X$1091,2,0)),0)</f>
        <v>0</v>
      </c>
      <c r="G703" s="56">
        <f>IFERROR((VLOOKUP(B703,PENDIENTES!$L$5:$M$561,2,0)),0)</f>
        <v>0</v>
      </c>
    </row>
    <row r="704" spans="3:7" x14ac:dyDescent="0.25">
      <c r="C704" s="57">
        <f>IFERROR((VLOOKUP(B704,FONT!$W$5:$X$1091,2,0)),0)</f>
        <v>0</v>
      </c>
      <c r="G704" s="56">
        <f>IFERROR((VLOOKUP(B704,PENDIENTES!$L$5:$M$561,2,0)),0)</f>
        <v>0</v>
      </c>
    </row>
    <row r="705" spans="3:7" x14ac:dyDescent="0.25">
      <c r="C705" s="57">
        <f>IFERROR((VLOOKUP(B705,FONT!$W$5:$X$1091,2,0)),0)</f>
        <v>0</v>
      </c>
      <c r="G705" s="56">
        <f>IFERROR((VLOOKUP(B705,PENDIENTES!$L$5:$M$561,2,0)),0)</f>
        <v>0</v>
      </c>
    </row>
    <row r="706" spans="3:7" x14ac:dyDescent="0.25">
      <c r="C706" s="57">
        <f>IFERROR((VLOOKUP(B706,FONT!$W$5:$X$1091,2,0)),0)</f>
        <v>0</v>
      </c>
      <c r="G706" s="56">
        <f>IFERROR((VLOOKUP(B706,PENDIENTES!$L$5:$M$561,2,0)),0)</f>
        <v>0</v>
      </c>
    </row>
    <row r="707" spans="3:7" x14ac:dyDescent="0.25">
      <c r="C707" s="57">
        <f>IFERROR((VLOOKUP(B707,FONT!$W$5:$X$1091,2,0)),0)</f>
        <v>0</v>
      </c>
      <c r="G707" s="56">
        <f>IFERROR((VLOOKUP(B707,PENDIENTES!$L$5:$M$561,2,0)),0)</f>
        <v>0</v>
      </c>
    </row>
    <row r="708" spans="3:7" x14ac:dyDescent="0.25">
      <c r="C708" s="57">
        <f>IFERROR((VLOOKUP(B708,FONT!$W$5:$X$1091,2,0)),0)</f>
        <v>0</v>
      </c>
      <c r="G708" s="56">
        <f>IFERROR((VLOOKUP(B708,PENDIENTES!$L$5:$M$561,2,0)),0)</f>
        <v>0</v>
      </c>
    </row>
    <row r="709" spans="3:7" x14ac:dyDescent="0.25">
      <c r="C709" s="57">
        <f>IFERROR((VLOOKUP(B709,FONT!$W$5:$X$1091,2,0)),0)</f>
        <v>0</v>
      </c>
      <c r="G709" s="56">
        <f>IFERROR((VLOOKUP(B709,PENDIENTES!$L$5:$M$561,2,0)),0)</f>
        <v>0</v>
      </c>
    </row>
    <row r="710" spans="3:7" x14ac:dyDescent="0.25">
      <c r="C710" s="57">
        <f>IFERROR((VLOOKUP(B710,FONT!$W$5:$X$1091,2,0)),0)</f>
        <v>0</v>
      </c>
      <c r="G710" s="56">
        <f>IFERROR((VLOOKUP(B710,PENDIENTES!$L$5:$M$561,2,0)),0)</f>
        <v>0</v>
      </c>
    </row>
    <row r="711" spans="3:7" x14ac:dyDescent="0.25">
      <c r="C711" s="57">
        <f>IFERROR((VLOOKUP(B711,FONT!$W$5:$X$1091,2,0)),0)</f>
        <v>0</v>
      </c>
      <c r="G711" s="56">
        <f>IFERROR((VLOOKUP(B711,PENDIENTES!$L$5:$M$561,2,0)),0)</f>
        <v>0</v>
      </c>
    </row>
    <row r="712" spans="3:7" x14ac:dyDescent="0.25">
      <c r="C712" s="57">
        <f>IFERROR((VLOOKUP(B712,FONT!$W$5:$X$1091,2,0)),0)</f>
        <v>0</v>
      </c>
      <c r="G712" s="56">
        <f>IFERROR((VLOOKUP(B712,PENDIENTES!$L$5:$M$561,2,0)),0)</f>
        <v>0</v>
      </c>
    </row>
    <row r="713" spans="3:7" x14ac:dyDescent="0.25">
      <c r="C713" s="57">
        <f>IFERROR((VLOOKUP(B713,FONT!$W$5:$X$1091,2,0)),0)</f>
        <v>0</v>
      </c>
      <c r="G713" s="56">
        <f>IFERROR((VLOOKUP(B713,PENDIENTES!$L$5:$M$561,2,0)),0)</f>
        <v>0</v>
      </c>
    </row>
    <row r="714" spans="3:7" x14ac:dyDescent="0.25">
      <c r="C714" s="57">
        <f>IFERROR((VLOOKUP(B714,FONT!$W$5:$X$1091,2,0)),0)</f>
        <v>0</v>
      </c>
      <c r="G714" s="56">
        <f>IFERROR((VLOOKUP(B714,PENDIENTES!$L$5:$M$561,2,0)),0)</f>
        <v>0</v>
      </c>
    </row>
    <row r="715" spans="3:7" x14ac:dyDescent="0.25">
      <c r="C715" s="57">
        <f>IFERROR((VLOOKUP(B715,FONT!$W$5:$X$1091,2,0)),0)</f>
        <v>0</v>
      </c>
      <c r="G715" s="56">
        <f>IFERROR((VLOOKUP(B715,PENDIENTES!$L$5:$M$561,2,0)),0)</f>
        <v>0</v>
      </c>
    </row>
    <row r="716" spans="3:7" x14ac:dyDescent="0.25">
      <c r="C716" s="57">
        <f>IFERROR((VLOOKUP(B716,FONT!$W$5:$X$1091,2,0)),0)</f>
        <v>0</v>
      </c>
      <c r="G716" s="56">
        <f>IFERROR((VLOOKUP(B716,PENDIENTES!$L$5:$M$561,2,0)),0)</f>
        <v>0</v>
      </c>
    </row>
    <row r="717" spans="3:7" x14ac:dyDescent="0.25">
      <c r="C717" s="57">
        <f>IFERROR((VLOOKUP(B717,FONT!$W$5:$X$1091,2,0)),0)</f>
        <v>0</v>
      </c>
      <c r="G717" s="56">
        <f>IFERROR((VLOOKUP(B717,PENDIENTES!$L$5:$M$561,2,0)),0)</f>
        <v>0</v>
      </c>
    </row>
    <row r="718" spans="3:7" x14ac:dyDescent="0.25">
      <c r="C718" s="57">
        <f>IFERROR((VLOOKUP(B718,FONT!$W$5:$X$1091,2,0)),0)</f>
        <v>0</v>
      </c>
      <c r="G718" s="56">
        <f>IFERROR((VLOOKUP(B718,PENDIENTES!$L$5:$M$561,2,0)),0)</f>
        <v>0</v>
      </c>
    </row>
    <row r="719" spans="3:7" x14ac:dyDescent="0.25">
      <c r="C719" s="57">
        <f>IFERROR((VLOOKUP(B719,FONT!$W$5:$X$1091,2,0)),0)</f>
        <v>0</v>
      </c>
      <c r="G719" s="56">
        <f>IFERROR((VLOOKUP(B719,PENDIENTES!$L$5:$M$561,2,0)),0)</f>
        <v>0</v>
      </c>
    </row>
    <row r="720" spans="3:7" x14ac:dyDescent="0.25">
      <c r="C720" s="57">
        <f>IFERROR((VLOOKUP(B720,FONT!$W$5:$X$1091,2,0)),0)</f>
        <v>0</v>
      </c>
      <c r="G720" s="56">
        <f>IFERROR((VLOOKUP(B720,PENDIENTES!$L$5:$M$561,2,0)),0)</f>
        <v>0</v>
      </c>
    </row>
    <row r="721" spans="3:7" x14ac:dyDescent="0.25">
      <c r="C721" s="57">
        <f>IFERROR((VLOOKUP(B721,FONT!$W$5:$X$1091,2,0)),0)</f>
        <v>0</v>
      </c>
      <c r="G721" s="56">
        <f>IFERROR((VLOOKUP(B721,PENDIENTES!$L$5:$M$561,2,0)),0)</f>
        <v>0</v>
      </c>
    </row>
    <row r="722" spans="3:7" x14ac:dyDescent="0.25">
      <c r="C722" s="57">
        <f>IFERROR((VLOOKUP(B722,FONT!$W$5:$X$1091,2,0)),0)</f>
        <v>0</v>
      </c>
      <c r="G722" s="56">
        <f>IFERROR((VLOOKUP(B722,PENDIENTES!$L$5:$M$561,2,0)),0)</f>
        <v>0</v>
      </c>
    </row>
    <row r="723" spans="3:7" x14ac:dyDescent="0.25">
      <c r="C723" s="57">
        <f>IFERROR((VLOOKUP(B723,FONT!$W$5:$X$1091,2,0)),0)</f>
        <v>0</v>
      </c>
      <c r="G723" s="56">
        <f>IFERROR((VLOOKUP(B723,PENDIENTES!$L$5:$M$561,2,0)),0)</f>
        <v>0</v>
      </c>
    </row>
    <row r="724" spans="3:7" x14ac:dyDescent="0.25">
      <c r="C724" s="57">
        <f>IFERROR((VLOOKUP(B724,FONT!$W$5:$X$1091,2,0)),0)</f>
        <v>0</v>
      </c>
      <c r="G724" s="56">
        <f>IFERROR((VLOOKUP(B724,PENDIENTES!$L$5:$M$561,2,0)),0)</f>
        <v>0</v>
      </c>
    </row>
    <row r="725" spans="3:7" x14ac:dyDescent="0.25">
      <c r="C725" s="57">
        <f>IFERROR((VLOOKUP(B725,FONT!$W$5:$X$1091,2,0)),0)</f>
        <v>0</v>
      </c>
      <c r="G725" s="56">
        <f>IFERROR((VLOOKUP(B725,PENDIENTES!$L$5:$M$561,2,0)),0)</f>
        <v>0</v>
      </c>
    </row>
    <row r="726" spans="3:7" x14ac:dyDescent="0.25">
      <c r="C726" s="57">
        <f>IFERROR((VLOOKUP(B726,FONT!$W$5:$X$1091,2,0)),0)</f>
        <v>0</v>
      </c>
      <c r="G726" s="56">
        <f>IFERROR((VLOOKUP(B726,PENDIENTES!$L$5:$M$561,2,0)),0)</f>
        <v>0</v>
      </c>
    </row>
    <row r="727" spans="3:7" x14ac:dyDescent="0.25">
      <c r="C727" s="57">
        <f>IFERROR((VLOOKUP(B727,FONT!$W$5:$X$1091,2,0)),0)</f>
        <v>0</v>
      </c>
      <c r="G727" s="56">
        <f>IFERROR((VLOOKUP(B727,PENDIENTES!$L$5:$M$561,2,0)),0)</f>
        <v>0</v>
      </c>
    </row>
    <row r="728" spans="3:7" x14ac:dyDescent="0.25">
      <c r="C728" s="57">
        <f>IFERROR((VLOOKUP(B728,FONT!$W$5:$X$1091,2,0)),0)</f>
        <v>0</v>
      </c>
      <c r="G728" s="56">
        <f>IFERROR((VLOOKUP(B728,PENDIENTES!$L$5:$M$561,2,0)),0)</f>
        <v>0</v>
      </c>
    </row>
    <row r="729" spans="3:7" x14ac:dyDescent="0.25">
      <c r="C729" s="57">
        <f>IFERROR((VLOOKUP(B729,FONT!$W$5:$X$1091,2,0)),0)</f>
        <v>0</v>
      </c>
      <c r="G729" s="56">
        <f>IFERROR((VLOOKUP(B729,PENDIENTES!$L$5:$M$561,2,0)),0)</f>
        <v>0</v>
      </c>
    </row>
    <row r="730" spans="3:7" x14ac:dyDescent="0.25">
      <c r="C730" s="57">
        <f>IFERROR((VLOOKUP(B730,FONT!$W$5:$X$1091,2,0)),0)</f>
        <v>0</v>
      </c>
      <c r="G730" s="56">
        <f>IFERROR((VLOOKUP(B730,PENDIENTES!$L$5:$M$561,2,0)),0)</f>
        <v>0</v>
      </c>
    </row>
    <row r="731" spans="3:7" x14ac:dyDescent="0.25">
      <c r="C731" s="57">
        <f>IFERROR((VLOOKUP(B731,FONT!$W$5:$X$1091,2,0)),0)</f>
        <v>0</v>
      </c>
      <c r="G731" s="56">
        <f>IFERROR((VLOOKUP(B731,PENDIENTES!$L$5:$M$561,2,0)),0)</f>
        <v>0</v>
      </c>
    </row>
    <row r="732" spans="3:7" x14ac:dyDescent="0.25">
      <c r="C732" s="57">
        <f>IFERROR((VLOOKUP(B732,FONT!$W$5:$X$1091,2,0)),0)</f>
        <v>0</v>
      </c>
      <c r="G732" s="56">
        <f>IFERROR((VLOOKUP(B732,PENDIENTES!$L$5:$M$561,2,0)),0)</f>
        <v>0</v>
      </c>
    </row>
    <row r="733" spans="3:7" x14ac:dyDescent="0.25">
      <c r="C733" s="57">
        <f>IFERROR((VLOOKUP(B733,FONT!$W$5:$X$1091,2,0)),0)</f>
        <v>0</v>
      </c>
      <c r="G733" s="56">
        <f>IFERROR((VLOOKUP(B733,PENDIENTES!$L$5:$M$561,2,0)),0)</f>
        <v>0</v>
      </c>
    </row>
    <row r="734" spans="3:7" x14ac:dyDescent="0.25">
      <c r="C734" s="57">
        <f>IFERROR((VLOOKUP(B734,FONT!$W$5:$X$1091,2,0)),0)</f>
        <v>0</v>
      </c>
      <c r="G734" s="56">
        <f>IFERROR((VLOOKUP(B734,PENDIENTES!$L$5:$M$561,2,0)),0)</f>
        <v>0</v>
      </c>
    </row>
    <row r="735" spans="3:7" x14ac:dyDescent="0.25">
      <c r="C735" s="57">
        <f>IFERROR((VLOOKUP(B735,FONT!$W$5:$X$1091,2,0)),0)</f>
        <v>0</v>
      </c>
      <c r="G735" s="56">
        <f>IFERROR((VLOOKUP(B735,PENDIENTES!$L$5:$M$561,2,0)),0)</f>
        <v>0</v>
      </c>
    </row>
    <row r="736" spans="3:7" x14ac:dyDescent="0.25">
      <c r="C736" s="57">
        <f>IFERROR((VLOOKUP(B736,FONT!$W$5:$X$1091,2,0)),0)</f>
        <v>0</v>
      </c>
      <c r="G736" s="56">
        <f>IFERROR((VLOOKUP(B736,PENDIENTES!$L$5:$M$561,2,0)),0)</f>
        <v>0</v>
      </c>
    </row>
    <row r="737" spans="3:7" x14ac:dyDescent="0.25">
      <c r="C737" s="57">
        <f>IFERROR((VLOOKUP(B737,FONT!$W$5:$X$1091,2,0)),0)</f>
        <v>0</v>
      </c>
      <c r="G737" s="56">
        <f>IFERROR((VLOOKUP(B737,PENDIENTES!$L$5:$M$561,2,0)),0)</f>
        <v>0</v>
      </c>
    </row>
    <row r="738" spans="3:7" x14ac:dyDescent="0.25">
      <c r="C738" s="57">
        <f>IFERROR((VLOOKUP(B738,FONT!$W$5:$X$1091,2,0)),0)</f>
        <v>0</v>
      </c>
      <c r="G738" s="56">
        <f>IFERROR((VLOOKUP(B738,PENDIENTES!$L$5:$M$561,2,0)),0)</f>
        <v>0</v>
      </c>
    </row>
    <row r="739" spans="3:7" x14ac:dyDescent="0.25">
      <c r="C739" s="57">
        <f>IFERROR((VLOOKUP(B739,FONT!$W$5:$X$1091,2,0)),0)</f>
        <v>0</v>
      </c>
      <c r="G739" s="56">
        <f>IFERROR((VLOOKUP(B739,PENDIENTES!$L$5:$M$561,2,0)),0)</f>
        <v>0</v>
      </c>
    </row>
    <row r="740" spans="3:7" x14ac:dyDescent="0.25">
      <c r="C740" s="57">
        <f>IFERROR((VLOOKUP(B740,FONT!$W$5:$X$1091,2,0)),0)</f>
        <v>0</v>
      </c>
      <c r="G740" s="56">
        <f>IFERROR((VLOOKUP(B740,PENDIENTES!$L$5:$M$561,2,0)),0)</f>
        <v>0</v>
      </c>
    </row>
    <row r="741" spans="3:7" x14ac:dyDescent="0.25">
      <c r="C741" s="57">
        <f>IFERROR((VLOOKUP(B741,FONT!$W$5:$X$1091,2,0)),0)</f>
        <v>0</v>
      </c>
      <c r="G741" s="56">
        <f>IFERROR((VLOOKUP(B741,PENDIENTES!$L$5:$M$561,2,0)),0)</f>
        <v>0</v>
      </c>
    </row>
    <row r="742" spans="3:7" x14ac:dyDescent="0.25">
      <c r="C742" s="57">
        <f>IFERROR((VLOOKUP(B742,FONT!$W$5:$X$1091,2,0)),0)</f>
        <v>0</v>
      </c>
      <c r="G742" s="56">
        <f>IFERROR((VLOOKUP(B742,PENDIENTES!$L$5:$M$561,2,0)),0)</f>
        <v>0</v>
      </c>
    </row>
    <row r="743" spans="3:7" x14ac:dyDescent="0.25">
      <c r="C743" s="57">
        <f>IFERROR((VLOOKUP(B743,FONT!$W$5:$X$1091,2,0)),0)</f>
        <v>0</v>
      </c>
      <c r="G743" s="56">
        <f>IFERROR((VLOOKUP(B743,PENDIENTES!$L$5:$M$561,2,0)),0)</f>
        <v>0</v>
      </c>
    </row>
    <row r="744" spans="3:7" x14ac:dyDescent="0.25">
      <c r="C744" s="57">
        <f>IFERROR((VLOOKUP(B744,FONT!$W$5:$X$1091,2,0)),0)</f>
        <v>0</v>
      </c>
      <c r="G744" s="56">
        <f>IFERROR((VLOOKUP(B744,PENDIENTES!$L$5:$M$561,2,0)),0)</f>
        <v>0</v>
      </c>
    </row>
    <row r="745" spans="3:7" x14ac:dyDescent="0.25">
      <c r="C745" s="57">
        <f>IFERROR((VLOOKUP(B745,FONT!$W$5:$X$1091,2,0)),0)</f>
        <v>0</v>
      </c>
      <c r="G745" s="56">
        <f>IFERROR((VLOOKUP(B745,PENDIENTES!$L$5:$M$561,2,0)),0)</f>
        <v>0</v>
      </c>
    </row>
    <row r="746" spans="3:7" x14ac:dyDescent="0.25">
      <c r="C746" s="57">
        <f>IFERROR((VLOOKUP(B746,FONT!$W$5:$X$1091,2,0)),0)</f>
        <v>0</v>
      </c>
      <c r="G746" s="56">
        <f>IFERROR((VLOOKUP(B746,PENDIENTES!$L$5:$M$561,2,0)),0)</f>
        <v>0</v>
      </c>
    </row>
    <row r="747" spans="3:7" x14ac:dyDescent="0.25">
      <c r="C747" s="57">
        <f>IFERROR((VLOOKUP(B747,FONT!$W$5:$X$1091,2,0)),0)</f>
        <v>0</v>
      </c>
      <c r="G747" s="56">
        <f>IFERROR((VLOOKUP(B747,PENDIENTES!$L$5:$M$561,2,0)),0)</f>
        <v>0</v>
      </c>
    </row>
    <row r="748" spans="3:7" x14ac:dyDescent="0.25">
      <c r="C748" s="57">
        <f>IFERROR((VLOOKUP(B748,FONT!$W$5:$X$1091,2,0)),0)</f>
        <v>0</v>
      </c>
      <c r="G748" s="56">
        <f>IFERROR((VLOOKUP(B748,PENDIENTES!$L$5:$M$561,2,0)),0)</f>
        <v>0</v>
      </c>
    </row>
    <row r="749" spans="3:7" x14ac:dyDescent="0.25">
      <c r="C749" s="57">
        <f>IFERROR((VLOOKUP(B749,FONT!$W$5:$X$1091,2,0)),0)</f>
        <v>0</v>
      </c>
      <c r="G749" s="56">
        <f>IFERROR((VLOOKUP(B749,PENDIENTES!$L$5:$M$561,2,0)),0)</f>
        <v>0</v>
      </c>
    </row>
    <row r="750" spans="3:7" x14ac:dyDescent="0.25">
      <c r="C750" s="57">
        <f>IFERROR((VLOOKUP(B750,FONT!$W$5:$X$1091,2,0)),0)</f>
        <v>0</v>
      </c>
      <c r="G750" s="56">
        <f>IFERROR((VLOOKUP(B750,PENDIENTES!$L$5:$M$561,2,0)),0)</f>
        <v>0</v>
      </c>
    </row>
    <row r="751" spans="3:7" x14ac:dyDescent="0.25">
      <c r="C751" s="57">
        <f>IFERROR((VLOOKUP(B751,FONT!$W$5:$X$1091,2,0)),0)</f>
        <v>0</v>
      </c>
      <c r="G751" s="56">
        <f>IFERROR((VLOOKUP(B751,PENDIENTES!$L$5:$M$561,2,0)),0)</f>
        <v>0</v>
      </c>
    </row>
    <row r="752" spans="3:7" x14ac:dyDescent="0.25">
      <c r="C752" s="57">
        <f>IFERROR((VLOOKUP(B752,FONT!$W$5:$X$1091,2,0)),0)</f>
        <v>0</v>
      </c>
      <c r="G752" s="56">
        <f>IFERROR((VLOOKUP(B752,PENDIENTES!$L$5:$M$561,2,0)),0)</f>
        <v>0</v>
      </c>
    </row>
    <row r="753" spans="3:7" x14ac:dyDescent="0.25">
      <c r="C753" s="57">
        <f>IFERROR((VLOOKUP(B753,FONT!$W$5:$X$1091,2,0)),0)</f>
        <v>0</v>
      </c>
      <c r="G753" s="56">
        <f>IFERROR((VLOOKUP(B753,PENDIENTES!$L$5:$M$561,2,0)),0)</f>
        <v>0</v>
      </c>
    </row>
    <row r="754" spans="3:7" x14ac:dyDescent="0.25">
      <c r="C754" s="57">
        <f>IFERROR((VLOOKUP(B754,FONT!$W$5:$X$1091,2,0)),0)</f>
        <v>0</v>
      </c>
      <c r="G754" s="56">
        <f>IFERROR((VLOOKUP(B754,PENDIENTES!$L$5:$M$561,2,0)),0)</f>
        <v>0</v>
      </c>
    </row>
    <row r="755" spans="3:7" x14ac:dyDescent="0.25">
      <c r="C755" s="57">
        <f>IFERROR((VLOOKUP(B755,FONT!$W$5:$X$1091,2,0)),0)</f>
        <v>0</v>
      </c>
      <c r="G755" s="56">
        <f>IFERROR((VLOOKUP(B755,PENDIENTES!$L$5:$M$561,2,0)),0)</f>
        <v>0</v>
      </c>
    </row>
    <row r="756" spans="3:7" x14ac:dyDescent="0.25">
      <c r="C756" s="57">
        <f>IFERROR((VLOOKUP(B756,FONT!$W$5:$X$1091,2,0)),0)</f>
        <v>0</v>
      </c>
      <c r="G756" s="56">
        <f>IFERROR((VLOOKUP(B756,PENDIENTES!$L$5:$M$561,2,0)),0)</f>
        <v>0</v>
      </c>
    </row>
    <row r="757" spans="3:7" x14ac:dyDescent="0.25">
      <c r="C757" s="57">
        <f>IFERROR((VLOOKUP(B757,FONT!$W$5:$X$1091,2,0)),0)</f>
        <v>0</v>
      </c>
      <c r="G757" s="56">
        <f>IFERROR((VLOOKUP(B757,PENDIENTES!$L$5:$M$561,2,0)),0)</f>
        <v>0</v>
      </c>
    </row>
    <row r="758" spans="3:7" x14ac:dyDescent="0.25">
      <c r="C758" s="57">
        <f>IFERROR((VLOOKUP(B758,FONT!$W$5:$X$1091,2,0)),0)</f>
        <v>0</v>
      </c>
      <c r="G758" s="56">
        <f>IFERROR((VLOOKUP(B758,PENDIENTES!$L$5:$M$561,2,0)),0)</f>
        <v>0</v>
      </c>
    </row>
    <row r="759" spans="3:7" x14ac:dyDescent="0.25">
      <c r="C759" s="57">
        <f>IFERROR((VLOOKUP(B759,FONT!$W$5:$X$1091,2,0)),0)</f>
        <v>0</v>
      </c>
      <c r="G759" s="56">
        <f>IFERROR((VLOOKUP(B759,PENDIENTES!$L$5:$M$561,2,0)),0)</f>
        <v>0</v>
      </c>
    </row>
    <row r="760" spans="3:7" x14ac:dyDescent="0.25">
      <c r="C760" s="57">
        <f>IFERROR((VLOOKUP(B760,FONT!$W$5:$X$1091,2,0)),0)</f>
        <v>0</v>
      </c>
      <c r="G760" s="56">
        <f>IFERROR((VLOOKUP(B760,PENDIENTES!$L$5:$M$561,2,0)),0)</f>
        <v>0</v>
      </c>
    </row>
    <row r="761" spans="3:7" x14ac:dyDescent="0.25">
      <c r="C761" s="57">
        <f>IFERROR((VLOOKUP(B761,FONT!$W$5:$X$1091,2,0)),0)</f>
        <v>0</v>
      </c>
      <c r="G761" s="56">
        <f>IFERROR((VLOOKUP(B761,PENDIENTES!$L$5:$M$561,2,0)),0)</f>
        <v>0</v>
      </c>
    </row>
    <row r="762" spans="3:7" x14ac:dyDescent="0.25">
      <c r="C762" s="57">
        <f>IFERROR((VLOOKUP(B762,FONT!$W$5:$X$1091,2,0)),0)</f>
        <v>0</v>
      </c>
      <c r="G762" s="56">
        <f>IFERROR((VLOOKUP(B762,PENDIENTES!$L$5:$M$561,2,0)),0)</f>
        <v>0</v>
      </c>
    </row>
    <row r="763" spans="3:7" x14ac:dyDescent="0.25">
      <c r="C763" s="57">
        <f>IFERROR((VLOOKUP(B763,FONT!$W$5:$X$1091,2,0)),0)</f>
        <v>0</v>
      </c>
      <c r="G763" s="56">
        <f>IFERROR((VLOOKUP(B763,PENDIENTES!$L$5:$M$561,2,0)),0)</f>
        <v>0</v>
      </c>
    </row>
    <row r="764" spans="3:7" x14ac:dyDescent="0.25">
      <c r="C764" s="57">
        <f>IFERROR((VLOOKUP(B764,FONT!$W$5:$X$1091,2,0)),0)</f>
        <v>0</v>
      </c>
      <c r="G764" s="56">
        <f>IFERROR((VLOOKUP(B764,PENDIENTES!$L$5:$M$561,2,0)),0)</f>
        <v>0</v>
      </c>
    </row>
    <row r="765" spans="3:7" x14ac:dyDescent="0.25">
      <c r="C765" s="57">
        <f>IFERROR((VLOOKUP(B765,FONT!$W$5:$X$1091,2,0)),0)</f>
        <v>0</v>
      </c>
      <c r="G765" s="56">
        <f>IFERROR((VLOOKUP(B765,PENDIENTES!$L$5:$M$561,2,0)),0)</f>
        <v>0</v>
      </c>
    </row>
    <row r="766" spans="3:7" x14ac:dyDescent="0.25">
      <c r="C766" s="57">
        <f>IFERROR((VLOOKUP(B766,FONT!$W$5:$X$1091,2,0)),0)</f>
        <v>0</v>
      </c>
      <c r="G766" s="56">
        <f>IFERROR((VLOOKUP(B766,PENDIENTES!$L$5:$M$561,2,0)),0)</f>
        <v>0</v>
      </c>
    </row>
    <row r="767" spans="3:7" x14ac:dyDescent="0.25">
      <c r="C767" s="57">
        <f>IFERROR((VLOOKUP(B767,FONT!$W$5:$X$1091,2,0)),0)</f>
        <v>0</v>
      </c>
      <c r="G767" s="56">
        <f>IFERROR((VLOOKUP(B767,PENDIENTES!$L$5:$M$561,2,0)),0)</f>
        <v>0</v>
      </c>
    </row>
    <row r="768" spans="3:7" x14ac:dyDescent="0.25">
      <c r="C768" s="57">
        <f>IFERROR((VLOOKUP(B768,FONT!$W$5:$X$1091,2,0)),0)</f>
        <v>0</v>
      </c>
      <c r="G768" s="56">
        <f>IFERROR((VLOOKUP(B768,PENDIENTES!$L$5:$M$561,2,0)),0)</f>
        <v>0</v>
      </c>
    </row>
    <row r="769" spans="3:7" x14ac:dyDescent="0.25">
      <c r="C769" s="57">
        <f>IFERROR((VLOOKUP(B769,FONT!$W$5:$X$1091,2,0)),0)</f>
        <v>0</v>
      </c>
      <c r="G769" s="56">
        <f>IFERROR((VLOOKUP(B769,PENDIENTES!$L$5:$M$561,2,0)),0)</f>
        <v>0</v>
      </c>
    </row>
    <row r="770" spans="3:7" x14ac:dyDescent="0.25">
      <c r="C770" s="57">
        <f>IFERROR((VLOOKUP(B770,FONT!$W$5:$X$1091,2,0)),0)</f>
        <v>0</v>
      </c>
      <c r="G770" s="56">
        <f>IFERROR((VLOOKUP(B770,PENDIENTES!$L$5:$M$561,2,0)),0)</f>
        <v>0</v>
      </c>
    </row>
    <row r="771" spans="3:7" x14ac:dyDescent="0.25">
      <c r="C771" s="57">
        <f>IFERROR((VLOOKUP(B771,FONT!$W$5:$X$1091,2,0)),0)</f>
        <v>0</v>
      </c>
      <c r="G771" s="56">
        <f>IFERROR((VLOOKUP(B771,PENDIENTES!$L$5:$M$561,2,0)),0)</f>
        <v>0</v>
      </c>
    </row>
    <row r="772" spans="3:7" x14ac:dyDescent="0.25">
      <c r="C772" s="57">
        <f>IFERROR((VLOOKUP(B772,FONT!$W$5:$X$1091,2,0)),0)</f>
        <v>0</v>
      </c>
      <c r="G772" s="56">
        <f>IFERROR((VLOOKUP(B772,PENDIENTES!$L$5:$M$561,2,0)),0)</f>
        <v>0</v>
      </c>
    </row>
    <row r="773" spans="3:7" x14ac:dyDescent="0.25">
      <c r="C773" s="57">
        <f>IFERROR((VLOOKUP(B773,FONT!$W$5:$X$1091,2,0)),0)</f>
        <v>0</v>
      </c>
      <c r="G773" s="56">
        <f>IFERROR((VLOOKUP(B773,PENDIENTES!$L$5:$M$561,2,0)),0)</f>
        <v>0</v>
      </c>
    </row>
    <row r="774" spans="3:7" x14ac:dyDescent="0.25">
      <c r="C774" s="57">
        <f>IFERROR((VLOOKUP(B774,FONT!$W$5:$X$1091,2,0)),0)</f>
        <v>0</v>
      </c>
      <c r="G774" s="56">
        <f>IFERROR((VLOOKUP(B774,PENDIENTES!$L$5:$M$561,2,0)),0)</f>
        <v>0</v>
      </c>
    </row>
    <row r="775" spans="3:7" x14ac:dyDescent="0.25">
      <c r="C775" s="57">
        <f>IFERROR((VLOOKUP(B775,FONT!$W$5:$X$1091,2,0)),0)</f>
        <v>0</v>
      </c>
      <c r="G775" s="56">
        <f>IFERROR((VLOOKUP(B775,PENDIENTES!$L$5:$M$561,2,0)),0)</f>
        <v>0</v>
      </c>
    </row>
    <row r="776" spans="3:7" x14ac:dyDescent="0.25">
      <c r="C776" s="57">
        <f>IFERROR((VLOOKUP(B776,FONT!$W$5:$X$1091,2,0)),0)</f>
        <v>0</v>
      </c>
      <c r="G776" s="56">
        <f>IFERROR((VLOOKUP(B776,PENDIENTES!$L$5:$M$561,2,0)),0)</f>
        <v>0</v>
      </c>
    </row>
    <row r="777" spans="3:7" x14ac:dyDescent="0.25">
      <c r="C777" s="57">
        <f>IFERROR((VLOOKUP(B777,FONT!$W$5:$X$1091,2,0)),0)</f>
        <v>0</v>
      </c>
      <c r="G777" s="56">
        <f>IFERROR((VLOOKUP(B777,PENDIENTES!$L$5:$M$561,2,0)),0)</f>
        <v>0</v>
      </c>
    </row>
    <row r="778" spans="3:7" x14ac:dyDescent="0.25">
      <c r="C778" s="57">
        <f>IFERROR((VLOOKUP(B778,FONT!$W$5:$X$1091,2,0)),0)</f>
        <v>0</v>
      </c>
      <c r="G778" s="56">
        <f>IFERROR((VLOOKUP(B778,PENDIENTES!$L$5:$M$561,2,0)),0)</f>
        <v>0</v>
      </c>
    </row>
    <row r="779" spans="3:7" x14ac:dyDescent="0.25">
      <c r="C779" s="57">
        <f>IFERROR((VLOOKUP(B779,FONT!$W$5:$X$1091,2,0)),0)</f>
        <v>0</v>
      </c>
      <c r="G779" s="56">
        <f>IFERROR((VLOOKUP(B779,PENDIENTES!$L$5:$M$561,2,0)),0)</f>
        <v>0</v>
      </c>
    </row>
    <row r="780" spans="3:7" x14ac:dyDescent="0.25">
      <c r="C780" s="57">
        <f>IFERROR((VLOOKUP(B780,FONT!$W$5:$X$1091,2,0)),0)</f>
        <v>0</v>
      </c>
      <c r="G780" s="56">
        <f>IFERROR((VLOOKUP(B780,PENDIENTES!$L$5:$M$561,2,0)),0)</f>
        <v>0</v>
      </c>
    </row>
    <row r="781" spans="3:7" x14ac:dyDescent="0.25">
      <c r="C781" s="57">
        <f>IFERROR((VLOOKUP(B781,FONT!$W$5:$X$1091,2,0)),0)</f>
        <v>0</v>
      </c>
      <c r="G781" s="56">
        <f>IFERROR((VLOOKUP(B781,PENDIENTES!$L$5:$M$561,2,0)),0)</f>
        <v>0</v>
      </c>
    </row>
    <row r="782" spans="3:7" x14ac:dyDescent="0.25">
      <c r="C782" s="57">
        <f>IFERROR((VLOOKUP(B782,FONT!$W$5:$X$1091,2,0)),0)</f>
        <v>0</v>
      </c>
      <c r="G782" s="56">
        <f>IFERROR((VLOOKUP(B782,PENDIENTES!$L$5:$M$561,2,0)),0)</f>
        <v>0</v>
      </c>
    </row>
    <row r="783" spans="3:7" x14ac:dyDescent="0.25">
      <c r="C783" s="57">
        <f>IFERROR((VLOOKUP(B783,FONT!$W$5:$X$1091,2,0)),0)</f>
        <v>0</v>
      </c>
      <c r="G783" s="56">
        <f>IFERROR((VLOOKUP(B783,PENDIENTES!$L$5:$M$561,2,0)),0)</f>
        <v>0</v>
      </c>
    </row>
    <row r="784" spans="3:7" x14ac:dyDescent="0.25">
      <c r="C784" s="57">
        <f>IFERROR((VLOOKUP(B784,FONT!$W$5:$X$1091,2,0)),0)</f>
        <v>0</v>
      </c>
      <c r="G784" s="56">
        <f>IFERROR((VLOOKUP(B784,PENDIENTES!$L$5:$M$561,2,0)),0)</f>
        <v>0</v>
      </c>
    </row>
    <row r="785" spans="3:7" x14ac:dyDescent="0.25">
      <c r="C785" s="57">
        <f>IFERROR((VLOOKUP(B785,FONT!$W$5:$X$1091,2,0)),0)</f>
        <v>0</v>
      </c>
      <c r="G785" s="56">
        <f>IFERROR((VLOOKUP(B785,PENDIENTES!$L$5:$M$561,2,0)),0)</f>
        <v>0</v>
      </c>
    </row>
    <row r="786" spans="3:7" x14ac:dyDescent="0.25">
      <c r="C786" s="57">
        <f>IFERROR((VLOOKUP(B786,FONT!$W$5:$X$1091,2,0)),0)</f>
        <v>0</v>
      </c>
      <c r="G786" s="56">
        <f>IFERROR((VLOOKUP(B786,PENDIENTES!$L$5:$M$561,2,0)),0)</f>
        <v>0</v>
      </c>
    </row>
    <row r="787" spans="3:7" x14ac:dyDescent="0.25">
      <c r="C787" s="57">
        <f>IFERROR((VLOOKUP(B787,FONT!$W$5:$X$1091,2,0)),0)</f>
        <v>0</v>
      </c>
      <c r="G787" s="56">
        <f>IFERROR((VLOOKUP(B787,PENDIENTES!$L$5:$M$561,2,0)),0)</f>
        <v>0</v>
      </c>
    </row>
    <row r="788" spans="3:7" x14ac:dyDescent="0.25">
      <c r="C788" s="57">
        <f>IFERROR((VLOOKUP(B788,FONT!$W$5:$X$1091,2,0)),0)</f>
        <v>0</v>
      </c>
      <c r="G788" s="56">
        <f>IFERROR((VLOOKUP(B788,PENDIENTES!$L$5:$M$561,2,0)),0)</f>
        <v>0</v>
      </c>
    </row>
    <row r="789" spans="3:7" x14ac:dyDescent="0.25">
      <c r="C789" s="57">
        <f>IFERROR((VLOOKUP(B789,FONT!$W$5:$X$1091,2,0)),0)</f>
        <v>0</v>
      </c>
      <c r="G789" s="56">
        <f>IFERROR((VLOOKUP(B789,PENDIENTES!$L$5:$M$561,2,0)),0)</f>
        <v>0</v>
      </c>
    </row>
    <row r="790" spans="3:7" x14ac:dyDescent="0.25">
      <c r="C790" s="57">
        <f>IFERROR((VLOOKUP(B790,FONT!$W$5:$X$1091,2,0)),0)</f>
        <v>0</v>
      </c>
      <c r="G790" s="56">
        <f>IFERROR((VLOOKUP(B790,PENDIENTES!$L$5:$M$561,2,0)),0)</f>
        <v>0</v>
      </c>
    </row>
    <row r="791" spans="3:7" x14ac:dyDescent="0.25">
      <c r="C791" s="57">
        <f>IFERROR((VLOOKUP(B791,FONT!$W$5:$X$1091,2,0)),0)</f>
        <v>0</v>
      </c>
      <c r="G791" s="56">
        <f>IFERROR((VLOOKUP(B791,PENDIENTES!$L$5:$M$561,2,0)),0)</f>
        <v>0</v>
      </c>
    </row>
    <row r="792" spans="3:7" x14ac:dyDescent="0.25">
      <c r="C792" s="57">
        <f>IFERROR((VLOOKUP(B792,FONT!$W$5:$X$1091,2,0)),0)</f>
        <v>0</v>
      </c>
      <c r="G792" s="56">
        <f>IFERROR((VLOOKUP(B792,PENDIENTES!$L$5:$M$561,2,0)),0)</f>
        <v>0</v>
      </c>
    </row>
    <row r="793" spans="3:7" x14ac:dyDescent="0.25">
      <c r="C793" s="57">
        <f>IFERROR((VLOOKUP(B793,FONT!$W$5:$X$1091,2,0)),0)</f>
        <v>0</v>
      </c>
      <c r="G793" s="56">
        <f>IFERROR((VLOOKUP(B793,PENDIENTES!$L$5:$M$561,2,0)),0)</f>
        <v>0</v>
      </c>
    </row>
    <row r="794" spans="3:7" x14ac:dyDescent="0.25">
      <c r="C794" s="57">
        <f>IFERROR((VLOOKUP(B794,FONT!$W$5:$X$1091,2,0)),0)</f>
        <v>0</v>
      </c>
      <c r="G794" s="56">
        <f>IFERROR((VLOOKUP(B794,PENDIENTES!$L$5:$M$561,2,0)),0)</f>
        <v>0</v>
      </c>
    </row>
    <row r="795" spans="3:7" x14ac:dyDescent="0.25">
      <c r="C795" s="57">
        <f>IFERROR((VLOOKUP(B795,FONT!$W$5:$X$1091,2,0)),0)</f>
        <v>0</v>
      </c>
      <c r="G795" s="56">
        <f>IFERROR((VLOOKUP(B795,PENDIENTES!$L$5:$M$561,2,0)),0)</f>
        <v>0</v>
      </c>
    </row>
    <row r="796" spans="3:7" x14ac:dyDescent="0.25">
      <c r="C796" s="57">
        <f>IFERROR((VLOOKUP(B796,FONT!$W$5:$X$1091,2,0)),0)</f>
        <v>0</v>
      </c>
      <c r="G796" s="56">
        <f>IFERROR((VLOOKUP(B796,PENDIENTES!$L$5:$M$561,2,0)),0)</f>
        <v>0</v>
      </c>
    </row>
    <row r="797" spans="3:7" x14ac:dyDescent="0.25">
      <c r="C797" s="57">
        <f>IFERROR((VLOOKUP(B797,FONT!$W$5:$X$1091,2,0)),0)</f>
        <v>0</v>
      </c>
      <c r="G797" s="56">
        <f>IFERROR((VLOOKUP(B797,PENDIENTES!$L$5:$M$561,2,0)),0)</f>
        <v>0</v>
      </c>
    </row>
    <row r="798" spans="3:7" x14ac:dyDescent="0.25">
      <c r="C798" s="57">
        <f>IFERROR((VLOOKUP(B798,FONT!$W$5:$X$1091,2,0)),0)</f>
        <v>0</v>
      </c>
      <c r="G798" s="56">
        <f>IFERROR((VLOOKUP(B798,PENDIENTES!$L$5:$M$561,2,0)),0)</f>
        <v>0</v>
      </c>
    </row>
    <row r="799" spans="3:7" x14ac:dyDescent="0.25">
      <c r="C799" s="57">
        <f>IFERROR((VLOOKUP(B799,FONT!$W$5:$X$1091,2,0)),0)</f>
        <v>0</v>
      </c>
      <c r="G799" s="56">
        <f>IFERROR((VLOOKUP(B799,PENDIENTES!$L$5:$M$561,2,0)),0)</f>
        <v>0</v>
      </c>
    </row>
    <row r="800" spans="3:7" x14ac:dyDescent="0.25">
      <c r="C800" s="57">
        <f>IFERROR((VLOOKUP(B800,FONT!$W$5:$X$1091,2,0)),0)</f>
        <v>0</v>
      </c>
      <c r="G800" s="56">
        <f>IFERROR((VLOOKUP(B800,PENDIENTES!$L$5:$M$561,2,0)),0)</f>
        <v>0</v>
      </c>
    </row>
    <row r="801" spans="3:7" x14ac:dyDescent="0.25">
      <c r="C801" s="57">
        <f>IFERROR((VLOOKUP(B801,FONT!$W$5:$X$1091,2,0)),0)</f>
        <v>0</v>
      </c>
      <c r="G801" s="56">
        <f>IFERROR((VLOOKUP(B801,PENDIENTES!$L$5:$M$561,2,0)),0)</f>
        <v>0</v>
      </c>
    </row>
    <row r="802" spans="3:7" x14ac:dyDescent="0.25">
      <c r="C802" s="57">
        <f>IFERROR((VLOOKUP(B802,FONT!$W$5:$X$1091,2,0)),0)</f>
        <v>0</v>
      </c>
      <c r="G802" s="56">
        <f>IFERROR((VLOOKUP(B802,PENDIENTES!$L$5:$M$561,2,0)),0)</f>
        <v>0</v>
      </c>
    </row>
    <row r="803" spans="3:7" x14ac:dyDescent="0.25">
      <c r="C803" s="57">
        <f>IFERROR((VLOOKUP(B803,FONT!$W$5:$X$1091,2,0)),0)</f>
        <v>0</v>
      </c>
      <c r="G803" s="56">
        <f>IFERROR((VLOOKUP(B803,PENDIENTES!$L$5:$M$561,2,0)),0)</f>
        <v>0</v>
      </c>
    </row>
    <row r="804" spans="3:7" x14ac:dyDescent="0.25">
      <c r="C804" s="57">
        <f>IFERROR((VLOOKUP(B804,FONT!$W$5:$X$1091,2,0)),0)</f>
        <v>0</v>
      </c>
      <c r="G804" s="56">
        <f>IFERROR((VLOOKUP(B804,PENDIENTES!$L$5:$M$561,2,0)),0)</f>
        <v>0</v>
      </c>
    </row>
    <row r="805" spans="3:7" x14ac:dyDescent="0.25">
      <c r="C805" s="57">
        <f>IFERROR((VLOOKUP(B805,FONT!$W$5:$X$1091,2,0)),0)</f>
        <v>0</v>
      </c>
      <c r="G805" s="56">
        <f>IFERROR((VLOOKUP(B805,PENDIENTES!$L$5:$M$561,2,0)),0)</f>
        <v>0</v>
      </c>
    </row>
    <row r="806" spans="3:7" x14ac:dyDescent="0.25">
      <c r="C806" s="57">
        <f>IFERROR((VLOOKUP(B806,FONT!$W$5:$X$1091,2,0)),0)</f>
        <v>0</v>
      </c>
      <c r="G806" s="56">
        <f>IFERROR((VLOOKUP(B806,PENDIENTES!$L$5:$M$561,2,0)),0)</f>
        <v>0</v>
      </c>
    </row>
    <row r="807" spans="3:7" x14ac:dyDescent="0.25">
      <c r="C807" s="57">
        <f>IFERROR((VLOOKUP(B807,FONT!$W$5:$X$1091,2,0)),0)</f>
        <v>0</v>
      </c>
      <c r="G807" s="56">
        <f>IFERROR((VLOOKUP(B807,PENDIENTES!$L$5:$M$561,2,0)),0)</f>
        <v>0</v>
      </c>
    </row>
    <row r="808" spans="3:7" x14ac:dyDescent="0.25">
      <c r="C808" s="57">
        <f>IFERROR((VLOOKUP(B808,FONT!$W$5:$X$1091,2,0)),0)</f>
        <v>0</v>
      </c>
      <c r="G808" s="56">
        <f>IFERROR((VLOOKUP(B808,PENDIENTES!$L$5:$M$561,2,0)),0)</f>
        <v>0</v>
      </c>
    </row>
    <row r="809" spans="3:7" x14ac:dyDescent="0.25">
      <c r="C809" s="57">
        <f>IFERROR((VLOOKUP(B809,FONT!$W$5:$X$1091,2,0)),0)</f>
        <v>0</v>
      </c>
      <c r="G809" s="56">
        <f>IFERROR((VLOOKUP(B809,PENDIENTES!$L$5:$M$561,2,0)),0)</f>
        <v>0</v>
      </c>
    </row>
    <row r="810" spans="3:7" x14ac:dyDescent="0.25">
      <c r="C810" s="57">
        <f>IFERROR((VLOOKUP(B810,FONT!$W$5:$X$1091,2,0)),0)</f>
        <v>0</v>
      </c>
      <c r="G810" s="56">
        <f>IFERROR((VLOOKUP(B810,PENDIENTES!$L$5:$M$561,2,0)),0)</f>
        <v>0</v>
      </c>
    </row>
    <row r="811" spans="3:7" x14ac:dyDescent="0.25">
      <c r="C811" s="57">
        <f>IFERROR((VLOOKUP(B811,FONT!$W$5:$X$1091,2,0)),0)</f>
        <v>0</v>
      </c>
      <c r="G811" s="56">
        <f>IFERROR((VLOOKUP(B811,PENDIENTES!$L$5:$M$561,2,0)),0)</f>
        <v>0</v>
      </c>
    </row>
    <row r="812" spans="3:7" x14ac:dyDescent="0.25">
      <c r="C812" s="57">
        <f>IFERROR((VLOOKUP(B812,FONT!$W$5:$X$1091,2,0)),0)</f>
        <v>0</v>
      </c>
      <c r="G812" s="56">
        <f>IFERROR((VLOOKUP(B812,PENDIENTES!$L$5:$M$561,2,0)),0)</f>
        <v>0</v>
      </c>
    </row>
    <row r="813" spans="3:7" x14ac:dyDescent="0.25">
      <c r="C813" s="57">
        <f>IFERROR((VLOOKUP(B813,FONT!$W$5:$X$1091,2,0)),0)</f>
        <v>0</v>
      </c>
      <c r="G813" s="56">
        <f>IFERROR((VLOOKUP(B813,PENDIENTES!$L$5:$M$561,2,0)),0)</f>
        <v>0</v>
      </c>
    </row>
    <row r="814" spans="3:7" x14ac:dyDescent="0.25">
      <c r="C814" s="57">
        <f>IFERROR((VLOOKUP(B814,FONT!$W$5:$X$1091,2,0)),0)</f>
        <v>0</v>
      </c>
      <c r="G814" s="56">
        <f>IFERROR((VLOOKUP(B814,PENDIENTES!$L$5:$M$561,2,0)),0)</f>
        <v>0</v>
      </c>
    </row>
    <row r="815" spans="3:7" x14ac:dyDescent="0.25">
      <c r="C815" s="57">
        <f>IFERROR((VLOOKUP(B815,FONT!$W$5:$X$1091,2,0)),0)</f>
        <v>0</v>
      </c>
      <c r="G815" s="56">
        <f>IFERROR((VLOOKUP(B815,PENDIENTES!$L$5:$M$561,2,0)),0)</f>
        <v>0</v>
      </c>
    </row>
    <row r="816" spans="3:7" x14ac:dyDescent="0.25">
      <c r="C816" s="57">
        <f>IFERROR((VLOOKUP(B816,FONT!$W$5:$X$1091,2,0)),0)</f>
        <v>0</v>
      </c>
      <c r="G816" s="56">
        <f>IFERROR((VLOOKUP(B816,PENDIENTES!$L$5:$M$561,2,0)),0)</f>
        <v>0</v>
      </c>
    </row>
    <row r="817" spans="3:7" x14ac:dyDescent="0.25">
      <c r="C817" s="57">
        <f>IFERROR((VLOOKUP(B817,FONT!$W$5:$X$1091,2,0)),0)</f>
        <v>0</v>
      </c>
      <c r="G817" s="56">
        <f>IFERROR((VLOOKUP(B817,PENDIENTES!$L$5:$M$561,2,0)),0)</f>
        <v>0</v>
      </c>
    </row>
    <row r="818" spans="3:7" x14ac:dyDescent="0.25">
      <c r="C818" s="57">
        <f>IFERROR((VLOOKUP(B818,FONT!$W$5:$X$1091,2,0)),0)</f>
        <v>0</v>
      </c>
      <c r="G818" s="56">
        <f>IFERROR((VLOOKUP(B818,PENDIENTES!$L$5:$M$561,2,0)),0)</f>
        <v>0</v>
      </c>
    </row>
    <row r="819" spans="3:7" x14ac:dyDescent="0.25">
      <c r="C819" s="57">
        <f>IFERROR((VLOOKUP(B819,FONT!$W$5:$X$1091,2,0)),0)</f>
        <v>0</v>
      </c>
      <c r="G819" s="56">
        <f>IFERROR((VLOOKUP(B819,PENDIENTES!$L$5:$M$561,2,0)),0)</f>
        <v>0</v>
      </c>
    </row>
    <row r="820" spans="3:7" x14ac:dyDescent="0.25">
      <c r="C820" s="57">
        <f>IFERROR((VLOOKUP(B820,FONT!$W$5:$X$1091,2,0)),0)</f>
        <v>0</v>
      </c>
      <c r="G820" s="56">
        <f>IFERROR((VLOOKUP(B820,PENDIENTES!$L$5:$M$561,2,0)),0)</f>
        <v>0</v>
      </c>
    </row>
    <row r="821" spans="3:7" x14ac:dyDescent="0.25">
      <c r="C821" s="57">
        <f>IFERROR((VLOOKUP(B821,FONT!$W$5:$X$1091,2,0)),0)</f>
        <v>0</v>
      </c>
      <c r="G821" s="56">
        <f>IFERROR((VLOOKUP(B821,PENDIENTES!$L$5:$M$561,2,0)),0)</f>
        <v>0</v>
      </c>
    </row>
    <row r="822" spans="3:7" x14ac:dyDescent="0.25">
      <c r="C822" s="57">
        <f>IFERROR((VLOOKUP(B822,FONT!$W$5:$X$1091,2,0)),0)</f>
        <v>0</v>
      </c>
      <c r="G822" s="56">
        <f>IFERROR((VLOOKUP(B822,PENDIENTES!$L$5:$M$561,2,0)),0)</f>
        <v>0</v>
      </c>
    </row>
    <row r="823" spans="3:7" x14ac:dyDescent="0.25">
      <c r="C823" s="57">
        <f>IFERROR((VLOOKUP(B823,FONT!$W$5:$X$1091,2,0)),0)</f>
        <v>0</v>
      </c>
      <c r="G823" s="56">
        <f>IFERROR((VLOOKUP(B823,PENDIENTES!$L$5:$M$561,2,0)),0)</f>
        <v>0</v>
      </c>
    </row>
    <row r="824" spans="3:7" x14ac:dyDescent="0.25">
      <c r="C824" s="57">
        <f>IFERROR((VLOOKUP(B824,FONT!$W$5:$X$1091,2,0)),0)</f>
        <v>0</v>
      </c>
      <c r="G824" s="56">
        <f>IFERROR((VLOOKUP(B824,PENDIENTES!$L$5:$M$561,2,0)),0)</f>
        <v>0</v>
      </c>
    </row>
    <row r="825" spans="3:7" x14ac:dyDescent="0.25">
      <c r="C825" s="57">
        <f>IFERROR((VLOOKUP(B825,FONT!$W$5:$X$1091,2,0)),0)</f>
        <v>0</v>
      </c>
      <c r="G825" s="56">
        <f>IFERROR((VLOOKUP(B825,PENDIENTES!$L$5:$M$561,2,0)),0)</f>
        <v>0</v>
      </c>
    </row>
    <row r="826" spans="3:7" x14ac:dyDescent="0.25">
      <c r="C826" s="57">
        <f>IFERROR((VLOOKUP(B826,FONT!$W$5:$X$1091,2,0)),0)</f>
        <v>0</v>
      </c>
      <c r="G826" s="56">
        <f>IFERROR((VLOOKUP(B826,PENDIENTES!$L$5:$M$561,2,0)),0)</f>
        <v>0</v>
      </c>
    </row>
    <row r="827" spans="3:7" x14ac:dyDescent="0.25">
      <c r="C827" s="57">
        <f>IFERROR((VLOOKUP(B827,FONT!$W$5:$X$1091,2,0)),0)</f>
        <v>0</v>
      </c>
      <c r="G827" s="56">
        <f>IFERROR((VLOOKUP(B827,PENDIENTES!$L$5:$M$561,2,0)),0)</f>
        <v>0</v>
      </c>
    </row>
    <row r="828" spans="3:7" x14ac:dyDescent="0.25">
      <c r="C828" s="57">
        <f>IFERROR((VLOOKUP(B828,FONT!$W$5:$X$1091,2,0)),0)</f>
        <v>0</v>
      </c>
      <c r="G828" s="56">
        <f>IFERROR((VLOOKUP(B828,PENDIENTES!$L$5:$M$561,2,0)),0)</f>
        <v>0</v>
      </c>
    </row>
    <row r="829" spans="3:7" x14ac:dyDescent="0.25">
      <c r="C829" s="57">
        <f>IFERROR((VLOOKUP(B829,FONT!$W$5:$X$1091,2,0)),0)</f>
        <v>0</v>
      </c>
      <c r="G829" s="56">
        <f>IFERROR((VLOOKUP(B829,PENDIENTES!$L$5:$M$561,2,0)),0)</f>
        <v>0</v>
      </c>
    </row>
    <row r="830" spans="3:7" x14ac:dyDescent="0.25">
      <c r="C830" s="57">
        <f>IFERROR((VLOOKUP(B830,FONT!$W$5:$X$1091,2,0)),0)</f>
        <v>0</v>
      </c>
      <c r="G830" s="56">
        <f>IFERROR((VLOOKUP(B830,PENDIENTES!$L$5:$M$561,2,0)),0)</f>
        <v>0</v>
      </c>
    </row>
    <row r="831" spans="3:7" x14ac:dyDescent="0.25">
      <c r="C831" s="57">
        <f>IFERROR((VLOOKUP(B831,FONT!$W$5:$X$1091,2,0)),0)</f>
        <v>0</v>
      </c>
      <c r="G831" s="56">
        <f>IFERROR((VLOOKUP(B831,PENDIENTES!$L$5:$M$561,2,0)),0)</f>
        <v>0</v>
      </c>
    </row>
    <row r="832" spans="3:7" x14ac:dyDescent="0.25">
      <c r="C832" s="57">
        <f>IFERROR((VLOOKUP(B832,FONT!$W$5:$X$1091,2,0)),0)</f>
        <v>0</v>
      </c>
      <c r="G832" s="56">
        <f>IFERROR((VLOOKUP(B832,PENDIENTES!$L$5:$M$561,2,0)),0)</f>
        <v>0</v>
      </c>
    </row>
    <row r="833" spans="3:7" x14ac:dyDescent="0.25">
      <c r="C833" s="57">
        <f>IFERROR((VLOOKUP(B833,FONT!$W$5:$X$1091,2,0)),0)</f>
        <v>0</v>
      </c>
      <c r="G833" s="56">
        <f>IFERROR((VLOOKUP(B833,PENDIENTES!$L$5:$M$561,2,0)),0)</f>
        <v>0</v>
      </c>
    </row>
    <row r="834" spans="3:7" x14ac:dyDescent="0.25">
      <c r="C834" s="57">
        <f>IFERROR((VLOOKUP(B834,FONT!$W$5:$X$1091,2,0)),0)</f>
        <v>0</v>
      </c>
      <c r="G834" s="56">
        <f>IFERROR((VLOOKUP(B834,PENDIENTES!$L$5:$M$561,2,0)),0)</f>
        <v>0</v>
      </c>
    </row>
    <row r="835" spans="3:7" x14ac:dyDescent="0.25">
      <c r="C835" s="57">
        <f>IFERROR((VLOOKUP(B835,FONT!$W$5:$X$1091,2,0)),0)</f>
        <v>0</v>
      </c>
      <c r="G835" s="56">
        <f>IFERROR((VLOOKUP(B835,PENDIENTES!$L$5:$M$561,2,0)),0)</f>
        <v>0</v>
      </c>
    </row>
    <row r="836" spans="3:7" x14ac:dyDescent="0.25">
      <c r="C836" s="57">
        <f>IFERROR((VLOOKUP(B836,FONT!$W$5:$X$1091,2,0)),0)</f>
        <v>0</v>
      </c>
      <c r="G836" s="56">
        <f>IFERROR((VLOOKUP(B836,PENDIENTES!$L$5:$M$561,2,0)),0)</f>
        <v>0</v>
      </c>
    </row>
    <row r="837" spans="3:7" x14ac:dyDescent="0.25">
      <c r="C837" s="57">
        <f>IFERROR((VLOOKUP(B837,FONT!$W$5:$X$1091,2,0)),0)</f>
        <v>0</v>
      </c>
      <c r="G837" s="56">
        <f>IFERROR((VLOOKUP(B837,PENDIENTES!$L$5:$M$561,2,0)),0)</f>
        <v>0</v>
      </c>
    </row>
    <row r="838" spans="3:7" x14ac:dyDescent="0.25">
      <c r="C838" s="57">
        <f>IFERROR((VLOOKUP(B838,FONT!$W$5:$X$1091,2,0)),0)</f>
        <v>0</v>
      </c>
      <c r="G838" s="56">
        <f>IFERROR((VLOOKUP(B838,PENDIENTES!$L$5:$M$561,2,0)),0)</f>
        <v>0</v>
      </c>
    </row>
    <row r="839" spans="3:7" x14ac:dyDescent="0.25">
      <c r="C839" s="57">
        <f>IFERROR((VLOOKUP(B839,FONT!$W$5:$X$1091,2,0)),0)</f>
        <v>0</v>
      </c>
      <c r="G839" s="56">
        <f>IFERROR((VLOOKUP(B839,PENDIENTES!$L$5:$M$561,2,0)),0)</f>
        <v>0</v>
      </c>
    </row>
    <row r="840" spans="3:7" x14ac:dyDescent="0.25">
      <c r="C840" s="57">
        <f>IFERROR((VLOOKUP(B840,FONT!$W$5:$X$1091,2,0)),0)</f>
        <v>0</v>
      </c>
      <c r="G840" s="56">
        <f>IFERROR((VLOOKUP(B840,PENDIENTES!$L$5:$M$561,2,0)),0)</f>
        <v>0</v>
      </c>
    </row>
    <row r="841" spans="3:7" x14ac:dyDescent="0.25">
      <c r="C841" s="57">
        <f>IFERROR((VLOOKUP(B841,FONT!$W$5:$X$1091,2,0)),0)</f>
        <v>0</v>
      </c>
      <c r="G841" s="56">
        <f>IFERROR((VLOOKUP(B841,PENDIENTES!$L$5:$M$561,2,0)),0)</f>
        <v>0</v>
      </c>
    </row>
    <row r="842" spans="3:7" x14ac:dyDescent="0.25">
      <c r="C842" s="57">
        <f>IFERROR((VLOOKUP(B842,FONT!$W$5:$X$1091,2,0)),0)</f>
        <v>0</v>
      </c>
      <c r="G842" s="56">
        <f>IFERROR((VLOOKUP(B842,PENDIENTES!$L$5:$M$561,2,0)),0)</f>
        <v>0</v>
      </c>
    </row>
    <row r="843" spans="3:7" x14ac:dyDescent="0.25">
      <c r="C843" s="57">
        <f>IFERROR((VLOOKUP(B843,FONT!$W$5:$X$1091,2,0)),0)</f>
        <v>0</v>
      </c>
      <c r="G843" s="56">
        <f>IFERROR((VLOOKUP(B843,PENDIENTES!$L$5:$M$561,2,0)),0)</f>
        <v>0</v>
      </c>
    </row>
    <row r="844" spans="3:7" x14ac:dyDescent="0.25">
      <c r="C844" s="57">
        <f>IFERROR((VLOOKUP(B844,FONT!$W$5:$X$1091,2,0)),0)</f>
        <v>0</v>
      </c>
      <c r="G844" s="56">
        <f>IFERROR((VLOOKUP(B844,PENDIENTES!$L$5:$M$561,2,0)),0)</f>
        <v>0</v>
      </c>
    </row>
    <row r="845" spans="3:7" x14ac:dyDescent="0.25">
      <c r="C845" s="57">
        <f>IFERROR((VLOOKUP(B845,FONT!$W$5:$X$1091,2,0)),0)</f>
        <v>0</v>
      </c>
      <c r="G845" s="56">
        <f>IFERROR((VLOOKUP(B845,PENDIENTES!$L$5:$M$561,2,0)),0)</f>
        <v>0</v>
      </c>
    </row>
    <row r="846" spans="3:7" x14ac:dyDescent="0.25">
      <c r="C846" s="57">
        <f>IFERROR((VLOOKUP(B846,FONT!$W$5:$X$1091,2,0)),0)</f>
        <v>0</v>
      </c>
      <c r="G846" s="56">
        <f>IFERROR((VLOOKUP(B846,PENDIENTES!$L$5:$M$561,2,0)),0)</f>
        <v>0</v>
      </c>
    </row>
    <row r="847" spans="3:7" x14ac:dyDescent="0.25">
      <c r="C847" s="57">
        <f>IFERROR((VLOOKUP(B847,FONT!$W$5:$X$1091,2,0)),0)</f>
        <v>0</v>
      </c>
      <c r="G847" s="56">
        <f>IFERROR((VLOOKUP(B847,PENDIENTES!$L$5:$M$561,2,0)),0)</f>
        <v>0</v>
      </c>
    </row>
    <row r="848" spans="3:7" x14ac:dyDescent="0.25">
      <c r="C848" s="57">
        <f>IFERROR((VLOOKUP(B848,FONT!$W$5:$X$1091,2,0)),0)</f>
        <v>0</v>
      </c>
      <c r="G848" s="56">
        <f>IFERROR((VLOOKUP(B848,PENDIENTES!$L$5:$M$561,2,0)),0)</f>
        <v>0</v>
      </c>
    </row>
    <row r="849" spans="3:7" x14ac:dyDescent="0.25">
      <c r="C849" s="57">
        <f>IFERROR((VLOOKUP(B849,FONT!$W$5:$X$1091,2,0)),0)</f>
        <v>0</v>
      </c>
      <c r="G849" s="56">
        <f>IFERROR((VLOOKUP(B849,PENDIENTES!$L$5:$M$561,2,0)),0)</f>
        <v>0</v>
      </c>
    </row>
    <row r="850" spans="3:7" x14ac:dyDescent="0.25">
      <c r="C850" s="57">
        <f>IFERROR((VLOOKUP(B850,FONT!$W$5:$X$1091,2,0)),0)</f>
        <v>0</v>
      </c>
      <c r="G850" s="56">
        <f>IFERROR((VLOOKUP(B850,PENDIENTES!$L$5:$M$561,2,0)),0)</f>
        <v>0</v>
      </c>
    </row>
    <row r="851" spans="3:7" x14ac:dyDescent="0.25">
      <c r="C851" s="57">
        <f>IFERROR((VLOOKUP(B851,FONT!$W$5:$X$1091,2,0)),0)</f>
        <v>0</v>
      </c>
      <c r="G851" s="56">
        <f>IFERROR((VLOOKUP(B851,PENDIENTES!$L$5:$M$561,2,0)),0)</f>
        <v>0</v>
      </c>
    </row>
    <row r="852" spans="3:7" x14ac:dyDescent="0.25">
      <c r="C852" s="57">
        <f>IFERROR((VLOOKUP(B852,FONT!$W$5:$X$1091,2,0)),0)</f>
        <v>0</v>
      </c>
      <c r="G852" s="56">
        <f>IFERROR((VLOOKUP(B852,PENDIENTES!$L$5:$M$561,2,0)),0)</f>
        <v>0</v>
      </c>
    </row>
    <row r="853" spans="3:7" x14ac:dyDescent="0.25">
      <c r="C853" s="57">
        <f>IFERROR((VLOOKUP(B853,FONT!$W$5:$X$1091,2,0)),0)</f>
        <v>0</v>
      </c>
      <c r="G853" s="56">
        <f>IFERROR((VLOOKUP(B853,PENDIENTES!$L$5:$M$561,2,0)),0)</f>
        <v>0</v>
      </c>
    </row>
    <row r="854" spans="3:7" x14ac:dyDescent="0.25">
      <c r="C854" s="57">
        <f>IFERROR((VLOOKUP(B854,FONT!$W$5:$X$1091,2,0)),0)</f>
        <v>0</v>
      </c>
      <c r="G854" s="56">
        <f>IFERROR((VLOOKUP(B854,PENDIENTES!$L$5:$M$561,2,0)),0)</f>
        <v>0</v>
      </c>
    </row>
    <row r="855" spans="3:7" x14ac:dyDescent="0.25">
      <c r="C855" s="57">
        <f>IFERROR((VLOOKUP(B855,FONT!$W$5:$X$1091,2,0)),0)</f>
        <v>0</v>
      </c>
      <c r="G855" s="56">
        <f>IFERROR((VLOOKUP(B855,PENDIENTES!$L$5:$M$561,2,0)),0)</f>
        <v>0</v>
      </c>
    </row>
    <row r="856" spans="3:7" x14ac:dyDescent="0.25">
      <c r="C856" s="57">
        <f>IFERROR((VLOOKUP(B856,FONT!$W$5:$X$1091,2,0)),0)</f>
        <v>0</v>
      </c>
      <c r="G856" s="56">
        <f>IFERROR((VLOOKUP(B856,PENDIENTES!$L$5:$M$561,2,0)),0)</f>
        <v>0</v>
      </c>
    </row>
    <row r="857" spans="3:7" x14ac:dyDescent="0.25">
      <c r="C857" s="57">
        <f>IFERROR((VLOOKUP(B857,FONT!$W$5:$X$1091,2,0)),0)</f>
        <v>0</v>
      </c>
      <c r="G857" s="56">
        <f>IFERROR((VLOOKUP(B857,PENDIENTES!$L$5:$M$561,2,0)),0)</f>
        <v>0</v>
      </c>
    </row>
    <row r="858" spans="3:7" x14ac:dyDescent="0.25">
      <c r="C858" s="57">
        <f>IFERROR((VLOOKUP(B858,FONT!$W$5:$X$1091,2,0)),0)</f>
        <v>0</v>
      </c>
      <c r="G858" s="56">
        <f>IFERROR((VLOOKUP(B858,PENDIENTES!$L$5:$M$561,2,0)),0)</f>
        <v>0</v>
      </c>
    </row>
    <row r="859" spans="3:7" x14ac:dyDescent="0.25">
      <c r="C859" s="57">
        <f>IFERROR((VLOOKUP(B859,FONT!$W$5:$X$1091,2,0)),0)</f>
        <v>0</v>
      </c>
      <c r="G859" s="56">
        <f>IFERROR((VLOOKUP(B859,PENDIENTES!$L$5:$M$561,2,0)),0)</f>
        <v>0</v>
      </c>
    </row>
    <row r="860" spans="3:7" x14ac:dyDescent="0.25">
      <c r="C860" s="57">
        <f>IFERROR((VLOOKUP(B860,FONT!$W$5:$X$1091,2,0)),0)</f>
        <v>0</v>
      </c>
      <c r="G860" s="56">
        <f>IFERROR((VLOOKUP(B860,PENDIENTES!$L$5:$M$561,2,0)),0)</f>
        <v>0</v>
      </c>
    </row>
    <row r="861" spans="3:7" x14ac:dyDescent="0.25">
      <c r="C861" s="57">
        <f>IFERROR((VLOOKUP(B861,FONT!$W$5:$X$1091,2,0)),0)</f>
        <v>0</v>
      </c>
      <c r="G861" s="56">
        <f>IFERROR((VLOOKUP(B861,PENDIENTES!$L$5:$M$561,2,0)),0)</f>
        <v>0</v>
      </c>
    </row>
    <row r="862" spans="3:7" x14ac:dyDescent="0.25">
      <c r="C862" s="57">
        <f>IFERROR((VLOOKUP(B862,FONT!$W$5:$X$1091,2,0)),0)</f>
        <v>0</v>
      </c>
      <c r="G862" s="56">
        <f>IFERROR((VLOOKUP(B862,PENDIENTES!$L$5:$M$561,2,0)),0)</f>
        <v>0</v>
      </c>
    </row>
    <row r="863" spans="3:7" x14ac:dyDescent="0.25">
      <c r="C863" s="57">
        <f>IFERROR((VLOOKUP(B863,FONT!$W$5:$X$1091,2,0)),0)</f>
        <v>0</v>
      </c>
      <c r="G863" s="56">
        <f>IFERROR((VLOOKUP(B863,PENDIENTES!$L$5:$M$561,2,0)),0)</f>
        <v>0</v>
      </c>
    </row>
    <row r="864" spans="3:7" x14ac:dyDescent="0.25">
      <c r="C864" s="57">
        <f>IFERROR((VLOOKUP(B864,FONT!$W$5:$X$1091,2,0)),0)</f>
        <v>0</v>
      </c>
      <c r="G864" s="56">
        <f>IFERROR((VLOOKUP(B864,PENDIENTES!$L$5:$M$561,2,0)),0)</f>
        <v>0</v>
      </c>
    </row>
    <row r="865" spans="3:7" x14ac:dyDescent="0.25">
      <c r="C865" s="57">
        <f>IFERROR((VLOOKUP(B865,FONT!$W$5:$X$1091,2,0)),0)</f>
        <v>0</v>
      </c>
      <c r="G865" s="56">
        <f>IFERROR((VLOOKUP(B865,PENDIENTES!$L$5:$M$561,2,0)),0)</f>
        <v>0</v>
      </c>
    </row>
    <row r="866" spans="3:7" x14ac:dyDescent="0.25">
      <c r="C866" s="57">
        <f>IFERROR((VLOOKUP(B866,FONT!$W$5:$X$1091,2,0)),0)</f>
        <v>0</v>
      </c>
      <c r="G866" s="56">
        <f>IFERROR((VLOOKUP(B866,PENDIENTES!$L$5:$M$561,2,0)),0)</f>
        <v>0</v>
      </c>
    </row>
    <row r="867" spans="3:7" x14ac:dyDescent="0.25">
      <c r="C867" s="57">
        <f>IFERROR((VLOOKUP(B867,FONT!$W$5:$X$1091,2,0)),0)</f>
        <v>0</v>
      </c>
      <c r="G867" s="56">
        <f>IFERROR((VLOOKUP(B867,PENDIENTES!$L$5:$M$561,2,0)),0)</f>
        <v>0</v>
      </c>
    </row>
    <row r="868" spans="3:7" x14ac:dyDescent="0.25">
      <c r="C868" s="57">
        <f>IFERROR((VLOOKUP(B868,FONT!$W$5:$X$1091,2,0)),0)</f>
        <v>0</v>
      </c>
      <c r="G868" s="56">
        <f>IFERROR((VLOOKUP(B868,PENDIENTES!$L$5:$M$561,2,0)),0)</f>
        <v>0</v>
      </c>
    </row>
    <row r="869" spans="3:7" x14ac:dyDescent="0.25">
      <c r="C869" s="57">
        <f>IFERROR((VLOOKUP(B869,FONT!$W$5:$X$1091,2,0)),0)</f>
        <v>0</v>
      </c>
      <c r="G869" s="56">
        <f>IFERROR((VLOOKUP(B869,PENDIENTES!$L$5:$M$561,2,0)),0)</f>
        <v>0</v>
      </c>
    </row>
    <row r="870" spans="3:7" x14ac:dyDescent="0.25">
      <c r="C870" s="57">
        <f>IFERROR((VLOOKUP(B870,FONT!$W$5:$X$1091,2,0)),0)</f>
        <v>0</v>
      </c>
      <c r="G870" s="56">
        <f>IFERROR((VLOOKUP(B870,PENDIENTES!$L$5:$M$561,2,0)),0)</f>
        <v>0</v>
      </c>
    </row>
    <row r="871" spans="3:7" x14ac:dyDescent="0.25">
      <c r="C871" s="57">
        <f>IFERROR((VLOOKUP(B871,FONT!$W$5:$X$1091,2,0)),0)</f>
        <v>0</v>
      </c>
      <c r="G871" s="56">
        <f>IFERROR((VLOOKUP(B871,PENDIENTES!$L$5:$M$561,2,0)),0)</f>
        <v>0</v>
      </c>
    </row>
    <row r="872" spans="3:7" x14ac:dyDescent="0.25">
      <c r="C872" s="57">
        <f>IFERROR((VLOOKUP(B872,FONT!$W$5:$X$1091,2,0)),0)</f>
        <v>0</v>
      </c>
      <c r="G872" s="56">
        <f>IFERROR((VLOOKUP(B872,PENDIENTES!$L$5:$M$561,2,0)),0)</f>
        <v>0</v>
      </c>
    </row>
    <row r="873" spans="3:7" x14ac:dyDescent="0.25">
      <c r="C873" s="57">
        <f>IFERROR((VLOOKUP(B873,FONT!$W$5:$X$1091,2,0)),0)</f>
        <v>0</v>
      </c>
      <c r="G873" s="56">
        <f>IFERROR((VLOOKUP(B873,PENDIENTES!$L$5:$M$561,2,0)),0)</f>
        <v>0</v>
      </c>
    </row>
    <row r="874" spans="3:7" x14ac:dyDescent="0.25">
      <c r="C874" s="57">
        <f>IFERROR((VLOOKUP(B874,FONT!$W$5:$X$1091,2,0)),0)</f>
        <v>0</v>
      </c>
      <c r="G874" s="56">
        <f>IFERROR((VLOOKUP(B874,PENDIENTES!$L$5:$M$561,2,0)),0)</f>
        <v>0</v>
      </c>
    </row>
    <row r="875" spans="3:7" x14ac:dyDescent="0.25">
      <c r="C875" s="57">
        <f>IFERROR((VLOOKUP(B875,FONT!$W$5:$X$1091,2,0)),0)</f>
        <v>0</v>
      </c>
      <c r="G875" s="56">
        <f>IFERROR((VLOOKUP(B875,PENDIENTES!$L$5:$M$561,2,0)),0)</f>
        <v>0</v>
      </c>
    </row>
    <row r="876" spans="3:7" x14ac:dyDescent="0.25">
      <c r="C876" s="57">
        <f>IFERROR((VLOOKUP(B876,FONT!$W$5:$X$1091,2,0)),0)</f>
        <v>0</v>
      </c>
      <c r="G876" s="56">
        <f>IFERROR((VLOOKUP(B876,PENDIENTES!$L$5:$M$561,2,0)),0)</f>
        <v>0</v>
      </c>
    </row>
    <row r="877" spans="3:7" x14ac:dyDescent="0.25">
      <c r="C877" s="57">
        <f>IFERROR((VLOOKUP(B877,FONT!$W$5:$X$1091,2,0)),0)</f>
        <v>0</v>
      </c>
      <c r="G877" s="56">
        <f>IFERROR((VLOOKUP(B877,PENDIENTES!$L$5:$M$561,2,0)),0)</f>
        <v>0</v>
      </c>
    </row>
    <row r="878" spans="3:7" x14ac:dyDescent="0.25">
      <c r="C878" s="57">
        <f>IFERROR((VLOOKUP(B878,FONT!$W$5:$X$1091,2,0)),0)</f>
        <v>0</v>
      </c>
      <c r="G878" s="56">
        <f>IFERROR((VLOOKUP(B878,PENDIENTES!$L$5:$M$561,2,0)),0)</f>
        <v>0</v>
      </c>
    </row>
    <row r="879" spans="3:7" x14ac:dyDescent="0.25">
      <c r="C879" s="57">
        <f>IFERROR((VLOOKUP(B879,FONT!$W$5:$X$1091,2,0)),0)</f>
        <v>0</v>
      </c>
      <c r="G879" s="56">
        <f>IFERROR((VLOOKUP(B879,PENDIENTES!$L$5:$M$561,2,0)),0)</f>
        <v>0</v>
      </c>
    </row>
    <row r="880" spans="3:7" x14ac:dyDescent="0.25">
      <c r="C880" s="57">
        <f>IFERROR((VLOOKUP(B880,FONT!$W$5:$X$1091,2,0)),0)</f>
        <v>0</v>
      </c>
      <c r="G880" s="56">
        <f>IFERROR((VLOOKUP(B880,PENDIENTES!$L$5:$M$561,2,0)),0)</f>
        <v>0</v>
      </c>
    </row>
    <row r="881" spans="3:7" x14ac:dyDescent="0.25">
      <c r="C881" s="57">
        <f>IFERROR((VLOOKUP(B881,FONT!$W$5:$X$1091,2,0)),0)</f>
        <v>0</v>
      </c>
      <c r="G881" s="56">
        <f>IFERROR((VLOOKUP(B881,PENDIENTES!$L$5:$M$561,2,0)),0)</f>
        <v>0</v>
      </c>
    </row>
    <row r="882" spans="3:7" x14ac:dyDescent="0.25">
      <c r="C882" s="57">
        <f>IFERROR((VLOOKUP(B882,FONT!$W$5:$X$1091,2,0)),0)</f>
        <v>0</v>
      </c>
      <c r="G882" s="56">
        <f>IFERROR((VLOOKUP(B882,PENDIENTES!$L$5:$M$561,2,0)),0)</f>
        <v>0</v>
      </c>
    </row>
    <row r="883" spans="3:7" x14ac:dyDescent="0.25">
      <c r="C883" s="57">
        <f>IFERROR((VLOOKUP(B883,FONT!$W$5:$X$1091,2,0)),0)</f>
        <v>0</v>
      </c>
      <c r="G883" s="56">
        <f>IFERROR((VLOOKUP(B883,PENDIENTES!$L$5:$M$561,2,0)),0)</f>
        <v>0</v>
      </c>
    </row>
    <row r="884" spans="3:7" x14ac:dyDescent="0.25">
      <c r="C884" s="57">
        <f>IFERROR((VLOOKUP(B884,FONT!$W$5:$X$1091,2,0)),0)</f>
        <v>0</v>
      </c>
      <c r="G884" s="56">
        <f>IFERROR((VLOOKUP(B884,PENDIENTES!$L$5:$M$561,2,0)),0)</f>
        <v>0</v>
      </c>
    </row>
    <row r="885" spans="3:7" x14ac:dyDescent="0.25">
      <c r="C885" s="57">
        <f>IFERROR((VLOOKUP(B885,FONT!$W$5:$X$1091,2,0)),0)</f>
        <v>0</v>
      </c>
      <c r="G885" s="56">
        <f>IFERROR((VLOOKUP(B885,PENDIENTES!$L$5:$M$561,2,0)),0)</f>
        <v>0</v>
      </c>
    </row>
    <row r="886" spans="3:7" x14ac:dyDescent="0.25">
      <c r="C886" s="57">
        <f>IFERROR((VLOOKUP(B886,FONT!$W$5:$X$1091,2,0)),0)</f>
        <v>0</v>
      </c>
      <c r="G886" s="56">
        <f>IFERROR((VLOOKUP(B886,PENDIENTES!$L$5:$M$561,2,0)),0)</f>
        <v>0</v>
      </c>
    </row>
    <row r="887" spans="3:7" x14ac:dyDescent="0.25">
      <c r="C887" s="57">
        <f>IFERROR((VLOOKUP(B887,FONT!$W$5:$X$1091,2,0)),0)</f>
        <v>0</v>
      </c>
      <c r="G887" s="56">
        <f>IFERROR((VLOOKUP(B887,PENDIENTES!$L$5:$M$561,2,0)),0)</f>
        <v>0</v>
      </c>
    </row>
    <row r="888" spans="3:7" x14ac:dyDescent="0.25">
      <c r="C888" s="57">
        <f>IFERROR((VLOOKUP(B888,FONT!$W$5:$X$1091,2,0)),0)</f>
        <v>0</v>
      </c>
      <c r="G888" s="56">
        <f>IFERROR((VLOOKUP(B888,PENDIENTES!$L$5:$M$561,2,0)),0)</f>
        <v>0</v>
      </c>
    </row>
    <row r="889" spans="3:7" x14ac:dyDescent="0.25">
      <c r="C889" s="57">
        <f>IFERROR((VLOOKUP(B889,FONT!$W$5:$X$1091,2,0)),0)</f>
        <v>0</v>
      </c>
      <c r="G889" s="56">
        <f>IFERROR((VLOOKUP(B889,PENDIENTES!$L$5:$M$561,2,0)),0)</f>
        <v>0</v>
      </c>
    </row>
    <row r="890" spans="3:7" x14ac:dyDescent="0.25">
      <c r="C890" s="57">
        <f>IFERROR((VLOOKUP(B890,FONT!$W$5:$X$1091,2,0)),0)</f>
        <v>0</v>
      </c>
      <c r="G890" s="56">
        <f>IFERROR((VLOOKUP(B890,PENDIENTES!$L$5:$M$561,2,0)),0)</f>
        <v>0</v>
      </c>
    </row>
    <row r="891" spans="3:7" x14ac:dyDescent="0.25">
      <c r="C891" s="57">
        <f>IFERROR((VLOOKUP(B891,FONT!$W$5:$X$1091,2,0)),0)</f>
        <v>0</v>
      </c>
      <c r="G891" s="56">
        <f>IFERROR((VLOOKUP(B891,PENDIENTES!$L$5:$M$561,2,0)),0)</f>
        <v>0</v>
      </c>
    </row>
    <row r="892" spans="3:7" x14ac:dyDescent="0.25">
      <c r="C892" s="57">
        <f>IFERROR((VLOOKUP(B892,FONT!$W$5:$X$1091,2,0)),0)</f>
        <v>0</v>
      </c>
      <c r="G892" s="56">
        <f>IFERROR((VLOOKUP(B892,PENDIENTES!$L$5:$M$561,2,0)),0)</f>
        <v>0</v>
      </c>
    </row>
    <row r="893" spans="3:7" x14ac:dyDescent="0.25">
      <c r="C893" s="57">
        <f>IFERROR((VLOOKUP(B893,FONT!$W$5:$X$1091,2,0)),0)</f>
        <v>0</v>
      </c>
      <c r="G893" s="56">
        <f>IFERROR((VLOOKUP(B893,PENDIENTES!$L$5:$M$561,2,0)),0)</f>
        <v>0</v>
      </c>
    </row>
    <row r="894" spans="3:7" x14ac:dyDescent="0.25">
      <c r="C894" s="57">
        <f>IFERROR((VLOOKUP(B894,FONT!$W$5:$X$1091,2,0)),0)</f>
        <v>0</v>
      </c>
      <c r="G894" s="56">
        <f>IFERROR((VLOOKUP(B894,PENDIENTES!$L$5:$M$561,2,0)),0)</f>
        <v>0</v>
      </c>
    </row>
    <row r="895" spans="3:7" x14ac:dyDescent="0.25">
      <c r="C895" s="57">
        <f>IFERROR((VLOOKUP(B895,FONT!$W$5:$X$1091,2,0)),0)</f>
        <v>0</v>
      </c>
      <c r="G895" s="56">
        <f>IFERROR((VLOOKUP(B895,PENDIENTES!$L$5:$M$561,2,0)),0)</f>
        <v>0</v>
      </c>
    </row>
    <row r="896" spans="3:7" x14ac:dyDescent="0.25">
      <c r="C896" s="57">
        <f>IFERROR((VLOOKUP(B896,FONT!$W$5:$X$1091,2,0)),0)</f>
        <v>0</v>
      </c>
      <c r="G896" s="56">
        <f>IFERROR((VLOOKUP(B896,PENDIENTES!$L$5:$M$561,2,0)),0)</f>
        <v>0</v>
      </c>
    </row>
    <row r="897" spans="3:7" x14ac:dyDescent="0.25">
      <c r="C897" s="57">
        <f>IFERROR((VLOOKUP(B897,FONT!$W$5:$X$1091,2,0)),0)</f>
        <v>0</v>
      </c>
      <c r="G897" s="56">
        <f>IFERROR((VLOOKUP(B897,PENDIENTES!$L$5:$M$561,2,0)),0)</f>
        <v>0</v>
      </c>
    </row>
    <row r="898" spans="3:7" x14ac:dyDescent="0.25">
      <c r="C898" s="57">
        <f>IFERROR((VLOOKUP(B898,FONT!$W$5:$X$1091,2,0)),0)</f>
        <v>0</v>
      </c>
      <c r="G898" s="56">
        <f>IFERROR((VLOOKUP(B898,PENDIENTES!$L$5:$M$561,2,0)),0)</f>
        <v>0</v>
      </c>
    </row>
    <row r="899" spans="3:7" x14ac:dyDescent="0.25">
      <c r="C899" s="57">
        <f>IFERROR((VLOOKUP(B899,FONT!$W$5:$X$1091,2,0)),0)</f>
        <v>0</v>
      </c>
      <c r="G899" s="56">
        <f>IFERROR((VLOOKUP(B899,PENDIENTES!$L$5:$M$561,2,0)),0)</f>
        <v>0</v>
      </c>
    </row>
    <row r="900" spans="3:7" x14ac:dyDescent="0.25">
      <c r="C900" s="57">
        <f>IFERROR((VLOOKUP(B900,FONT!$W$5:$X$1091,2,0)),0)</f>
        <v>0</v>
      </c>
      <c r="G900" s="56">
        <f>IFERROR((VLOOKUP(B900,PENDIENTES!$L$5:$M$561,2,0)),0)</f>
        <v>0</v>
      </c>
    </row>
    <row r="901" spans="3:7" x14ac:dyDescent="0.25">
      <c r="C901" s="57">
        <f>IFERROR((VLOOKUP(B901,FONT!$W$5:$X$1091,2,0)),0)</f>
        <v>0</v>
      </c>
      <c r="G901" s="56">
        <f>IFERROR((VLOOKUP(B901,PENDIENTES!$L$5:$M$561,2,0)),0)</f>
        <v>0</v>
      </c>
    </row>
    <row r="902" spans="3:7" x14ac:dyDescent="0.25">
      <c r="C902" s="57">
        <f>IFERROR((VLOOKUP(B902,FONT!$W$5:$X$1091,2,0)),0)</f>
        <v>0</v>
      </c>
      <c r="G902" s="56">
        <f>IFERROR((VLOOKUP(B902,PENDIENTES!$L$5:$M$561,2,0)),0)</f>
        <v>0</v>
      </c>
    </row>
    <row r="903" spans="3:7" x14ac:dyDescent="0.25">
      <c r="C903" s="57">
        <f>IFERROR((VLOOKUP(B903,FONT!$W$5:$X$1091,2,0)),0)</f>
        <v>0</v>
      </c>
      <c r="G903" s="56">
        <f>IFERROR((VLOOKUP(B903,PENDIENTES!$L$5:$M$561,2,0)),0)</f>
        <v>0</v>
      </c>
    </row>
    <row r="904" spans="3:7" x14ac:dyDescent="0.25">
      <c r="C904" s="57">
        <f>IFERROR((VLOOKUP(B904,FONT!$W$5:$X$1091,2,0)),0)</f>
        <v>0</v>
      </c>
      <c r="G904" s="56">
        <f>IFERROR((VLOOKUP(B904,PENDIENTES!$L$5:$M$561,2,0)),0)</f>
        <v>0</v>
      </c>
    </row>
    <row r="905" spans="3:7" x14ac:dyDescent="0.25">
      <c r="C905" s="57">
        <f>IFERROR((VLOOKUP(B905,FONT!$W$5:$X$1091,2,0)),0)</f>
        <v>0</v>
      </c>
      <c r="G905" s="56">
        <f>IFERROR((VLOOKUP(B905,PENDIENTES!$L$5:$M$561,2,0)),0)</f>
        <v>0</v>
      </c>
    </row>
    <row r="906" spans="3:7" x14ac:dyDescent="0.25">
      <c r="C906" s="57">
        <f>IFERROR((VLOOKUP(B906,FONT!$W$5:$X$1091,2,0)),0)</f>
        <v>0</v>
      </c>
      <c r="G906" s="56">
        <f>IFERROR((VLOOKUP(B906,PENDIENTES!$L$5:$M$561,2,0)),0)</f>
        <v>0</v>
      </c>
    </row>
    <row r="907" spans="3:7" x14ac:dyDescent="0.25">
      <c r="C907" s="57">
        <f>IFERROR((VLOOKUP(B907,FONT!$W$5:$X$1091,2,0)),0)</f>
        <v>0</v>
      </c>
      <c r="G907" s="56">
        <f>IFERROR((VLOOKUP(B907,PENDIENTES!$L$5:$M$561,2,0)),0)</f>
        <v>0</v>
      </c>
    </row>
    <row r="908" spans="3:7" x14ac:dyDescent="0.25">
      <c r="C908" s="57">
        <f>IFERROR((VLOOKUP(B908,FONT!$W$5:$X$1091,2,0)),0)</f>
        <v>0</v>
      </c>
      <c r="G908" s="56">
        <f>IFERROR((VLOOKUP(B908,PENDIENTES!$L$5:$M$561,2,0)),0)</f>
        <v>0</v>
      </c>
    </row>
    <row r="909" spans="3:7" x14ac:dyDescent="0.25">
      <c r="C909" s="57">
        <f>IFERROR((VLOOKUP(B909,FONT!$W$5:$X$1091,2,0)),0)</f>
        <v>0</v>
      </c>
      <c r="G909" s="56">
        <f>IFERROR((VLOOKUP(B909,PENDIENTES!$L$5:$M$561,2,0)),0)</f>
        <v>0</v>
      </c>
    </row>
    <row r="910" spans="3:7" x14ac:dyDescent="0.25">
      <c r="C910" s="57">
        <f>IFERROR((VLOOKUP(B910,FONT!$W$5:$X$1091,2,0)),0)</f>
        <v>0</v>
      </c>
      <c r="G910" s="56">
        <f>IFERROR((VLOOKUP(B910,PENDIENTES!$L$5:$M$561,2,0)),0)</f>
        <v>0</v>
      </c>
    </row>
    <row r="911" spans="3:7" x14ac:dyDescent="0.25">
      <c r="C911" s="57">
        <f>IFERROR((VLOOKUP(B911,FONT!$W$5:$X$1091,2,0)),0)</f>
        <v>0</v>
      </c>
      <c r="G911" s="56">
        <f>IFERROR((VLOOKUP(B911,PENDIENTES!$L$5:$M$561,2,0)),0)</f>
        <v>0</v>
      </c>
    </row>
    <row r="912" spans="3:7" x14ac:dyDescent="0.25">
      <c r="C912" s="57">
        <f>IFERROR((VLOOKUP(B912,FONT!$W$5:$X$1091,2,0)),0)</f>
        <v>0</v>
      </c>
      <c r="G912" s="56">
        <f>IFERROR((VLOOKUP(B912,PENDIENTES!$L$5:$M$561,2,0)),0)</f>
        <v>0</v>
      </c>
    </row>
    <row r="913" spans="3:7" x14ac:dyDescent="0.25">
      <c r="C913" s="57">
        <f>IFERROR((VLOOKUP(B913,FONT!$W$5:$X$1091,2,0)),0)</f>
        <v>0</v>
      </c>
      <c r="G913" s="56">
        <f>IFERROR((VLOOKUP(B913,PENDIENTES!$L$5:$M$561,2,0)),0)</f>
        <v>0</v>
      </c>
    </row>
    <row r="914" spans="3:7" x14ac:dyDescent="0.25">
      <c r="C914" s="57">
        <f>IFERROR((VLOOKUP(B914,FONT!$W$5:$X$1091,2,0)),0)</f>
        <v>0</v>
      </c>
      <c r="G914" s="56">
        <f>IFERROR((VLOOKUP(B914,PENDIENTES!$L$5:$M$561,2,0)),0)</f>
        <v>0</v>
      </c>
    </row>
    <row r="915" spans="3:7" x14ac:dyDescent="0.25">
      <c r="C915" s="57">
        <f>IFERROR((VLOOKUP(B915,FONT!$W$5:$X$1091,2,0)),0)</f>
        <v>0</v>
      </c>
      <c r="G915" s="56">
        <f>IFERROR((VLOOKUP(B915,PENDIENTES!$L$5:$M$561,2,0)),0)</f>
        <v>0</v>
      </c>
    </row>
    <row r="916" spans="3:7" x14ac:dyDescent="0.25">
      <c r="C916" s="57">
        <f>IFERROR((VLOOKUP(B916,FONT!$W$5:$X$1091,2,0)),0)</f>
        <v>0</v>
      </c>
      <c r="G916" s="56">
        <f>IFERROR((VLOOKUP(B916,PENDIENTES!$L$5:$M$561,2,0)),0)</f>
        <v>0</v>
      </c>
    </row>
    <row r="917" spans="3:7" x14ac:dyDescent="0.25">
      <c r="C917" s="57">
        <f>IFERROR((VLOOKUP(B917,FONT!$W$5:$X$1091,2,0)),0)</f>
        <v>0</v>
      </c>
      <c r="G917" s="56">
        <f>IFERROR((VLOOKUP(B917,PENDIENTES!$L$5:$M$561,2,0)),0)</f>
        <v>0</v>
      </c>
    </row>
    <row r="918" spans="3:7" x14ac:dyDescent="0.25">
      <c r="C918" s="57">
        <f>IFERROR((VLOOKUP(B918,FONT!$W$5:$X$1091,2,0)),0)</f>
        <v>0</v>
      </c>
      <c r="G918" s="56">
        <f>IFERROR((VLOOKUP(B918,PENDIENTES!$L$5:$M$561,2,0)),0)</f>
        <v>0</v>
      </c>
    </row>
    <row r="919" spans="3:7" x14ac:dyDescent="0.25">
      <c r="C919" s="57">
        <f>IFERROR((VLOOKUP(B919,FONT!$W$5:$X$1091,2,0)),0)</f>
        <v>0</v>
      </c>
      <c r="G919" s="56">
        <f>IFERROR((VLOOKUP(B919,PENDIENTES!$L$5:$M$561,2,0)),0)</f>
        <v>0</v>
      </c>
    </row>
    <row r="920" spans="3:7" x14ac:dyDescent="0.25">
      <c r="C920" s="57">
        <f>IFERROR((VLOOKUP(B920,FONT!$W$5:$X$1091,2,0)),0)</f>
        <v>0</v>
      </c>
      <c r="G920" s="56">
        <f>IFERROR((VLOOKUP(B920,PENDIENTES!$L$5:$M$561,2,0)),0)</f>
        <v>0</v>
      </c>
    </row>
    <row r="921" spans="3:7" x14ac:dyDescent="0.25">
      <c r="C921" s="57">
        <f>IFERROR((VLOOKUP(B921,FONT!$W$5:$X$1091,2,0)),0)</f>
        <v>0</v>
      </c>
      <c r="G921" s="56">
        <f>IFERROR((VLOOKUP(B921,PENDIENTES!$L$5:$M$561,2,0)),0)</f>
        <v>0</v>
      </c>
    </row>
    <row r="922" spans="3:7" x14ac:dyDescent="0.25">
      <c r="C922" s="57">
        <f>IFERROR((VLOOKUP(B922,FONT!$W$5:$X$1091,2,0)),0)</f>
        <v>0</v>
      </c>
      <c r="G922" s="56">
        <f>IFERROR((VLOOKUP(B922,PENDIENTES!$L$5:$M$561,2,0)),0)</f>
        <v>0</v>
      </c>
    </row>
    <row r="923" spans="3:7" x14ac:dyDescent="0.25">
      <c r="C923" s="57">
        <f>IFERROR((VLOOKUP(B923,FONT!$W$5:$X$1091,2,0)),0)</f>
        <v>0</v>
      </c>
      <c r="G923" s="56">
        <f>IFERROR((VLOOKUP(B923,PENDIENTES!$L$5:$M$561,2,0)),0)</f>
        <v>0</v>
      </c>
    </row>
    <row r="924" spans="3:7" x14ac:dyDescent="0.25">
      <c r="C924" s="57">
        <f>IFERROR((VLOOKUP(B924,FONT!$W$5:$X$1091,2,0)),0)</f>
        <v>0</v>
      </c>
      <c r="G924" s="56">
        <f>IFERROR((VLOOKUP(B924,PENDIENTES!$L$5:$M$561,2,0)),0)</f>
        <v>0</v>
      </c>
    </row>
    <row r="925" spans="3:7" x14ac:dyDescent="0.25">
      <c r="C925" s="57">
        <f>IFERROR((VLOOKUP(B925,FONT!$W$5:$X$1091,2,0)),0)</f>
        <v>0</v>
      </c>
      <c r="G925" s="56">
        <f>IFERROR((VLOOKUP(B925,PENDIENTES!$L$5:$M$561,2,0)),0)</f>
        <v>0</v>
      </c>
    </row>
    <row r="926" spans="3:7" x14ac:dyDescent="0.25">
      <c r="C926" s="57">
        <f>IFERROR((VLOOKUP(B926,FONT!$W$5:$X$1091,2,0)),0)</f>
        <v>0</v>
      </c>
      <c r="G926" s="56">
        <f>IFERROR((VLOOKUP(B926,PENDIENTES!$L$5:$M$561,2,0)),0)</f>
        <v>0</v>
      </c>
    </row>
    <row r="927" spans="3:7" x14ac:dyDescent="0.25">
      <c r="C927" s="57">
        <f>IFERROR((VLOOKUP(B927,FONT!$W$5:$X$1091,2,0)),0)</f>
        <v>0</v>
      </c>
      <c r="G927" s="56">
        <f>IFERROR((VLOOKUP(B927,PENDIENTES!$L$5:$M$561,2,0)),0)</f>
        <v>0</v>
      </c>
    </row>
    <row r="928" spans="3:7" x14ac:dyDescent="0.25">
      <c r="C928" s="57">
        <f>IFERROR((VLOOKUP(B928,FONT!$W$5:$X$1091,2,0)),0)</f>
        <v>0</v>
      </c>
      <c r="G928" s="56">
        <f>IFERROR((VLOOKUP(B928,PENDIENTES!$L$5:$M$561,2,0)),0)</f>
        <v>0</v>
      </c>
    </row>
    <row r="929" spans="3:7" x14ac:dyDescent="0.25">
      <c r="C929" s="57">
        <f>IFERROR((VLOOKUP(B929,FONT!$W$5:$X$1091,2,0)),0)</f>
        <v>0</v>
      </c>
      <c r="G929" s="56">
        <f>IFERROR((VLOOKUP(B929,PENDIENTES!$L$5:$M$561,2,0)),0)</f>
        <v>0</v>
      </c>
    </row>
    <row r="930" spans="3:7" x14ac:dyDescent="0.25">
      <c r="C930" s="57">
        <f>IFERROR((VLOOKUP(B930,FONT!$W$5:$X$1091,2,0)),0)</f>
        <v>0</v>
      </c>
      <c r="G930" s="56">
        <f>IFERROR((VLOOKUP(B930,PENDIENTES!$L$5:$M$561,2,0)),0)</f>
        <v>0</v>
      </c>
    </row>
    <row r="931" spans="3:7" x14ac:dyDescent="0.25">
      <c r="C931" s="57">
        <f>IFERROR((VLOOKUP(B931,FONT!$W$5:$X$1091,2,0)),0)</f>
        <v>0</v>
      </c>
      <c r="G931" s="56">
        <f>IFERROR((VLOOKUP(B931,PENDIENTES!$L$5:$M$561,2,0)),0)</f>
        <v>0</v>
      </c>
    </row>
    <row r="932" spans="3:7" x14ac:dyDescent="0.25">
      <c r="C932" s="57">
        <f>IFERROR((VLOOKUP(B932,FONT!$W$5:$X$1091,2,0)),0)</f>
        <v>0</v>
      </c>
      <c r="G932" s="56">
        <f>IFERROR((VLOOKUP(B932,PENDIENTES!$L$5:$M$561,2,0)),0)</f>
        <v>0</v>
      </c>
    </row>
    <row r="933" spans="3:7" x14ac:dyDescent="0.25">
      <c r="C933" s="57">
        <f>IFERROR((VLOOKUP(B933,FONT!$W$5:$X$1091,2,0)),0)</f>
        <v>0</v>
      </c>
      <c r="G933" s="56">
        <f>IFERROR((VLOOKUP(B933,PENDIENTES!$L$5:$M$561,2,0)),0)</f>
        <v>0</v>
      </c>
    </row>
    <row r="934" spans="3:7" x14ac:dyDescent="0.25">
      <c r="C934" s="57">
        <f>IFERROR((VLOOKUP(B934,FONT!$W$5:$X$1091,2,0)),0)</f>
        <v>0</v>
      </c>
      <c r="G934" s="56">
        <f>IFERROR((VLOOKUP(B934,PENDIENTES!$L$5:$M$561,2,0)),0)</f>
        <v>0</v>
      </c>
    </row>
    <row r="935" spans="3:7" x14ac:dyDescent="0.25">
      <c r="C935" s="57">
        <f>IFERROR((VLOOKUP(B935,FONT!$W$5:$X$1091,2,0)),0)</f>
        <v>0</v>
      </c>
      <c r="G935" s="56">
        <f>IFERROR((VLOOKUP(B935,PENDIENTES!$L$5:$M$561,2,0)),0)</f>
        <v>0</v>
      </c>
    </row>
    <row r="936" spans="3:7" x14ac:dyDescent="0.25">
      <c r="C936" s="57">
        <f>IFERROR((VLOOKUP(B936,FONT!$W$5:$X$1091,2,0)),0)</f>
        <v>0</v>
      </c>
      <c r="G936" s="56">
        <f>IFERROR((VLOOKUP(B936,PENDIENTES!$L$5:$M$561,2,0)),0)</f>
        <v>0</v>
      </c>
    </row>
    <row r="937" spans="3:7" x14ac:dyDescent="0.25">
      <c r="C937" s="57">
        <f>IFERROR((VLOOKUP(B937,FONT!$W$5:$X$1091,2,0)),0)</f>
        <v>0</v>
      </c>
      <c r="G937" s="56">
        <f>IFERROR((VLOOKUP(B937,PENDIENTES!$L$5:$M$561,2,0)),0)</f>
        <v>0</v>
      </c>
    </row>
    <row r="938" spans="3:7" x14ac:dyDescent="0.25">
      <c r="C938" s="57">
        <f>IFERROR((VLOOKUP(B938,FONT!$W$5:$X$1091,2,0)),0)</f>
        <v>0</v>
      </c>
      <c r="G938" s="56">
        <f>IFERROR((VLOOKUP(B938,PENDIENTES!$L$5:$M$561,2,0)),0)</f>
        <v>0</v>
      </c>
    </row>
    <row r="939" spans="3:7" x14ac:dyDescent="0.25">
      <c r="C939" s="57">
        <f>IFERROR((VLOOKUP(B939,FONT!$W$5:$X$1091,2,0)),0)</f>
        <v>0</v>
      </c>
      <c r="G939" s="56">
        <f>IFERROR((VLOOKUP(B939,PENDIENTES!$L$5:$M$561,2,0)),0)</f>
        <v>0</v>
      </c>
    </row>
    <row r="940" spans="3:7" x14ac:dyDescent="0.25">
      <c r="C940" s="57">
        <f>IFERROR((VLOOKUP(B940,FONT!$W$5:$X$1091,2,0)),0)</f>
        <v>0</v>
      </c>
      <c r="G940" s="56">
        <f>IFERROR((VLOOKUP(B940,PENDIENTES!$L$5:$M$561,2,0)),0)</f>
        <v>0</v>
      </c>
    </row>
    <row r="941" spans="3:7" x14ac:dyDescent="0.25">
      <c r="C941" s="57">
        <f>IFERROR((VLOOKUP(B941,FONT!$W$5:$X$1091,2,0)),0)</f>
        <v>0</v>
      </c>
      <c r="G941" s="56">
        <f>IFERROR((VLOOKUP(B941,PENDIENTES!$L$5:$M$561,2,0)),0)</f>
        <v>0</v>
      </c>
    </row>
    <row r="942" spans="3:7" x14ac:dyDescent="0.25">
      <c r="C942" s="57">
        <f>IFERROR((VLOOKUP(B942,FONT!$W$5:$X$1091,2,0)),0)</f>
        <v>0</v>
      </c>
      <c r="G942" s="56">
        <f>IFERROR((VLOOKUP(B942,PENDIENTES!$L$5:$M$561,2,0)),0)</f>
        <v>0</v>
      </c>
    </row>
    <row r="943" spans="3:7" x14ac:dyDescent="0.25">
      <c r="C943" s="57">
        <f>IFERROR((VLOOKUP(B943,FONT!$W$5:$X$1091,2,0)),0)</f>
        <v>0</v>
      </c>
      <c r="G943" s="56">
        <f>IFERROR((VLOOKUP(B943,PENDIENTES!$L$5:$M$561,2,0)),0)</f>
        <v>0</v>
      </c>
    </row>
    <row r="944" spans="3:7" x14ac:dyDescent="0.25">
      <c r="C944" s="57">
        <f>IFERROR((VLOOKUP(B944,FONT!$W$5:$X$1091,2,0)),0)</f>
        <v>0</v>
      </c>
      <c r="G944" s="56">
        <f>IFERROR((VLOOKUP(B944,PENDIENTES!$L$5:$M$561,2,0)),0)</f>
        <v>0</v>
      </c>
    </row>
    <row r="945" spans="3:7" x14ac:dyDescent="0.25">
      <c r="C945" s="57">
        <f>IFERROR((VLOOKUP(B945,FONT!$W$5:$X$1091,2,0)),0)</f>
        <v>0</v>
      </c>
      <c r="G945" s="56">
        <f>IFERROR((VLOOKUP(B945,PENDIENTES!$L$5:$M$561,2,0)),0)</f>
        <v>0</v>
      </c>
    </row>
    <row r="946" spans="3:7" x14ac:dyDescent="0.25">
      <c r="C946" s="57">
        <f>IFERROR((VLOOKUP(B946,FONT!$W$5:$X$1091,2,0)),0)</f>
        <v>0</v>
      </c>
      <c r="G946" s="56">
        <f>IFERROR((VLOOKUP(B946,PENDIENTES!$L$5:$M$561,2,0)),0)</f>
        <v>0</v>
      </c>
    </row>
    <row r="947" spans="3:7" x14ac:dyDescent="0.25">
      <c r="C947" s="57">
        <f>IFERROR((VLOOKUP(B947,FONT!$W$5:$X$1091,2,0)),0)</f>
        <v>0</v>
      </c>
      <c r="G947" s="56">
        <f>IFERROR((VLOOKUP(B947,PENDIENTES!$L$5:$M$561,2,0)),0)</f>
        <v>0</v>
      </c>
    </row>
    <row r="948" spans="3:7" x14ac:dyDescent="0.25">
      <c r="C948" s="57">
        <f>IFERROR((VLOOKUP(B948,FONT!$W$5:$X$1091,2,0)),0)</f>
        <v>0</v>
      </c>
      <c r="G948" s="56">
        <f>IFERROR((VLOOKUP(B948,PENDIENTES!$L$5:$M$561,2,0)),0)</f>
        <v>0</v>
      </c>
    </row>
    <row r="949" spans="3:7" x14ac:dyDescent="0.25">
      <c r="C949" s="57">
        <f>IFERROR((VLOOKUP(B949,FONT!$W$5:$X$1091,2,0)),0)</f>
        <v>0</v>
      </c>
      <c r="G949" s="56">
        <f>IFERROR((VLOOKUP(B949,PENDIENTES!$L$5:$M$561,2,0)),0)</f>
        <v>0</v>
      </c>
    </row>
    <row r="950" spans="3:7" x14ac:dyDescent="0.25">
      <c r="C950" s="57">
        <f>IFERROR((VLOOKUP(B950,FONT!$W$5:$X$1091,2,0)),0)</f>
        <v>0</v>
      </c>
      <c r="G950" s="56">
        <f>IFERROR((VLOOKUP(B950,PENDIENTES!$L$5:$M$561,2,0)),0)</f>
        <v>0</v>
      </c>
    </row>
    <row r="951" spans="3:7" x14ac:dyDescent="0.25">
      <c r="C951" s="57">
        <f>IFERROR((VLOOKUP(B951,FONT!$W$5:$X$1091,2,0)),0)</f>
        <v>0</v>
      </c>
      <c r="G951" s="56">
        <f>IFERROR((VLOOKUP(B951,PENDIENTES!$L$5:$M$561,2,0)),0)</f>
        <v>0</v>
      </c>
    </row>
    <row r="952" spans="3:7" x14ac:dyDescent="0.25">
      <c r="C952" s="57">
        <f>IFERROR((VLOOKUP(B952,FONT!$W$5:$X$1091,2,0)),0)</f>
        <v>0</v>
      </c>
      <c r="G952" s="56">
        <f>IFERROR((VLOOKUP(B952,PENDIENTES!$L$5:$M$561,2,0)),0)</f>
        <v>0</v>
      </c>
    </row>
    <row r="953" spans="3:7" x14ac:dyDescent="0.25">
      <c r="C953" s="57">
        <f>IFERROR((VLOOKUP(B953,FONT!$W$5:$X$1091,2,0)),0)</f>
        <v>0</v>
      </c>
      <c r="G953" s="56">
        <f>IFERROR((VLOOKUP(B953,PENDIENTES!$L$5:$M$561,2,0)),0)</f>
        <v>0</v>
      </c>
    </row>
    <row r="954" spans="3:7" x14ac:dyDescent="0.25">
      <c r="C954" s="57">
        <f>IFERROR((VLOOKUP(B954,FONT!$W$5:$X$1091,2,0)),0)</f>
        <v>0</v>
      </c>
      <c r="G954" s="56">
        <f>IFERROR((VLOOKUP(B954,PENDIENTES!$L$5:$M$561,2,0)),0)</f>
        <v>0</v>
      </c>
    </row>
    <row r="955" spans="3:7" x14ac:dyDescent="0.25">
      <c r="C955" s="57">
        <f>IFERROR((VLOOKUP(B955,FONT!$W$5:$X$1091,2,0)),0)</f>
        <v>0</v>
      </c>
      <c r="G955" s="56">
        <f>IFERROR((VLOOKUP(B955,PENDIENTES!$L$5:$M$561,2,0)),0)</f>
        <v>0</v>
      </c>
    </row>
    <row r="956" spans="3:7" x14ac:dyDescent="0.25">
      <c r="C956" s="57">
        <f>IFERROR((VLOOKUP(B956,FONT!$W$5:$X$1091,2,0)),0)</f>
        <v>0</v>
      </c>
      <c r="G956" s="56">
        <f>IFERROR((VLOOKUP(B956,PENDIENTES!$L$5:$M$561,2,0)),0)</f>
        <v>0</v>
      </c>
    </row>
    <row r="957" spans="3:7" x14ac:dyDescent="0.25">
      <c r="C957" s="57">
        <f>IFERROR((VLOOKUP(B957,FONT!$W$5:$X$1091,2,0)),0)</f>
        <v>0</v>
      </c>
      <c r="G957" s="56">
        <f>IFERROR((VLOOKUP(B957,PENDIENTES!$L$5:$M$561,2,0)),0)</f>
        <v>0</v>
      </c>
    </row>
    <row r="958" spans="3:7" x14ac:dyDescent="0.25">
      <c r="C958" s="57">
        <f>IFERROR((VLOOKUP(B958,FONT!$W$5:$X$1091,2,0)),0)</f>
        <v>0</v>
      </c>
      <c r="G958" s="56">
        <f>IFERROR((VLOOKUP(B958,PENDIENTES!$L$5:$M$561,2,0)),0)</f>
        <v>0</v>
      </c>
    </row>
    <row r="959" spans="3:7" x14ac:dyDescent="0.25">
      <c r="C959" s="57">
        <f>IFERROR((VLOOKUP(B959,FONT!$W$5:$X$1091,2,0)),0)</f>
        <v>0</v>
      </c>
      <c r="G959" s="56">
        <f>IFERROR((VLOOKUP(B959,PENDIENTES!$L$5:$M$561,2,0)),0)</f>
        <v>0</v>
      </c>
    </row>
    <row r="960" spans="3:7" x14ac:dyDescent="0.25">
      <c r="C960" s="57">
        <f>IFERROR((VLOOKUP(B960,FONT!$W$5:$X$1091,2,0)),0)</f>
        <v>0</v>
      </c>
      <c r="G960" s="56">
        <f>IFERROR((VLOOKUP(B960,PENDIENTES!$L$5:$M$561,2,0)),0)</f>
        <v>0</v>
      </c>
    </row>
    <row r="961" spans="3:7" x14ac:dyDescent="0.25">
      <c r="C961" s="57">
        <f>IFERROR((VLOOKUP(B961,FONT!$W$5:$X$1091,2,0)),0)</f>
        <v>0</v>
      </c>
      <c r="G961" s="56">
        <f>IFERROR((VLOOKUP(B961,PENDIENTES!$L$5:$M$561,2,0)),0)</f>
        <v>0</v>
      </c>
    </row>
    <row r="962" spans="3:7" x14ac:dyDescent="0.25">
      <c r="C962" s="57">
        <f>IFERROR((VLOOKUP(B962,FONT!$W$5:$X$1091,2,0)),0)</f>
        <v>0</v>
      </c>
      <c r="G962" s="56">
        <f>IFERROR((VLOOKUP(B962,PENDIENTES!$L$5:$M$561,2,0)),0)</f>
        <v>0</v>
      </c>
    </row>
    <row r="963" spans="3:7" x14ac:dyDescent="0.25">
      <c r="C963" s="57">
        <f>IFERROR((VLOOKUP(B963,FONT!$W$5:$X$1091,2,0)),0)</f>
        <v>0</v>
      </c>
      <c r="G963" s="56">
        <f>IFERROR((VLOOKUP(B963,PENDIENTES!$L$5:$M$561,2,0)),0)</f>
        <v>0</v>
      </c>
    </row>
    <row r="964" spans="3:7" x14ac:dyDescent="0.25">
      <c r="C964" s="57">
        <f>IFERROR((VLOOKUP(B964,FONT!$W$5:$X$1091,2,0)),0)</f>
        <v>0</v>
      </c>
      <c r="G964" s="56">
        <f>IFERROR((VLOOKUP(B964,PENDIENTES!$L$5:$M$561,2,0)),0)</f>
        <v>0</v>
      </c>
    </row>
    <row r="965" spans="3:7" x14ac:dyDescent="0.25">
      <c r="C965" s="57">
        <f>IFERROR((VLOOKUP(B965,FONT!$W$5:$X$1091,2,0)),0)</f>
        <v>0</v>
      </c>
      <c r="G965" s="56">
        <f>IFERROR((VLOOKUP(B965,PENDIENTES!$L$5:$M$561,2,0)),0)</f>
        <v>0</v>
      </c>
    </row>
    <row r="966" spans="3:7" x14ac:dyDescent="0.25">
      <c r="C966" s="57">
        <f>IFERROR((VLOOKUP(B966,FONT!$W$5:$X$1091,2,0)),0)</f>
        <v>0</v>
      </c>
      <c r="G966" s="56">
        <f>IFERROR((VLOOKUP(B966,PENDIENTES!$L$5:$M$561,2,0)),0)</f>
        <v>0</v>
      </c>
    </row>
    <row r="967" spans="3:7" x14ac:dyDescent="0.25">
      <c r="C967" s="57">
        <f>IFERROR((VLOOKUP(B967,FONT!$W$5:$X$1091,2,0)),0)</f>
        <v>0</v>
      </c>
      <c r="G967" s="56">
        <f>IFERROR((VLOOKUP(B967,PENDIENTES!$L$5:$M$561,2,0)),0)</f>
        <v>0</v>
      </c>
    </row>
    <row r="968" spans="3:7" x14ac:dyDescent="0.25">
      <c r="C968" s="57">
        <f>IFERROR((VLOOKUP(B968,FONT!$W$5:$X$1091,2,0)),0)</f>
        <v>0</v>
      </c>
      <c r="G968" s="56">
        <f>IFERROR((VLOOKUP(B968,PENDIENTES!$L$5:$M$561,2,0)),0)</f>
        <v>0</v>
      </c>
    </row>
    <row r="969" spans="3:7" x14ac:dyDescent="0.25">
      <c r="C969" s="57">
        <f>IFERROR((VLOOKUP(B969,FONT!$W$5:$X$1091,2,0)),0)</f>
        <v>0</v>
      </c>
      <c r="G969" s="56">
        <f>IFERROR((VLOOKUP(B969,PENDIENTES!$L$5:$M$561,2,0)),0)</f>
        <v>0</v>
      </c>
    </row>
    <row r="970" spans="3:7" x14ac:dyDescent="0.25">
      <c r="C970" s="57">
        <f>IFERROR((VLOOKUP(B970,FONT!$W$5:$X$1091,2,0)),0)</f>
        <v>0</v>
      </c>
      <c r="G970" s="56">
        <f>IFERROR((VLOOKUP(B970,PENDIENTES!$L$5:$M$561,2,0)),0)</f>
        <v>0</v>
      </c>
    </row>
    <row r="971" spans="3:7" x14ac:dyDescent="0.25">
      <c r="C971" s="57">
        <f>IFERROR((VLOOKUP(B971,FONT!$W$5:$X$1091,2,0)),0)</f>
        <v>0</v>
      </c>
      <c r="G971" s="56">
        <f>IFERROR((VLOOKUP(B971,PENDIENTES!$L$5:$M$561,2,0)),0)</f>
        <v>0</v>
      </c>
    </row>
    <row r="972" spans="3:7" x14ac:dyDescent="0.25">
      <c r="C972" s="57">
        <f>IFERROR((VLOOKUP(B972,FONT!$W$5:$X$1091,2,0)),0)</f>
        <v>0</v>
      </c>
      <c r="G972" s="56">
        <f>IFERROR((VLOOKUP(B972,PENDIENTES!$L$5:$M$561,2,0)),0)</f>
        <v>0</v>
      </c>
    </row>
    <row r="973" spans="3:7" x14ac:dyDescent="0.25">
      <c r="C973" s="57">
        <f>IFERROR((VLOOKUP(B973,FONT!$W$5:$X$1091,2,0)),0)</f>
        <v>0</v>
      </c>
      <c r="G973" s="56">
        <f>IFERROR((VLOOKUP(B973,PENDIENTES!$L$5:$M$561,2,0)),0)</f>
        <v>0</v>
      </c>
    </row>
    <row r="974" spans="3:7" x14ac:dyDescent="0.25">
      <c r="C974" s="57">
        <f>IFERROR((VLOOKUP(B974,FONT!$W$5:$X$1091,2,0)),0)</f>
        <v>0</v>
      </c>
      <c r="G974" s="56">
        <f>IFERROR((VLOOKUP(B974,PENDIENTES!$L$5:$M$561,2,0)),0)</f>
        <v>0</v>
      </c>
    </row>
    <row r="975" spans="3:7" x14ac:dyDescent="0.25">
      <c r="C975" s="57">
        <f>IFERROR((VLOOKUP(B975,FONT!$W$5:$X$1091,2,0)),0)</f>
        <v>0</v>
      </c>
      <c r="G975" s="56">
        <f>IFERROR((VLOOKUP(B975,PENDIENTES!$L$5:$M$561,2,0)),0)</f>
        <v>0</v>
      </c>
    </row>
    <row r="976" spans="3:7" x14ac:dyDescent="0.25">
      <c r="C976" s="57">
        <f>IFERROR((VLOOKUP(B976,FONT!$W$5:$X$1091,2,0)),0)</f>
        <v>0</v>
      </c>
      <c r="G976" s="56">
        <f>IFERROR((VLOOKUP(B976,PENDIENTES!$L$5:$M$561,2,0)),0)</f>
        <v>0</v>
      </c>
    </row>
    <row r="977" spans="3:7" x14ac:dyDescent="0.25">
      <c r="C977" s="57">
        <f>IFERROR((VLOOKUP(B977,FONT!$W$5:$X$1091,2,0)),0)</f>
        <v>0</v>
      </c>
      <c r="G977" s="56">
        <f>IFERROR((VLOOKUP(B977,PENDIENTES!$L$5:$M$561,2,0)),0)</f>
        <v>0</v>
      </c>
    </row>
    <row r="978" spans="3:7" x14ac:dyDescent="0.25">
      <c r="C978" s="57">
        <f>IFERROR((VLOOKUP(B978,FONT!$W$5:$X$1091,2,0)),0)</f>
        <v>0</v>
      </c>
      <c r="G978" s="56">
        <f>IFERROR((VLOOKUP(B978,PENDIENTES!$L$5:$M$561,2,0)),0)</f>
        <v>0</v>
      </c>
    </row>
    <row r="979" spans="3:7" x14ac:dyDescent="0.25">
      <c r="C979" s="57">
        <f>IFERROR((VLOOKUP(B979,FONT!$W$5:$X$1091,2,0)),0)</f>
        <v>0</v>
      </c>
      <c r="G979" s="56">
        <f>IFERROR((VLOOKUP(B979,PENDIENTES!$L$5:$M$561,2,0)),0)</f>
        <v>0</v>
      </c>
    </row>
    <row r="980" spans="3:7" x14ac:dyDescent="0.25">
      <c r="C980" s="57">
        <f>IFERROR((VLOOKUP(B980,FONT!$W$5:$X$1091,2,0)),0)</f>
        <v>0</v>
      </c>
      <c r="G980" s="56">
        <f>IFERROR((VLOOKUP(B980,PENDIENTES!$L$5:$M$561,2,0)),0)</f>
        <v>0</v>
      </c>
    </row>
    <row r="981" spans="3:7" x14ac:dyDescent="0.25">
      <c r="C981" s="57">
        <f>IFERROR((VLOOKUP(B981,FONT!$W$5:$X$1091,2,0)),0)</f>
        <v>0</v>
      </c>
      <c r="G981" s="56">
        <f>IFERROR((VLOOKUP(B981,PENDIENTES!$L$5:$M$561,2,0)),0)</f>
        <v>0</v>
      </c>
    </row>
    <row r="982" spans="3:7" x14ac:dyDescent="0.25">
      <c r="C982" s="57">
        <f>IFERROR((VLOOKUP(B982,FONT!$W$5:$X$1091,2,0)),0)</f>
        <v>0</v>
      </c>
      <c r="G982" s="56">
        <f>IFERROR((VLOOKUP(B982,PENDIENTES!$L$5:$M$561,2,0)),0)</f>
        <v>0</v>
      </c>
    </row>
    <row r="983" spans="3:7" x14ac:dyDescent="0.25">
      <c r="C983" s="57">
        <f>IFERROR((VLOOKUP(B983,FONT!$W$5:$X$1091,2,0)),0)</f>
        <v>0</v>
      </c>
      <c r="G983" s="56">
        <f>IFERROR((VLOOKUP(B983,PENDIENTES!$L$5:$M$561,2,0)),0)</f>
        <v>0</v>
      </c>
    </row>
    <row r="984" spans="3:7" x14ac:dyDescent="0.25">
      <c r="C984" s="57">
        <f>IFERROR((VLOOKUP(B984,FONT!$W$5:$X$1091,2,0)),0)</f>
        <v>0</v>
      </c>
      <c r="G984" s="56">
        <f>IFERROR((VLOOKUP(B984,PENDIENTES!$L$5:$M$561,2,0)),0)</f>
        <v>0</v>
      </c>
    </row>
    <row r="985" spans="3:7" x14ac:dyDescent="0.25">
      <c r="C985" s="57">
        <f>IFERROR((VLOOKUP(B985,FONT!$W$5:$X$1091,2,0)),0)</f>
        <v>0</v>
      </c>
      <c r="G985" s="56">
        <f>IFERROR((VLOOKUP(B985,PENDIENTES!$L$5:$M$561,2,0)),0)</f>
        <v>0</v>
      </c>
    </row>
    <row r="986" spans="3:7" x14ac:dyDescent="0.25">
      <c r="C986" s="57">
        <f>IFERROR((VLOOKUP(B986,FONT!$W$5:$X$1091,2,0)),0)</f>
        <v>0</v>
      </c>
      <c r="G986" s="56">
        <f>IFERROR((VLOOKUP(B986,PENDIENTES!$L$5:$M$561,2,0)),0)</f>
        <v>0</v>
      </c>
    </row>
    <row r="987" spans="3:7" x14ac:dyDescent="0.25">
      <c r="C987" s="57">
        <f>IFERROR((VLOOKUP(B987,FONT!$W$5:$X$1091,2,0)),0)</f>
        <v>0</v>
      </c>
      <c r="G987" s="56">
        <f>IFERROR((VLOOKUP(B987,PENDIENTES!$L$5:$M$561,2,0)),0)</f>
        <v>0</v>
      </c>
    </row>
    <row r="988" spans="3:7" x14ac:dyDescent="0.25">
      <c r="C988" s="57">
        <f>IFERROR((VLOOKUP(B988,FONT!$W$5:$X$1091,2,0)),0)</f>
        <v>0</v>
      </c>
      <c r="G988" s="56">
        <f>IFERROR((VLOOKUP(B988,PENDIENTES!$L$5:$M$561,2,0)),0)</f>
        <v>0</v>
      </c>
    </row>
    <row r="989" spans="3:7" x14ac:dyDescent="0.25">
      <c r="C989" s="57">
        <f>IFERROR((VLOOKUP(B989,FONT!$W$5:$X$1091,2,0)),0)</f>
        <v>0</v>
      </c>
      <c r="G989" s="56">
        <f>IFERROR((VLOOKUP(B989,PENDIENTES!$L$5:$M$561,2,0)),0)</f>
        <v>0</v>
      </c>
    </row>
    <row r="990" spans="3:7" x14ac:dyDescent="0.25">
      <c r="C990" s="57">
        <f>IFERROR((VLOOKUP(B990,FONT!$W$5:$X$1091,2,0)),0)</f>
        <v>0</v>
      </c>
      <c r="G990" s="56">
        <f>IFERROR((VLOOKUP(B990,PENDIENTES!$L$5:$M$561,2,0)),0)</f>
        <v>0</v>
      </c>
    </row>
    <row r="991" spans="3:7" x14ac:dyDescent="0.25">
      <c r="C991" s="57">
        <f>IFERROR((VLOOKUP(B991,FONT!$W$5:$X$1091,2,0)),0)</f>
        <v>0</v>
      </c>
      <c r="G991" s="56">
        <f>IFERROR((VLOOKUP(B991,PENDIENTES!$L$5:$M$561,2,0)),0)</f>
        <v>0</v>
      </c>
    </row>
    <row r="992" spans="3:7" x14ac:dyDescent="0.25">
      <c r="C992" s="57">
        <f>IFERROR((VLOOKUP(B992,FONT!$W$5:$X$1091,2,0)),0)</f>
        <v>0</v>
      </c>
      <c r="G992" s="56">
        <f>IFERROR((VLOOKUP(B992,PENDIENTES!$L$5:$M$561,2,0)),0)</f>
        <v>0</v>
      </c>
    </row>
    <row r="993" spans="3:7" x14ac:dyDescent="0.25">
      <c r="C993" s="57">
        <f>IFERROR((VLOOKUP(B993,FONT!$W$5:$X$1091,2,0)),0)</f>
        <v>0</v>
      </c>
      <c r="G993" s="56">
        <f>IFERROR((VLOOKUP(B993,PENDIENTES!$L$5:$M$561,2,0)),0)</f>
        <v>0</v>
      </c>
    </row>
    <row r="994" spans="3:7" x14ac:dyDescent="0.25">
      <c r="C994" s="57">
        <f>IFERROR((VLOOKUP(B994,FONT!$W$5:$X$1091,2,0)),0)</f>
        <v>0</v>
      </c>
      <c r="G994" s="56">
        <f>IFERROR((VLOOKUP(B994,PENDIENTES!$L$5:$M$561,2,0)),0)</f>
        <v>0</v>
      </c>
    </row>
    <row r="995" spans="3:7" x14ac:dyDescent="0.25">
      <c r="C995" s="57">
        <f>IFERROR((VLOOKUP(B995,FONT!$W$5:$X$1091,2,0)),0)</f>
        <v>0</v>
      </c>
      <c r="G995" s="56">
        <f>IFERROR((VLOOKUP(B995,PENDIENTES!$L$5:$M$561,2,0)),0)</f>
        <v>0</v>
      </c>
    </row>
    <row r="996" spans="3:7" x14ac:dyDescent="0.25">
      <c r="C996" s="57">
        <f>IFERROR((VLOOKUP(B996,FONT!$W$5:$X$1091,2,0)),0)</f>
        <v>0</v>
      </c>
      <c r="G996" s="56">
        <f>IFERROR((VLOOKUP(B996,PENDIENTES!$L$5:$M$561,2,0)),0)</f>
        <v>0</v>
      </c>
    </row>
    <row r="997" spans="3:7" x14ac:dyDescent="0.25">
      <c r="C997" s="57">
        <f>IFERROR((VLOOKUP(B997,FONT!$W$5:$X$1091,2,0)),0)</f>
        <v>0</v>
      </c>
      <c r="G997" s="56">
        <f>IFERROR((VLOOKUP(B997,PENDIENTES!$L$5:$M$561,2,0)),0)</f>
        <v>0</v>
      </c>
    </row>
    <row r="998" spans="3:7" x14ac:dyDescent="0.25">
      <c r="C998" s="57">
        <f>IFERROR((VLOOKUP(B998,FONT!$W$5:$X$1091,2,0)),0)</f>
        <v>0</v>
      </c>
      <c r="G998" s="56">
        <f>IFERROR((VLOOKUP(B998,PENDIENTES!$L$5:$M$561,2,0)),0)</f>
        <v>0</v>
      </c>
    </row>
    <row r="999" spans="3:7" x14ac:dyDescent="0.25">
      <c r="C999" s="57">
        <f>IFERROR((VLOOKUP(B999,FONT!$W$5:$X$1091,2,0)),0)</f>
        <v>0</v>
      </c>
      <c r="G999" s="56">
        <f>IFERROR((VLOOKUP(B999,PENDIENTES!$L$5:$M$561,2,0)),0)</f>
        <v>0</v>
      </c>
    </row>
    <row r="1000" spans="3:7" x14ac:dyDescent="0.25">
      <c r="C1000" s="57">
        <f>IFERROR((VLOOKUP(B1000,FONT!$W$5:$X$1091,2,0)),0)</f>
        <v>0</v>
      </c>
      <c r="G1000" s="56">
        <f>IFERROR((VLOOKUP(B1000,PENDIENTES!$L$5:$M$561,2,0)),0)</f>
        <v>0</v>
      </c>
    </row>
    <row r="1001" spans="3:7" x14ac:dyDescent="0.25">
      <c r="C1001" s="57">
        <f>IFERROR((VLOOKUP(B1001,FONT!$W$5:$X$1091,2,0)),0)</f>
        <v>0</v>
      </c>
      <c r="G1001" s="56">
        <f>IFERROR((VLOOKUP(B1001,PENDIENTES!$L$5:$M$561,2,0)),0)</f>
        <v>0</v>
      </c>
    </row>
    <row r="1002" spans="3:7" x14ac:dyDescent="0.25">
      <c r="C1002" s="57">
        <f>IFERROR((VLOOKUP(B1002,FONT!$W$5:$X$1091,2,0)),0)</f>
        <v>0</v>
      </c>
      <c r="G1002" s="56">
        <f>IFERROR((VLOOKUP(B1002,PENDIENTES!$L$5:$M$561,2,0)),0)</f>
        <v>0</v>
      </c>
    </row>
    <row r="1003" spans="3:7" x14ac:dyDescent="0.25">
      <c r="C1003" s="57">
        <f>IFERROR((VLOOKUP(B1003,FONT!$W$5:$X$1091,2,0)),0)</f>
        <v>0</v>
      </c>
      <c r="G1003" s="56">
        <f>IFERROR((VLOOKUP(B1003,PENDIENTES!$L$5:$M$561,2,0)),0)</f>
        <v>0</v>
      </c>
    </row>
    <row r="1004" spans="3:7" x14ac:dyDescent="0.25">
      <c r="C1004" s="57">
        <f>IFERROR((VLOOKUP(B1004,FONT!$W$5:$X$1091,2,0)),0)</f>
        <v>0</v>
      </c>
      <c r="G1004" s="56">
        <f>IFERROR((VLOOKUP(B1004,PENDIENTES!$L$5:$M$561,2,0)),0)</f>
        <v>0</v>
      </c>
    </row>
    <row r="1005" spans="3:7" x14ac:dyDescent="0.25">
      <c r="C1005" s="57">
        <f>IFERROR((VLOOKUP(B1005,FONT!$W$5:$X$1091,2,0)),0)</f>
        <v>0</v>
      </c>
      <c r="G1005" s="56">
        <f>IFERROR((VLOOKUP(B1005,PENDIENTES!$L$5:$M$561,2,0)),0)</f>
        <v>0</v>
      </c>
    </row>
    <row r="1006" spans="3:7" x14ac:dyDescent="0.25">
      <c r="C1006" s="57">
        <f>IFERROR((VLOOKUP(B1006,FONT!$W$5:$X$1091,2,0)),0)</f>
        <v>0</v>
      </c>
      <c r="G1006" s="56">
        <f>IFERROR((VLOOKUP(B1006,PENDIENTES!$L$5:$M$561,2,0)),0)</f>
        <v>0</v>
      </c>
    </row>
    <row r="1007" spans="3:7" x14ac:dyDescent="0.25">
      <c r="C1007" s="57">
        <f>IFERROR((VLOOKUP(B1007,FONT!$W$5:$X$1091,2,0)),0)</f>
        <v>0</v>
      </c>
      <c r="G1007" s="56">
        <f>IFERROR((VLOOKUP(B1007,PENDIENTES!$L$5:$M$561,2,0)),0)</f>
        <v>0</v>
      </c>
    </row>
    <row r="1008" spans="3:7" x14ac:dyDescent="0.25">
      <c r="C1008" s="57">
        <f>IFERROR((VLOOKUP(B1008,FONT!$W$5:$X$1091,2,0)),0)</f>
        <v>0</v>
      </c>
      <c r="G1008" s="56">
        <f>IFERROR((VLOOKUP(B1008,PENDIENTES!$L$5:$M$561,2,0)),0)</f>
        <v>0</v>
      </c>
    </row>
    <row r="1009" spans="3:7" x14ac:dyDescent="0.25">
      <c r="C1009" s="57">
        <f>IFERROR((VLOOKUP(B1009,FONT!$W$5:$X$1091,2,0)),0)</f>
        <v>0</v>
      </c>
      <c r="G1009" s="56">
        <f>IFERROR((VLOOKUP(B1009,PENDIENTES!$L$5:$M$561,2,0)),0)</f>
        <v>0</v>
      </c>
    </row>
    <row r="1010" spans="3:7" x14ac:dyDescent="0.25">
      <c r="C1010" s="57">
        <f>IFERROR((VLOOKUP(B1010,FONT!$W$5:$X$1091,2,0)),0)</f>
        <v>0</v>
      </c>
      <c r="G1010" s="56">
        <f>IFERROR((VLOOKUP(B1010,PENDIENTES!$L$5:$M$561,2,0)),0)</f>
        <v>0</v>
      </c>
    </row>
    <row r="1011" spans="3:7" x14ac:dyDescent="0.25">
      <c r="C1011" s="57">
        <f>IFERROR((VLOOKUP(B1011,FONT!$W$5:$X$1091,2,0)),0)</f>
        <v>0</v>
      </c>
      <c r="G1011" s="56">
        <f>IFERROR((VLOOKUP(B1011,PENDIENTES!$L$5:$M$561,2,0)),0)</f>
        <v>0</v>
      </c>
    </row>
    <row r="1012" spans="3:7" x14ac:dyDescent="0.25">
      <c r="C1012" s="57">
        <f>IFERROR((VLOOKUP(B1012,FONT!$W$5:$X$1091,2,0)),0)</f>
        <v>0</v>
      </c>
      <c r="G1012" s="56">
        <f>IFERROR((VLOOKUP(B1012,PENDIENTES!$L$5:$M$561,2,0)),0)</f>
        <v>0</v>
      </c>
    </row>
    <row r="1013" spans="3:7" x14ac:dyDescent="0.25">
      <c r="C1013" s="57">
        <f>IFERROR((VLOOKUP(B1013,FONT!$W$5:$X$1091,2,0)),0)</f>
        <v>0</v>
      </c>
      <c r="G1013" s="56">
        <f>IFERROR((VLOOKUP(B1013,PENDIENTES!$L$5:$M$561,2,0)),0)</f>
        <v>0</v>
      </c>
    </row>
    <row r="1014" spans="3:7" x14ac:dyDescent="0.25">
      <c r="C1014" s="57">
        <f>IFERROR((VLOOKUP(B1014,FONT!$W$5:$X$1091,2,0)),0)</f>
        <v>0</v>
      </c>
      <c r="G1014" s="56">
        <f>IFERROR((VLOOKUP(B1014,PENDIENTES!$L$5:$M$561,2,0)),0)</f>
        <v>0</v>
      </c>
    </row>
    <row r="1015" spans="3:7" x14ac:dyDescent="0.25">
      <c r="C1015" s="57">
        <f>IFERROR((VLOOKUP(B1015,FONT!$W$5:$X$1091,2,0)),0)</f>
        <v>0</v>
      </c>
      <c r="G1015" s="56">
        <f>IFERROR((VLOOKUP(B1015,PENDIENTES!$L$5:$M$561,2,0)),0)</f>
        <v>0</v>
      </c>
    </row>
    <row r="1016" spans="3:7" x14ac:dyDescent="0.25">
      <c r="C1016" s="57">
        <f>IFERROR((VLOOKUP(B1016,FONT!$W$5:$X$1091,2,0)),0)</f>
        <v>0</v>
      </c>
      <c r="G1016" s="56">
        <f>IFERROR((VLOOKUP(B1016,PENDIENTES!$L$5:$M$561,2,0)),0)</f>
        <v>0</v>
      </c>
    </row>
    <row r="1017" spans="3:7" x14ac:dyDescent="0.25">
      <c r="C1017" s="57">
        <f>IFERROR((VLOOKUP(B1017,FONT!$W$5:$X$1091,2,0)),0)</f>
        <v>0</v>
      </c>
      <c r="G1017" s="56">
        <f>IFERROR((VLOOKUP(B1017,PENDIENTES!$L$5:$M$561,2,0)),0)</f>
        <v>0</v>
      </c>
    </row>
    <row r="1018" spans="3:7" x14ac:dyDescent="0.25">
      <c r="C1018" s="57">
        <f>IFERROR((VLOOKUP(B1018,FONT!$W$5:$X$1091,2,0)),0)</f>
        <v>0</v>
      </c>
      <c r="G1018" s="56">
        <f>IFERROR((VLOOKUP(B1018,PENDIENTES!$L$5:$M$561,2,0)),0)</f>
        <v>0</v>
      </c>
    </row>
    <row r="1019" spans="3:7" x14ac:dyDescent="0.25">
      <c r="C1019" s="57">
        <f>IFERROR((VLOOKUP(B1019,FONT!$W$5:$X$1091,2,0)),0)</f>
        <v>0</v>
      </c>
      <c r="G1019" s="56">
        <f>IFERROR((VLOOKUP(B1019,PENDIENTES!$L$5:$M$561,2,0)),0)</f>
        <v>0</v>
      </c>
    </row>
    <row r="1020" spans="3:7" x14ac:dyDescent="0.25">
      <c r="C1020" s="57">
        <f>IFERROR((VLOOKUP(B1020,FONT!$W$5:$X$1091,2,0)),0)</f>
        <v>0</v>
      </c>
      <c r="G1020" s="56">
        <f>IFERROR((VLOOKUP(B1020,PENDIENTES!$L$5:$M$561,2,0)),0)</f>
        <v>0</v>
      </c>
    </row>
    <row r="1021" spans="3:7" x14ac:dyDescent="0.25">
      <c r="C1021" s="57">
        <f>IFERROR((VLOOKUP(B1021,FONT!$W$5:$X$1091,2,0)),0)</f>
        <v>0</v>
      </c>
      <c r="G1021" s="56">
        <f>IFERROR((VLOOKUP(B1021,PENDIENTES!$L$5:$M$561,2,0)),0)</f>
        <v>0</v>
      </c>
    </row>
    <row r="1022" spans="3:7" x14ac:dyDescent="0.25">
      <c r="C1022" s="57">
        <f>IFERROR((VLOOKUP(B1022,FONT!$W$5:$X$1091,2,0)),0)</f>
        <v>0</v>
      </c>
      <c r="G1022" s="56">
        <f>IFERROR((VLOOKUP(B1022,PENDIENTES!$L$5:$M$561,2,0)),0)</f>
        <v>0</v>
      </c>
    </row>
    <row r="1023" spans="3:7" x14ac:dyDescent="0.25">
      <c r="C1023" s="57">
        <f>IFERROR((VLOOKUP(B1023,FONT!$W$5:$X$1091,2,0)),0)</f>
        <v>0</v>
      </c>
      <c r="G1023" s="56">
        <f>IFERROR((VLOOKUP(B1023,PENDIENTES!$L$5:$M$561,2,0)),0)</f>
        <v>0</v>
      </c>
    </row>
    <row r="1024" spans="3:7" x14ac:dyDescent="0.25">
      <c r="C1024" s="57">
        <f>IFERROR((VLOOKUP(B1024,FONT!$W$5:$X$1091,2,0)),0)</f>
        <v>0</v>
      </c>
      <c r="G1024" s="56">
        <f>IFERROR((VLOOKUP(B1024,PENDIENTES!$L$5:$M$561,2,0)),0)</f>
        <v>0</v>
      </c>
    </row>
    <row r="1025" spans="3:7" x14ac:dyDescent="0.25">
      <c r="C1025" s="57">
        <f>IFERROR((VLOOKUP(B1025,FONT!$W$5:$X$1091,2,0)),0)</f>
        <v>0</v>
      </c>
      <c r="G1025" s="56">
        <f>IFERROR((VLOOKUP(B1025,PENDIENTES!$L$5:$M$561,2,0)),0)</f>
        <v>0</v>
      </c>
    </row>
    <row r="1026" spans="3:7" x14ac:dyDescent="0.25">
      <c r="C1026" s="57">
        <f>IFERROR((VLOOKUP(B1026,FONT!$W$5:$X$1091,2,0)),0)</f>
        <v>0</v>
      </c>
      <c r="G1026" s="56">
        <f>IFERROR((VLOOKUP(B1026,PENDIENTES!$L$5:$M$561,2,0)),0)</f>
        <v>0</v>
      </c>
    </row>
    <row r="1027" spans="3:7" x14ac:dyDescent="0.25">
      <c r="C1027" s="57">
        <f>IFERROR((VLOOKUP(B1027,FONT!$W$5:$X$1091,2,0)),0)</f>
        <v>0</v>
      </c>
      <c r="G1027" s="56">
        <f>IFERROR((VLOOKUP(B1027,PENDIENTES!$L$5:$M$561,2,0)),0)</f>
        <v>0</v>
      </c>
    </row>
    <row r="1028" spans="3:7" x14ac:dyDescent="0.25">
      <c r="C1028" s="57">
        <f>IFERROR((VLOOKUP(B1028,FONT!$W$5:$X$1091,2,0)),0)</f>
        <v>0</v>
      </c>
      <c r="G1028" s="56">
        <f>IFERROR((VLOOKUP(B1028,PENDIENTES!$L$5:$M$561,2,0)),0)</f>
        <v>0</v>
      </c>
    </row>
    <row r="1029" spans="3:7" x14ac:dyDescent="0.25">
      <c r="C1029" s="57">
        <f>IFERROR((VLOOKUP(B1029,FONT!$W$5:$X$1091,2,0)),0)</f>
        <v>0</v>
      </c>
      <c r="G1029" s="56">
        <f>IFERROR((VLOOKUP(B1029,PENDIENTES!$L$5:$M$561,2,0)),0)</f>
        <v>0</v>
      </c>
    </row>
    <row r="1030" spans="3:7" x14ac:dyDescent="0.25">
      <c r="C1030" s="57">
        <f>IFERROR((VLOOKUP(B1030,FONT!$W$5:$X$1091,2,0)),0)</f>
        <v>0</v>
      </c>
      <c r="G1030" s="56">
        <f>IFERROR((VLOOKUP(B1030,PENDIENTES!$L$5:$M$561,2,0)),0)</f>
        <v>0</v>
      </c>
    </row>
    <row r="1031" spans="3:7" x14ac:dyDescent="0.25">
      <c r="C1031" s="57">
        <f>IFERROR((VLOOKUP(B1031,FONT!$W$5:$X$1091,2,0)),0)</f>
        <v>0</v>
      </c>
      <c r="G1031" s="56">
        <f>IFERROR((VLOOKUP(B1031,PENDIENTES!$L$5:$M$561,2,0)),0)</f>
        <v>0</v>
      </c>
    </row>
    <row r="1032" spans="3:7" x14ac:dyDescent="0.25">
      <c r="C1032" s="57">
        <f>IFERROR((VLOOKUP(B1032,FONT!$W$5:$X$1091,2,0)),0)</f>
        <v>0</v>
      </c>
      <c r="G1032" s="56">
        <f>IFERROR((VLOOKUP(B1032,PENDIENTES!$L$5:$M$561,2,0)),0)</f>
        <v>0</v>
      </c>
    </row>
    <row r="1033" spans="3:7" x14ac:dyDescent="0.25">
      <c r="C1033" s="57">
        <f>IFERROR((VLOOKUP(B1033,FONT!$W$5:$X$1091,2,0)),0)</f>
        <v>0</v>
      </c>
      <c r="G1033" s="56">
        <f>IFERROR((VLOOKUP(B1033,PENDIENTES!$L$5:$M$561,2,0)),0)</f>
        <v>0</v>
      </c>
    </row>
    <row r="1034" spans="3:7" x14ac:dyDescent="0.25">
      <c r="C1034" s="57">
        <f>IFERROR((VLOOKUP(B1034,FONT!$W$5:$X$1091,2,0)),0)</f>
        <v>0</v>
      </c>
      <c r="G1034" s="56">
        <f>IFERROR((VLOOKUP(B1034,PENDIENTES!$L$5:$M$561,2,0)),0)</f>
        <v>0</v>
      </c>
    </row>
    <row r="1035" spans="3:7" x14ac:dyDescent="0.25">
      <c r="C1035" s="57">
        <f>IFERROR((VLOOKUP(B1035,FONT!$W$5:$X$1091,2,0)),0)</f>
        <v>0</v>
      </c>
      <c r="G1035" s="56">
        <f>IFERROR((VLOOKUP(B1035,PENDIENTES!$L$5:$M$561,2,0)),0)</f>
        <v>0</v>
      </c>
    </row>
    <row r="1036" spans="3:7" x14ac:dyDescent="0.25">
      <c r="C1036" s="57">
        <f>IFERROR((VLOOKUP(B1036,FONT!$W$5:$X$1091,2,0)),0)</f>
        <v>0</v>
      </c>
      <c r="G1036" s="56">
        <f>IFERROR((VLOOKUP(B1036,PENDIENTES!$L$5:$M$561,2,0)),0)</f>
        <v>0</v>
      </c>
    </row>
    <row r="1037" spans="3:7" x14ac:dyDescent="0.25">
      <c r="C1037" s="57">
        <f>IFERROR((VLOOKUP(B1037,FONT!$W$5:$X$1091,2,0)),0)</f>
        <v>0</v>
      </c>
      <c r="G1037" s="56">
        <f>IFERROR((VLOOKUP(B1037,PENDIENTES!$L$5:$M$561,2,0)),0)</f>
        <v>0</v>
      </c>
    </row>
    <row r="1038" spans="3:7" x14ac:dyDescent="0.25">
      <c r="C1038" s="57">
        <f>IFERROR((VLOOKUP(B1038,FONT!$W$5:$X$1091,2,0)),0)</f>
        <v>0</v>
      </c>
      <c r="G1038" s="56">
        <f>IFERROR((VLOOKUP(B1038,PENDIENTES!$L$5:$M$561,2,0)),0)</f>
        <v>0</v>
      </c>
    </row>
    <row r="1039" spans="3:7" x14ac:dyDescent="0.25">
      <c r="C1039" s="57">
        <f>IFERROR((VLOOKUP(B1039,FONT!$W$5:$X$1091,2,0)),0)</f>
        <v>0</v>
      </c>
      <c r="G1039" s="56">
        <f>IFERROR((VLOOKUP(B1039,PENDIENTES!$L$5:$M$561,2,0)),0)</f>
        <v>0</v>
      </c>
    </row>
    <row r="1040" spans="3:7" x14ac:dyDescent="0.25">
      <c r="C1040" s="57">
        <f>IFERROR((VLOOKUP(B1040,FONT!$W$5:$X$1091,2,0)),0)</f>
        <v>0</v>
      </c>
      <c r="G1040" s="56">
        <f>IFERROR((VLOOKUP(B1040,PENDIENTES!$L$5:$M$561,2,0)),0)</f>
        <v>0</v>
      </c>
    </row>
    <row r="1041" spans="3:7" x14ac:dyDescent="0.25">
      <c r="C1041" s="57">
        <f>IFERROR((VLOOKUP(B1041,FONT!$W$5:$X$1091,2,0)),0)</f>
        <v>0</v>
      </c>
      <c r="G1041" s="56">
        <f>IFERROR((VLOOKUP(B1041,PENDIENTES!$L$5:$M$561,2,0)),0)</f>
        <v>0</v>
      </c>
    </row>
    <row r="1042" spans="3:7" x14ac:dyDescent="0.25">
      <c r="C1042" s="57">
        <f>IFERROR((VLOOKUP(B1042,FONT!$W$5:$X$1091,2,0)),0)</f>
        <v>0</v>
      </c>
      <c r="G1042" s="56">
        <f>IFERROR((VLOOKUP(B1042,PENDIENTES!$L$5:$M$561,2,0)),0)</f>
        <v>0</v>
      </c>
    </row>
    <row r="1043" spans="3:7" x14ac:dyDescent="0.25">
      <c r="C1043" s="57">
        <f>IFERROR((VLOOKUP(B1043,FONT!$W$5:$X$1091,2,0)),0)</f>
        <v>0</v>
      </c>
      <c r="G1043" s="56">
        <f>IFERROR((VLOOKUP(B1043,PENDIENTES!$L$5:$M$561,2,0)),0)</f>
        <v>0</v>
      </c>
    </row>
    <row r="1044" spans="3:7" x14ac:dyDescent="0.25">
      <c r="C1044" s="57">
        <f>IFERROR((VLOOKUP(B1044,FONT!$W$5:$X$1091,2,0)),0)</f>
        <v>0</v>
      </c>
      <c r="G1044" s="56">
        <f>IFERROR((VLOOKUP(B1044,PENDIENTES!$L$5:$M$561,2,0)),0)</f>
        <v>0</v>
      </c>
    </row>
    <row r="1045" spans="3:7" x14ac:dyDescent="0.25">
      <c r="C1045" s="57">
        <f>IFERROR((VLOOKUP(B1045,FONT!$W$5:$X$1091,2,0)),0)</f>
        <v>0</v>
      </c>
      <c r="G1045" s="56">
        <f>IFERROR((VLOOKUP(B1045,PENDIENTES!$L$5:$M$561,2,0)),0)</f>
        <v>0</v>
      </c>
    </row>
    <row r="1046" spans="3:7" x14ac:dyDescent="0.25">
      <c r="C1046" s="57">
        <f>IFERROR((VLOOKUP(B1046,FONT!$W$5:$X$1091,2,0)),0)</f>
        <v>0</v>
      </c>
      <c r="G1046" s="56">
        <f>IFERROR((VLOOKUP(B1046,PENDIENTES!$L$5:$M$561,2,0)),0)</f>
        <v>0</v>
      </c>
    </row>
    <row r="1047" spans="3:7" x14ac:dyDescent="0.25">
      <c r="C1047" s="57">
        <f>IFERROR((VLOOKUP(B1047,FONT!$W$5:$X$1091,2,0)),0)</f>
        <v>0</v>
      </c>
      <c r="G1047" s="56">
        <f>IFERROR((VLOOKUP(B1047,PENDIENTES!$L$5:$M$561,2,0)),0)</f>
        <v>0</v>
      </c>
    </row>
    <row r="1048" spans="3:7" x14ac:dyDescent="0.25">
      <c r="C1048" s="57">
        <f>IFERROR((VLOOKUP(B1048,FONT!$W$5:$X$1091,2,0)),0)</f>
        <v>0</v>
      </c>
      <c r="G1048" s="56">
        <f>IFERROR((VLOOKUP(B1048,PENDIENTES!$L$5:$M$561,2,0)),0)</f>
        <v>0</v>
      </c>
    </row>
    <row r="1049" spans="3:7" x14ac:dyDescent="0.25">
      <c r="C1049" s="57">
        <f>IFERROR((VLOOKUP(B1049,FONT!$W$5:$X$1091,2,0)),0)</f>
        <v>0</v>
      </c>
      <c r="G1049" s="56">
        <f>IFERROR((VLOOKUP(B1049,PENDIENTES!$L$5:$M$561,2,0)),0)</f>
        <v>0</v>
      </c>
    </row>
    <row r="1050" spans="3:7" x14ac:dyDescent="0.25">
      <c r="C1050" s="57">
        <f>IFERROR((VLOOKUP(B1050,FONT!$W$5:$X$1091,2,0)),0)</f>
        <v>0</v>
      </c>
      <c r="G1050" s="56">
        <f>IFERROR((VLOOKUP(B1050,PENDIENTES!$L$5:$M$561,2,0)),0)</f>
        <v>0</v>
      </c>
    </row>
    <row r="1051" spans="3:7" x14ac:dyDescent="0.25">
      <c r="C1051" s="57">
        <f>IFERROR((VLOOKUP(B1051,FONT!$W$5:$X$1091,2,0)),0)</f>
        <v>0</v>
      </c>
      <c r="G1051" s="56">
        <f>IFERROR((VLOOKUP(B1051,PENDIENTES!$L$5:$M$561,2,0)),0)</f>
        <v>0</v>
      </c>
    </row>
    <row r="1052" spans="3:7" x14ac:dyDescent="0.25">
      <c r="C1052" s="57">
        <f>IFERROR((VLOOKUP(B1052,FONT!$W$5:$X$1091,2,0)),0)</f>
        <v>0</v>
      </c>
      <c r="G1052" s="56">
        <f>IFERROR((VLOOKUP(B1052,PENDIENTES!$L$5:$M$561,2,0)),0)</f>
        <v>0</v>
      </c>
    </row>
    <row r="1053" spans="3:7" x14ac:dyDescent="0.25">
      <c r="C1053" s="57">
        <f>IFERROR((VLOOKUP(B1053,FONT!$W$5:$X$1091,2,0)),0)</f>
        <v>0</v>
      </c>
      <c r="G1053" s="56">
        <f>IFERROR((VLOOKUP(B1053,PENDIENTES!$L$5:$M$561,2,0)),0)</f>
        <v>0</v>
      </c>
    </row>
    <row r="1054" spans="3:7" x14ac:dyDescent="0.25">
      <c r="C1054" s="57">
        <f>IFERROR((VLOOKUP(B1054,FONT!$W$5:$X$1091,2,0)),0)</f>
        <v>0</v>
      </c>
      <c r="G1054" s="56">
        <f>IFERROR((VLOOKUP(B1054,PENDIENTES!$L$5:$M$561,2,0)),0)</f>
        <v>0</v>
      </c>
    </row>
    <row r="1055" spans="3:7" x14ac:dyDescent="0.25">
      <c r="C1055" s="57">
        <f>IFERROR((VLOOKUP(B1055,FONT!$W$5:$X$1091,2,0)),0)</f>
        <v>0</v>
      </c>
      <c r="G1055" s="56">
        <f>IFERROR((VLOOKUP(B1055,PENDIENTES!$L$5:$M$561,2,0)),0)</f>
        <v>0</v>
      </c>
    </row>
    <row r="1056" spans="3:7" x14ac:dyDescent="0.25">
      <c r="C1056" s="57">
        <f>IFERROR((VLOOKUP(B1056,FONT!$W$5:$X$1091,2,0)),0)</f>
        <v>0</v>
      </c>
      <c r="G1056" s="56">
        <f>IFERROR((VLOOKUP(B1056,PENDIENTES!$L$5:$M$561,2,0)),0)</f>
        <v>0</v>
      </c>
    </row>
    <row r="1057" spans="3:7" x14ac:dyDescent="0.25">
      <c r="C1057" s="57">
        <f>IFERROR((VLOOKUP(B1057,FONT!$W$5:$X$1091,2,0)),0)</f>
        <v>0</v>
      </c>
      <c r="G1057" s="56">
        <f>IFERROR((VLOOKUP(B1057,PENDIENTES!$L$5:$M$561,2,0)),0)</f>
        <v>0</v>
      </c>
    </row>
    <row r="1058" spans="3:7" x14ac:dyDescent="0.25">
      <c r="C1058" s="57">
        <f>IFERROR((VLOOKUP(B1058,FONT!$W$5:$X$1091,2,0)),0)</f>
        <v>0</v>
      </c>
      <c r="G1058" s="56">
        <f>IFERROR((VLOOKUP(B1058,PENDIENTES!$L$5:$M$561,2,0)),0)</f>
        <v>0</v>
      </c>
    </row>
    <row r="1059" spans="3:7" x14ac:dyDescent="0.25">
      <c r="C1059" s="57">
        <f>IFERROR((VLOOKUP(B1059,FONT!$W$5:$X$1091,2,0)),0)</f>
        <v>0</v>
      </c>
      <c r="G1059" s="56">
        <f>IFERROR((VLOOKUP(B1059,PENDIENTES!$L$5:$M$561,2,0)),0)</f>
        <v>0</v>
      </c>
    </row>
    <row r="1060" spans="3:7" x14ac:dyDescent="0.25">
      <c r="C1060" s="57">
        <f>IFERROR((VLOOKUP(B1060,FONT!$W$5:$X$1091,2,0)),0)</f>
        <v>0</v>
      </c>
      <c r="G1060" s="56">
        <f>IFERROR((VLOOKUP(B1060,PENDIENTES!$L$5:$M$561,2,0)),0)</f>
        <v>0</v>
      </c>
    </row>
    <row r="1061" spans="3:7" x14ac:dyDescent="0.25">
      <c r="C1061" s="57">
        <f>IFERROR((VLOOKUP(B1061,FONT!$W$5:$X$1091,2,0)),0)</f>
        <v>0</v>
      </c>
      <c r="G1061" s="56">
        <f>IFERROR((VLOOKUP(B1061,PENDIENTES!$L$5:$M$561,2,0)),0)</f>
        <v>0</v>
      </c>
    </row>
    <row r="1062" spans="3:7" x14ac:dyDescent="0.25">
      <c r="C1062" s="57">
        <f>IFERROR((VLOOKUP(B1062,FONT!$W$5:$X$1091,2,0)),0)</f>
        <v>0</v>
      </c>
      <c r="G1062" s="56">
        <f>IFERROR((VLOOKUP(B1062,PENDIENTES!$L$5:$M$561,2,0)),0)</f>
        <v>0</v>
      </c>
    </row>
    <row r="1063" spans="3:7" x14ac:dyDescent="0.25">
      <c r="C1063" s="57">
        <f>IFERROR((VLOOKUP(B1063,FONT!$W$5:$X$1091,2,0)),0)</f>
        <v>0</v>
      </c>
      <c r="G1063" s="56">
        <f>IFERROR((VLOOKUP(B1063,PENDIENTES!$L$5:$M$561,2,0)),0)</f>
        <v>0</v>
      </c>
    </row>
    <row r="1064" spans="3:7" x14ac:dyDescent="0.25">
      <c r="C1064" s="57">
        <f>IFERROR((VLOOKUP(B1064,FONT!$W$5:$X$1091,2,0)),0)</f>
        <v>0</v>
      </c>
      <c r="G1064" s="56">
        <f>IFERROR((VLOOKUP(B1064,PENDIENTES!$L$5:$M$561,2,0)),0)</f>
        <v>0</v>
      </c>
    </row>
    <row r="1065" spans="3:7" x14ac:dyDescent="0.25">
      <c r="C1065" s="57">
        <f>IFERROR((VLOOKUP(B1065,FONT!$W$5:$X$1091,2,0)),0)</f>
        <v>0</v>
      </c>
      <c r="G1065" s="56">
        <f>IFERROR((VLOOKUP(B1065,PENDIENTES!$L$5:$M$561,2,0)),0)</f>
        <v>0</v>
      </c>
    </row>
    <row r="1066" spans="3:7" x14ac:dyDescent="0.25">
      <c r="C1066" s="57">
        <f>IFERROR((VLOOKUP(B1066,FONT!$W$5:$X$1091,2,0)),0)</f>
        <v>0</v>
      </c>
      <c r="G1066" s="56">
        <f>IFERROR((VLOOKUP(B1066,PENDIENTES!$L$5:$M$561,2,0)),0)</f>
        <v>0</v>
      </c>
    </row>
    <row r="1067" spans="3:7" x14ac:dyDescent="0.25">
      <c r="C1067" s="57">
        <f>IFERROR((VLOOKUP(B1067,FONT!$W$5:$X$1091,2,0)),0)</f>
        <v>0</v>
      </c>
      <c r="G1067" s="56">
        <f>IFERROR((VLOOKUP(B1067,PENDIENTES!$L$5:$M$561,2,0)),0)</f>
        <v>0</v>
      </c>
    </row>
    <row r="1068" spans="3:7" x14ac:dyDescent="0.25">
      <c r="C1068" s="57">
        <f>IFERROR((VLOOKUP(B1068,FONT!$W$5:$X$1091,2,0)),0)</f>
        <v>0</v>
      </c>
      <c r="G1068" s="56">
        <f>IFERROR((VLOOKUP(B1068,PENDIENTES!$L$5:$M$561,2,0)),0)</f>
        <v>0</v>
      </c>
    </row>
    <row r="1069" spans="3:7" x14ac:dyDescent="0.25">
      <c r="C1069" s="57">
        <f>IFERROR((VLOOKUP(B1069,FONT!$W$5:$X$1091,2,0)),0)</f>
        <v>0</v>
      </c>
      <c r="G1069" s="56">
        <f>IFERROR((VLOOKUP(B1069,PENDIENTES!$L$5:$M$561,2,0)),0)</f>
        <v>0</v>
      </c>
    </row>
    <row r="1070" spans="3:7" x14ac:dyDescent="0.25">
      <c r="C1070" s="57">
        <f>IFERROR((VLOOKUP(B1070,FONT!$W$5:$X$1091,2,0)),0)</f>
        <v>0</v>
      </c>
      <c r="G1070" s="56">
        <f>IFERROR((VLOOKUP(B1070,PENDIENTES!$L$5:$M$561,2,0)),0)</f>
        <v>0</v>
      </c>
    </row>
    <row r="1071" spans="3:7" x14ac:dyDescent="0.25">
      <c r="C1071" s="57">
        <f>IFERROR((VLOOKUP(B1071,FONT!$W$5:$X$1091,2,0)),0)</f>
        <v>0</v>
      </c>
      <c r="G1071" s="56">
        <f>IFERROR((VLOOKUP(B1071,PENDIENTES!$L$5:$M$561,2,0)),0)</f>
        <v>0</v>
      </c>
    </row>
    <row r="1072" spans="3:7" x14ac:dyDescent="0.25">
      <c r="C1072" s="57">
        <f>IFERROR((VLOOKUP(B1072,FONT!$W$5:$X$1091,2,0)),0)</f>
        <v>0</v>
      </c>
      <c r="G1072" s="56">
        <f>IFERROR((VLOOKUP(B1072,PENDIENTES!$L$5:$M$561,2,0)),0)</f>
        <v>0</v>
      </c>
    </row>
    <row r="1073" spans="3:7" x14ac:dyDescent="0.25">
      <c r="C1073" s="57">
        <f>IFERROR((VLOOKUP(B1073,FONT!$W$5:$X$1091,2,0)),0)</f>
        <v>0</v>
      </c>
      <c r="G1073" s="56">
        <f>IFERROR((VLOOKUP(B1073,PENDIENTES!$L$5:$M$561,2,0)),0)</f>
        <v>0</v>
      </c>
    </row>
    <row r="1074" spans="3:7" x14ac:dyDescent="0.25">
      <c r="C1074" s="57">
        <f>IFERROR((VLOOKUP(B1074,FONT!$W$5:$X$1091,2,0)),0)</f>
        <v>0</v>
      </c>
      <c r="G1074" s="56">
        <f>IFERROR((VLOOKUP(B1074,PENDIENTES!$L$5:$M$561,2,0)),0)</f>
        <v>0</v>
      </c>
    </row>
    <row r="1075" spans="3:7" x14ac:dyDescent="0.25">
      <c r="C1075" s="57">
        <f>IFERROR((VLOOKUP(B1075,FONT!$W$5:$X$1091,2,0)),0)</f>
        <v>0</v>
      </c>
      <c r="G1075" s="56">
        <f>IFERROR((VLOOKUP(B1075,PENDIENTES!$L$5:$M$561,2,0)),0)</f>
        <v>0</v>
      </c>
    </row>
    <row r="1076" spans="3:7" x14ac:dyDescent="0.25">
      <c r="C1076" s="57">
        <f>IFERROR((VLOOKUP(B1076,FONT!$W$5:$X$1091,2,0)),0)</f>
        <v>0</v>
      </c>
      <c r="G1076" s="56">
        <f>IFERROR((VLOOKUP(B1076,PENDIENTES!$L$5:$M$561,2,0)),0)</f>
        <v>0</v>
      </c>
    </row>
    <row r="1077" spans="3:7" x14ac:dyDescent="0.25">
      <c r="C1077" s="57">
        <f>IFERROR((VLOOKUP(B1077,FONT!$W$5:$X$1091,2,0)),0)</f>
        <v>0</v>
      </c>
      <c r="G1077" s="56">
        <f>IFERROR((VLOOKUP(B1077,PENDIENTES!$L$5:$M$561,2,0)),0)</f>
        <v>0</v>
      </c>
    </row>
    <row r="1078" spans="3:7" x14ac:dyDescent="0.25">
      <c r="C1078" s="57">
        <f>IFERROR((VLOOKUP(B1078,FONT!$W$5:$X$1091,2,0)),0)</f>
        <v>0</v>
      </c>
      <c r="G1078" s="56">
        <f>IFERROR((VLOOKUP(B1078,PENDIENTES!$L$5:$M$561,2,0)),0)</f>
        <v>0</v>
      </c>
    </row>
    <row r="1079" spans="3:7" x14ac:dyDescent="0.25">
      <c r="C1079" s="57">
        <f>IFERROR((VLOOKUP(B1079,FONT!$W$5:$X$1091,2,0)),0)</f>
        <v>0</v>
      </c>
      <c r="G1079" s="56">
        <f>IFERROR((VLOOKUP(B1079,PENDIENTES!$L$5:$M$561,2,0)),0)</f>
        <v>0</v>
      </c>
    </row>
    <row r="1080" spans="3:7" x14ac:dyDescent="0.25">
      <c r="C1080" s="57">
        <f>IFERROR((VLOOKUP(B1080,FONT!$W$5:$X$1091,2,0)),0)</f>
        <v>0</v>
      </c>
      <c r="G1080" s="56">
        <f>IFERROR((VLOOKUP(B1080,PENDIENTES!$L$5:$M$561,2,0)),0)</f>
        <v>0</v>
      </c>
    </row>
    <row r="1081" spans="3:7" x14ac:dyDescent="0.25">
      <c r="C1081" s="57">
        <f>IFERROR((VLOOKUP(B1081,FONT!$W$5:$X$1091,2,0)),0)</f>
        <v>0</v>
      </c>
      <c r="G1081" s="56">
        <f>IFERROR((VLOOKUP(B1081,PENDIENTES!$L$5:$M$561,2,0)),0)</f>
        <v>0</v>
      </c>
    </row>
    <row r="1082" spans="3:7" x14ac:dyDescent="0.25">
      <c r="C1082" s="57">
        <f>IFERROR((VLOOKUP(B1082,FONT!$W$5:$X$1091,2,0)),0)</f>
        <v>0</v>
      </c>
      <c r="G1082" s="56">
        <f>IFERROR((VLOOKUP(B1082,PENDIENTES!$L$5:$M$561,2,0)),0)</f>
        <v>0</v>
      </c>
    </row>
    <row r="1083" spans="3:7" x14ac:dyDescent="0.25">
      <c r="C1083" s="57">
        <f>IFERROR((VLOOKUP(B1083,FONT!$W$5:$X$1091,2,0)),0)</f>
        <v>0</v>
      </c>
      <c r="G1083" s="56">
        <f>IFERROR((VLOOKUP(B1083,PENDIENTES!$L$5:$M$561,2,0)),0)</f>
        <v>0</v>
      </c>
    </row>
    <row r="1084" spans="3:7" x14ac:dyDescent="0.25">
      <c r="C1084" s="57">
        <f>IFERROR((VLOOKUP(B1084,FONT!$W$5:$X$1091,2,0)),0)</f>
        <v>0</v>
      </c>
      <c r="G1084" s="56">
        <f>IFERROR((VLOOKUP(B1084,PENDIENTES!$L$5:$M$561,2,0)),0)</f>
        <v>0</v>
      </c>
    </row>
    <row r="1085" spans="3:7" x14ac:dyDescent="0.25">
      <c r="C1085" s="57">
        <f>IFERROR((VLOOKUP(B1085,FONT!$W$5:$X$1091,2,0)),0)</f>
        <v>0</v>
      </c>
      <c r="G1085" s="56">
        <f>IFERROR((VLOOKUP(B1085,PENDIENTES!$L$5:$M$561,2,0)),0)</f>
        <v>0</v>
      </c>
    </row>
    <row r="1086" spans="3:7" x14ac:dyDescent="0.25">
      <c r="C1086" s="57">
        <f>IFERROR((VLOOKUP(B1086,FONT!$W$5:$X$1091,2,0)),0)</f>
        <v>0</v>
      </c>
      <c r="G1086" s="56">
        <f>IFERROR((VLOOKUP(B1086,PENDIENTES!$L$5:$M$561,2,0)),0)</f>
        <v>0</v>
      </c>
    </row>
    <row r="1087" spans="3:7" x14ac:dyDescent="0.25">
      <c r="C1087" s="57">
        <f>IFERROR((VLOOKUP(B1087,FONT!$W$5:$X$1091,2,0)),0)</f>
        <v>0</v>
      </c>
      <c r="G1087" s="56">
        <f>IFERROR((VLOOKUP(B1087,PENDIENTES!$L$5:$M$561,2,0)),0)</f>
        <v>0</v>
      </c>
    </row>
    <row r="1088" spans="3:7" x14ac:dyDescent="0.25">
      <c r="C1088" s="57">
        <f>IFERROR((VLOOKUP(B1088,FONT!$W$5:$X$1091,2,0)),0)</f>
        <v>0</v>
      </c>
      <c r="G1088" s="56">
        <f>IFERROR((VLOOKUP(B1088,PENDIENTES!$L$5:$M$561,2,0)),0)</f>
        <v>0</v>
      </c>
    </row>
    <row r="1089" spans="3:7" x14ac:dyDescent="0.25">
      <c r="C1089" s="57">
        <f>IFERROR((VLOOKUP(B1089,FONT!$W$5:$X$1091,2,0)),0)</f>
        <v>0</v>
      </c>
      <c r="G1089" s="56">
        <f>IFERROR((VLOOKUP(B1089,PENDIENTES!$L$5:$M$561,2,0)),0)</f>
        <v>0</v>
      </c>
    </row>
    <row r="1090" spans="3:7" x14ac:dyDescent="0.25">
      <c r="C1090" s="57">
        <f>IFERROR((VLOOKUP(B1090,FONT!$W$5:$X$1091,2,0)),0)</f>
        <v>0</v>
      </c>
      <c r="G1090" s="56">
        <f>IFERROR((VLOOKUP(B1090,PENDIENTES!$L$5:$M$561,2,0)),0)</f>
        <v>0</v>
      </c>
    </row>
    <row r="1091" spans="3:7" x14ac:dyDescent="0.25">
      <c r="C1091" s="57">
        <f>IFERROR((VLOOKUP(B1091,FONT!$W$5:$X$1091,2,0)),0)</f>
        <v>0</v>
      </c>
      <c r="G1091" s="56">
        <f>IFERROR((VLOOKUP(B1091,PENDIENTES!$L$5:$M$561,2,0)),0)</f>
        <v>0</v>
      </c>
    </row>
    <row r="1092" spans="3:7" x14ac:dyDescent="0.25">
      <c r="C1092" s="57">
        <f>IFERROR((VLOOKUP(B1092,FONT!$W$5:$X$1091,2,0)),0)</f>
        <v>0</v>
      </c>
      <c r="G1092" s="56">
        <f>IFERROR((VLOOKUP(B1092,PENDIENTES!$L$5:$M$561,2,0)),0)</f>
        <v>0</v>
      </c>
    </row>
    <row r="1093" spans="3:7" x14ac:dyDescent="0.25">
      <c r="C1093" s="57">
        <f>IFERROR((VLOOKUP(B1093,FONT!$W$5:$X$1091,2,0)),0)</f>
        <v>0</v>
      </c>
      <c r="G1093" s="56">
        <f>IFERROR((VLOOKUP(B1093,PENDIENTES!$L$5:$M$561,2,0)),0)</f>
        <v>0</v>
      </c>
    </row>
    <row r="1094" spans="3:7" x14ac:dyDescent="0.25">
      <c r="C1094" s="57">
        <f>IFERROR((VLOOKUP(B1094,FONT!$W$5:$X$1091,2,0)),0)</f>
        <v>0</v>
      </c>
      <c r="G1094" s="56">
        <f>IFERROR((VLOOKUP(B1094,PENDIENTES!$L$5:$M$561,2,0)),0)</f>
        <v>0</v>
      </c>
    </row>
    <row r="1095" spans="3:7" x14ac:dyDescent="0.25">
      <c r="C1095" s="57">
        <f>IFERROR((VLOOKUP(B1095,FONT!$W$5:$X$1091,2,0)),0)</f>
        <v>0</v>
      </c>
      <c r="G1095" s="56">
        <f>IFERROR((VLOOKUP(B1095,PENDIENTES!$L$5:$M$561,2,0)),0)</f>
        <v>0</v>
      </c>
    </row>
    <row r="1096" spans="3:7" x14ac:dyDescent="0.25">
      <c r="C1096" s="57">
        <f>IFERROR((VLOOKUP(B1096,FONT!$W$5:$X$1091,2,0)),0)</f>
        <v>0</v>
      </c>
      <c r="G1096" s="56">
        <f>IFERROR((VLOOKUP(B1096,PENDIENTES!$L$5:$M$561,2,0)),0)</f>
        <v>0</v>
      </c>
    </row>
    <row r="1097" spans="3:7" x14ac:dyDescent="0.25">
      <c r="C1097" s="57">
        <f>IFERROR((VLOOKUP(B1097,FONT!$W$5:$X$1091,2,0)),0)</f>
        <v>0</v>
      </c>
      <c r="G1097" s="56">
        <f>IFERROR((VLOOKUP(B1097,PENDIENTES!$L$5:$M$561,2,0)),0)</f>
        <v>0</v>
      </c>
    </row>
    <row r="1098" spans="3:7" x14ac:dyDescent="0.25">
      <c r="C1098" s="57">
        <f>IFERROR((VLOOKUP(B1098,FONT!$W$5:$X$1091,2,0)),0)</f>
        <v>0</v>
      </c>
      <c r="G1098" s="56">
        <f>IFERROR((VLOOKUP(B1098,PENDIENTES!$L$5:$M$561,2,0)),0)</f>
        <v>0</v>
      </c>
    </row>
    <row r="1099" spans="3:7" x14ac:dyDescent="0.25">
      <c r="C1099" s="57">
        <f>IFERROR((VLOOKUP(B1099,FONT!$W$5:$X$1091,2,0)),0)</f>
        <v>0</v>
      </c>
      <c r="G1099" s="56">
        <f>IFERROR((VLOOKUP(B1099,PENDIENTES!$L$5:$M$561,2,0)),0)</f>
        <v>0</v>
      </c>
    </row>
    <row r="1100" spans="3:7" x14ac:dyDescent="0.25">
      <c r="C1100" s="57">
        <f>IFERROR((VLOOKUP(B1100,FONT!$W$5:$X$1091,2,0)),0)</f>
        <v>0</v>
      </c>
      <c r="G1100" s="56">
        <f>IFERROR((VLOOKUP(B1100,PENDIENTES!$L$5:$M$561,2,0)),0)</f>
        <v>0</v>
      </c>
    </row>
    <row r="1101" spans="3:7" x14ac:dyDescent="0.25">
      <c r="C1101" s="57">
        <f>IFERROR((VLOOKUP(B1101,FONT!$W$5:$X$1091,2,0)),0)</f>
        <v>0</v>
      </c>
      <c r="G1101" s="56">
        <f>IFERROR((VLOOKUP(B1101,PENDIENTES!$L$5:$M$561,2,0)),0)</f>
        <v>0</v>
      </c>
    </row>
    <row r="1102" spans="3:7" x14ac:dyDescent="0.25">
      <c r="C1102" s="57">
        <f>IFERROR((VLOOKUP(B1102,FONT!$W$5:$X$1091,2,0)),0)</f>
        <v>0</v>
      </c>
      <c r="G1102" s="56">
        <f>IFERROR((VLOOKUP(B1102,PENDIENTES!$L$5:$M$561,2,0)),0)</f>
        <v>0</v>
      </c>
    </row>
    <row r="1103" spans="3:7" x14ac:dyDescent="0.25">
      <c r="C1103" s="57">
        <f>IFERROR((VLOOKUP(B1103,FONT!$W$5:$X$1091,2,0)),0)</f>
        <v>0</v>
      </c>
      <c r="G1103" s="56">
        <f>IFERROR((VLOOKUP(B1103,PENDIENTES!$L$5:$M$561,2,0)),0)</f>
        <v>0</v>
      </c>
    </row>
    <row r="1104" spans="3:7" x14ac:dyDescent="0.25">
      <c r="C1104" s="57">
        <f>IFERROR((VLOOKUP(B1104,FONT!$W$5:$X$1091,2,0)),0)</f>
        <v>0</v>
      </c>
      <c r="G1104" s="56">
        <f>IFERROR((VLOOKUP(B1104,PENDIENTES!$L$5:$M$561,2,0)),0)</f>
        <v>0</v>
      </c>
    </row>
    <row r="1105" spans="3:7" x14ac:dyDescent="0.25">
      <c r="C1105" s="57">
        <f>IFERROR((VLOOKUP(B1105,FONT!$W$5:$X$1091,2,0)),0)</f>
        <v>0</v>
      </c>
      <c r="G1105" s="56">
        <f>IFERROR((VLOOKUP(B1105,PENDIENTES!$L$5:$M$561,2,0)),0)</f>
        <v>0</v>
      </c>
    </row>
    <row r="1106" spans="3:7" x14ac:dyDescent="0.25">
      <c r="C1106" s="57">
        <f>IFERROR((VLOOKUP(B1106,FONT!$W$5:$X$1091,2,0)),0)</f>
        <v>0</v>
      </c>
      <c r="G1106" s="56">
        <f>IFERROR((VLOOKUP(B1106,PENDIENTES!$L$5:$M$561,2,0)),0)</f>
        <v>0</v>
      </c>
    </row>
    <row r="1107" spans="3:7" x14ac:dyDescent="0.25">
      <c r="C1107" s="57">
        <f>IFERROR((VLOOKUP(B1107,FONT!$W$5:$X$1091,2,0)),0)</f>
        <v>0</v>
      </c>
      <c r="G1107" s="56">
        <f>IFERROR((VLOOKUP(B1107,PENDIENTES!$L$5:$M$561,2,0)),0)</f>
        <v>0</v>
      </c>
    </row>
    <row r="1108" spans="3:7" x14ac:dyDescent="0.25">
      <c r="C1108" s="57">
        <f>IFERROR((VLOOKUP(B1108,FONT!$W$5:$X$1091,2,0)),0)</f>
        <v>0</v>
      </c>
      <c r="G1108" s="56">
        <f>IFERROR((VLOOKUP(B1108,PENDIENTES!$L$5:$M$561,2,0)),0)</f>
        <v>0</v>
      </c>
    </row>
    <row r="1109" spans="3:7" x14ac:dyDescent="0.25">
      <c r="C1109" s="57">
        <f>IFERROR((VLOOKUP(B1109,FONT!$W$5:$X$1091,2,0)),0)</f>
        <v>0</v>
      </c>
      <c r="G1109" s="56">
        <f>IFERROR((VLOOKUP(B1109,PENDIENTES!$L$5:$M$561,2,0)),0)</f>
        <v>0</v>
      </c>
    </row>
    <row r="1110" spans="3:7" x14ac:dyDescent="0.25">
      <c r="C1110" s="57">
        <f>IFERROR((VLOOKUP(B1110,FONT!$W$5:$X$1091,2,0)),0)</f>
        <v>0</v>
      </c>
      <c r="G1110" s="56">
        <f>IFERROR((VLOOKUP(B1110,PENDIENTES!$L$5:$M$561,2,0)),0)</f>
        <v>0</v>
      </c>
    </row>
    <row r="1111" spans="3:7" x14ac:dyDescent="0.25">
      <c r="C1111" s="57">
        <f>IFERROR((VLOOKUP(B1111,FONT!$W$5:$X$1091,2,0)),0)</f>
        <v>0</v>
      </c>
      <c r="G1111" s="56">
        <f>IFERROR((VLOOKUP(B1111,PENDIENTES!$L$5:$M$561,2,0)),0)</f>
        <v>0</v>
      </c>
    </row>
    <row r="1112" spans="3:7" x14ac:dyDescent="0.25">
      <c r="C1112" s="57">
        <f>IFERROR((VLOOKUP(B1112,FONT!$W$5:$X$1091,2,0)),0)</f>
        <v>0</v>
      </c>
      <c r="G1112" s="56">
        <f>IFERROR((VLOOKUP(B1112,PENDIENTES!$L$5:$M$561,2,0)),0)</f>
        <v>0</v>
      </c>
    </row>
    <row r="1113" spans="3:7" x14ac:dyDescent="0.25">
      <c r="C1113" s="57">
        <f>IFERROR((VLOOKUP(B1113,FONT!$W$5:$X$1091,2,0)),0)</f>
        <v>0</v>
      </c>
      <c r="G1113" s="56">
        <f>IFERROR((VLOOKUP(B1113,PENDIENTES!$L$5:$M$561,2,0)),0)</f>
        <v>0</v>
      </c>
    </row>
    <row r="1114" spans="3:7" x14ac:dyDescent="0.25">
      <c r="C1114" s="57">
        <f>IFERROR((VLOOKUP(B1114,FONT!$W$5:$X$1091,2,0)),0)</f>
        <v>0</v>
      </c>
      <c r="G1114" s="56">
        <f>IFERROR((VLOOKUP(B1114,PENDIENTES!$L$5:$M$561,2,0)),0)</f>
        <v>0</v>
      </c>
    </row>
    <row r="1115" spans="3:7" x14ac:dyDescent="0.25">
      <c r="C1115" s="57">
        <f>IFERROR((VLOOKUP(B1115,FONT!$W$5:$X$1091,2,0)),0)</f>
        <v>0</v>
      </c>
      <c r="G1115" s="56">
        <f>IFERROR((VLOOKUP(B1115,PENDIENTES!$L$5:$M$561,2,0)),0)</f>
        <v>0</v>
      </c>
    </row>
    <row r="1116" spans="3:7" x14ac:dyDescent="0.25">
      <c r="C1116" s="57">
        <f>IFERROR((VLOOKUP(B1116,FONT!$W$5:$X$1091,2,0)),0)</f>
        <v>0</v>
      </c>
      <c r="G1116" s="56">
        <f>IFERROR((VLOOKUP(B1116,PENDIENTES!$L$5:$M$561,2,0)),0)</f>
        <v>0</v>
      </c>
    </row>
    <row r="1117" spans="3:7" x14ac:dyDescent="0.25">
      <c r="C1117" s="57">
        <f>IFERROR((VLOOKUP(B1117,FONT!$W$5:$X$1091,2,0)),0)</f>
        <v>0</v>
      </c>
      <c r="G1117" s="56">
        <f>IFERROR((VLOOKUP(B1117,PENDIENTES!$L$5:$M$561,2,0)),0)</f>
        <v>0</v>
      </c>
    </row>
    <row r="1118" spans="3:7" x14ac:dyDescent="0.25">
      <c r="C1118" s="57">
        <f>IFERROR((VLOOKUP(B1118,FONT!$W$5:$X$1091,2,0)),0)</f>
        <v>0</v>
      </c>
      <c r="G1118" s="56">
        <f>IFERROR((VLOOKUP(B1118,PENDIENTES!$L$5:$M$561,2,0)),0)</f>
        <v>0</v>
      </c>
    </row>
    <row r="1119" spans="3:7" x14ac:dyDescent="0.25">
      <c r="C1119" s="57">
        <f>IFERROR((VLOOKUP(B1119,FONT!$W$5:$X$1091,2,0)),0)</f>
        <v>0</v>
      </c>
      <c r="G1119" s="56">
        <f>IFERROR((VLOOKUP(B1119,PENDIENTES!$L$5:$M$561,2,0)),0)</f>
        <v>0</v>
      </c>
    </row>
    <row r="1120" spans="3:7" x14ac:dyDescent="0.25">
      <c r="C1120" s="57">
        <f>IFERROR((VLOOKUP(B1120,FONT!$W$5:$X$1091,2,0)),0)</f>
        <v>0</v>
      </c>
      <c r="G1120" s="56">
        <f>IFERROR((VLOOKUP(B1120,PENDIENTES!$L$5:$M$561,2,0)),0)</f>
        <v>0</v>
      </c>
    </row>
    <row r="1121" spans="3:7" x14ac:dyDescent="0.25">
      <c r="C1121" s="57">
        <f>IFERROR((VLOOKUP(B1121,FONT!$W$5:$X$1091,2,0)),0)</f>
        <v>0</v>
      </c>
      <c r="G1121" s="56">
        <f>IFERROR((VLOOKUP(B1121,PENDIENTES!$L$5:$M$561,2,0)),0)</f>
        <v>0</v>
      </c>
    </row>
    <row r="1122" spans="3:7" x14ac:dyDescent="0.25">
      <c r="C1122" s="57">
        <f>IFERROR((VLOOKUP(B1122,FONT!$W$5:$X$1091,2,0)),0)</f>
        <v>0</v>
      </c>
      <c r="G1122" s="56">
        <f>IFERROR((VLOOKUP(B1122,PENDIENTES!$L$5:$M$561,2,0)),0)</f>
        <v>0</v>
      </c>
    </row>
    <row r="1123" spans="3:7" x14ac:dyDescent="0.25">
      <c r="C1123" s="57">
        <f>IFERROR((VLOOKUP(B1123,FONT!$W$5:$X$1091,2,0)),0)</f>
        <v>0</v>
      </c>
      <c r="G1123" s="56">
        <f>IFERROR((VLOOKUP(B1123,PENDIENTES!$L$5:$M$561,2,0)),0)</f>
        <v>0</v>
      </c>
    </row>
    <row r="1124" spans="3:7" x14ac:dyDescent="0.25">
      <c r="C1124" s="57">
        <f>IFERROR((VLOOKUP(B1124,FONT!$W$5:$X$1091,2,0)),0)</f>
        <v>0</v>
      </c>
      <c r="G1124" s="56">
        <f>IFERROR((VLOOKUP(B1124,PENDIENTES!$L$5:$M$561,2,0)),0)</f>
        <v>0</v>
      </c>
    </row>
    <row r="1125" spans="3:7" x14ac:dyDescent="0.25">
      <c r="C1125" s="57">
        <f>IFERROR((VLOOKUP(B1125,FONT!$W$5:$X$1091,2,0)),0)</f>
        <v>0</v>
      </c>
      <c r="G1125" s="56">
        <f>IFERROR((VLOOKUP(B1125,PENDIENTES!$L$5:$M$561,2,0)),0)</f>
        <v>0</v>
      </c>
    </row>
    <row r="1126" spans="3:7" x14ac:dyDescent="0.25">
      <c r="C1126" s="57">
        <f>IFERROR((VLOOKUP(B1126,FONT!$W$5:$X$1091,2,0)),0)</f>
        <v>0</v>
      </c>
      <c r="G1126" s="56">
        <f>IFERROR((VLOOKUP(B1126,PENDIENTES!$L$5:$M$561,2,0)),0)</f>
        <v>0</v>
      </c>
    </row>
    <row r="1127" spans="3:7" x14ac:dyDescent="0.25">
      <c r="C1127" s="57">
        <f>IFERROR((VLOOKUP(B1127,FONT!$W$5:$X$1091,2,0)),0)</f>
        <v>0</v>
      </c>
      <c r="G1127" s="56">
        <f>IFERROR((VLOOKUP(B1127,PENDIENTES!$L$5:$M$561,2,0)),0)</f>
        <v>0</v>
      </c>
    </row>
    <row r="1128" spans="3:7" x14ac:dyDescent="0.25">
      <c r="C1128" s="57">
        <f>IFERROR((VLOOKUP(B1128,FONT!$W$5:$X$1091,2,0)),0)</f>
        <v>0</v>
      </c>
      <c r="G1128" s="56">
        <f>IFERROR((VLOOKUP(B1128,PENDIENTES!$L$5:$M$561,2,0)),0)</f>
        <v>0</v>
      </c>
    </row>
    <row r="1129" spans="3:7" x14ac:dyDescent="0.25">
      <c r="C1129" s="57">
        <f>IFERROR((VLOOKUP(B1129,FONT!$W$5:$X$1091,2,0)),0)</f>
        <v>0</v>
      </c>
      <c r="G1129" s="56">
        <f>IFERROR((VLOOKUP(B1129,PENDIENTES!$L$5:$M$561,2,0)),0)</f>
        <v>0</v>
      </c>
    </row>
    <row r="1130" spans="3:7" x14ac:dyDescent="0.25">
      <c r="C1130" s="57">
        <f>IFERROR((VLOOKUP(B1130,FONT!$W$5:$X$1091,2,0)),0)</f>
        <v>0</v>
      </c>
      <c r="G1130" s="56">
        <f>IFERROR((VLOOKUP(B1130,PENDIENTES!$L$5:$M$561,2,0)),0)</f>
        <v>0</v>
      </c>
    </row>
    <row r="1131" spans="3:7" x14ac:dyDescent="0.25">
      <c r="C1131" s="57">
        <f>IFERROR((VLOOKUP(B1131,FONT!$W$5:$X$1091,2,0)),0)</f>
        <v>0</v>
      </c>
      <c r="G1131" s="56">
        <f>IFERROR((VLOOKUP(B1131,PENDIENTES!$L$5:$M$561,2,0)),0)</f>
        <v>0</v>
      </c>
    </row>
    <row r="1132" spans="3:7" x14ac:dyDescent="0.25">
      <c r="C1132" s="57">
        <f>IFERROR((VLOOKUP(B1132,FONT!$W$5:$X$1091,2,0)),0)</f>
        <v>0</v>
      </c>
      <c r="G1132" s="56">
        <f>IFERROR((VLOOKUP(B1132,PENDIENTES!$L$5:$M$561,2,0)),0)</f>
        <v>0</v>
      </c>
    </row>
    <row r="1133" spans="3:7" x14ac:dyDescent="0.25">
      <c r="C1133" s="57">
        <f>IFERROR((VLOOKUP(B1133,FONT!$W$5:$X$1091,2,0)),0)</f>
        <v>0</v>
      </c>
      <c r="G1133" s="56">
        <f>IFERROR((VLOOKUP(B1133,PENDIENTES!$L$5:$M$561,2,0)),0)</f>
        <v>0</v>
      </c>
    </row>
    <row r="1134" spans="3:7" x14ac:dyDescent="0.25">
      <c r="C1134" s="57">
        <f>IFERROR((VLOOKUP(B1134,FONT!$W$5:$X$1091,2,0)),0)</f>
        <v>0</v>
      </c>
      <c r="G1134" s="56">
        <f>IFERROR((VLOOKUP(B1134,PENDIENTES!$L$5:$M$561,2,0)),0)</f>
        <v>0</v>
      </c>
    </row>
    <row r="1135" spans="3:7" x14ac:dyDescent="0.25">
      <c r="C1135" s="57">
        <f>IFERROR((VLOOKUP(B1135,FONT!$W$5:$X$1091,2,0)),0)</f>
        <v>0</v>
      </c>
      <c r="G1135" s="56">
        <f>IFERROR((VLOOKUP(B1135,PENDIENTES!$L$5:$M$561,2,0)),0)</f>
        <v>0</v>
      </c>
    </row>
    <row r="1136" spans="3:7" x14ac:dyDescent="0.25">
      <c r="C1136" s="57">
        <f>IFERROR((VLOOKUP(B1136,FONT!$W$5:$X$1091,2,0)),0)</f>
        <v>0</v>
      </c>
      <c r="G1136" s="56">
        <f>IFERROR((VLOOKUP(B1136,PENDIENTES!$L$5:$M$561,2,0)),0)</f>
        <v>0</v>
      </c>
    </row>
    <row r="1137" spans="3:7" x14ac:dyDescent="0.25">
      <c r="C1137" s="57">
        <f>IFERROR((VLOOKUP(B1137,FONT!$W$5:$X$1091,2,0)),0)</f>
        <v>0</v>
      </c>
      <c r="G1137" s="56">
        <f>IFERROR((VLOOKUP(B1137,PENDIENTES!$L$5:$M$561,2,0)),0)</f>
        <v>0</v>
      </c>
    </row>
    <row r="1138" spans="3:7" x14ac:dyDescent="0.25">
      <c r="C1138" s="57">
        <f>IFERROR((VLOOKUP(B1138,FONT!$W$5:$X$1091,2,0)),0)</f>
        <v>0</v>
      </c>
      <c r="G1138" s="56">
        <f>IFERROR((VLOOKUP(B1138,PENDIENTES!$L$5:$M$561,2,0)),0)</f>
        <v>0</v>
      </c>
    </row>
    <row r="1139" spans="3:7" x14ac:dyDescent="0.25">
      <c r="C1139" s="57">
        <f>IFERROR((VLOOKUP(B1139,FONT!$W$5:$X$1091,2,0)),0)</f>
        <v>0</v>
      </c>
      <c r="G1139" s="56">
        <f>IFERROR((VLOOKUP(B1139,PENDIENTES!$L$5:$M$561,2,0)),0)</f>
        <v>0</v>
      </c>
    </row>
    <row r="1140" spans="3:7" x14ac:dyDescent="0.25">
      <c r="C1140" s="57">
        <f>IFERROR((VLOOKUP(B1140,FONT!$W$5:$X$1091,2,0)),0)</f>
        <v>0</v>
      </c>
      <c r="G1140" s="56">
        <f>IFERROR((VLOOKUP(B1140,PENDIENTES!$L$5:$M$561,2,0)),0)</f>
        <v>0</v>
      </c>
    </row>
    <row r="1141" spans="3:7" x14ac:dyDescent="0.25">
      <c r="C1141" s="57">
        <f>IFERROR((VLOOKUP(B1141,FONT!$W$5:$X$1091,2,0)),0)</f>
        <v>0</v>
      </c>
      <c r="G1141" s="56">
        <f>IFERROR((VLOOKUP(B1141,PENDIENTES!$L$5:$M$561,2,0)),0)</f>
        <v>0</v>
      </c>
    </row>
    <row r="1142" spans="3:7" x14ac:dyDescent="0.25">
      <c r="C1142" s="57">
        <f>IFERROR((VLOOKUP(B1142,FONT!$W$5:$X$1091,2,0)),0)</f>
        <v>0</v>
      </c>
      <c r="G1142" s="56">
        <f>IFERROR((VLOOKUP(B1142,PENDIENTES!$L$5:$M$561,2,0)),0)</f>
        <v>0</v>
      </c>
    </row>
    <row r="1143" spans="3:7" x14ac:dyDescent="0.25">
      <c r="C1143" s="57">
        <f>IFERROR((VLOOKUP(B1143,FONT!$W$5:$X$1091,2,0)),0)</f>
        <v>0</v>
      </c>
      <c r="G1143" s="56">
        <f>IFERROR((VLOOKUP(B1143,PENDIENTES!$L$5:$M$561,2,0)),0)</f>
        <v>0</v>
      </c>
    </row>
    <row r="1144" spans="3:7" x14ac:dyDescent="0.25">
      <c r="C1144" s="57">
        <f>IFERROR((VLOOKUP(B1144,FONT!$W$5:$X$1091,2,0)),0)</f>
        <v>0</v>
      </c>
      <c r="G1144" s="56">
        <f>IFERROR((VLOOKUP(B1144,PENDIENTES!$L$5:$M$561,2,0)),0)</f>
        <v>0</v>
      </c>
    </row>
    <row r="1145" spans="3:7" x14ac:dyDescent="0.25">
      <c r="C1145" s="57">
        <f>IFERROR((VLOOKUP(B1145,FONT!$W$5:$X$1091,2,0)),0)</f>
        <v>0</v>
      </c>
      <c r="G1145" s="56">
        <f>IFERROR((VLOOKUP(B1145,PENDIENTES!$L$5:$M$561,2,0)),0)</f>
        <v>0</v>
      </c>
    </row>
    <row r="1146" spans="3:7" x14ac:dyDescent="0.25">
      <c r="C1146" s="57">
        <f>IFERROR((VLOOKUP(B1146,FONT!$W$5:$X$1091,2,0)),0)</f>
        <v>0</v>
      </c>
      <c r="G1146" s="56">
        <f>IFERROR((VLOOKUP(B1146,PENDIENTES!$L$5:$M$561,2,0)),0)</f>
        <v>0</v>
      </c>
    </row>
    <row r="1147" spans="3:7" x14ac:dyDescent="0.25">
      <c r="C1147" s="57">
        <f>IFERROR((VLOOKUP(B1147,FONT!$W$5:$X$1091,2,0)),0)</f>
        <v>0</v>
      </c>
      <c r="G1147" s="56">
        <f>IFERROR((VLOOKUP(B1147,PENDIENTES!$L$5:$M$561,2,0)),0)</f>
        <v>0</v>
      </c>
    </row>
    <row r="1148" spans="3:7" x14ac:dyDescent="0.25">
      <c r="C1148" s="57">
        <f>IFERROR((VLOOKUP(B1148,FONT!$W$5:$X$1091,2,0)),0)</f>
        <v>0</v>
      </c>
      <c r="G1148" s="56">
        <f>IFERROR((VLOOKUP(B1148,PENDIENTES!$L$5:$M$561,2,0)),0)</f>
        <v>0</v>
      </c>
    </row>
    <row r="1149" spans="3:7" x14ac:dyDescent="0.25">
      <c r="C1149" s="57">
        <f>IFERROR((VLOOKUP(B1149,FONT!$W$5:$X$1091,2,0)),0)</f>
        <v>0</v>
      </c>
      <c r="G1149" s="56">
        <f>IFERROR((VLOOKUP(B1149,PENDIENTES!$L$5:$M$561,2,0)),0)</f>
        <v>0</v>
      </c>
    </row>
    <row r="1150" spans="3:7" x14ac:dyDescent="0.25">
      <c r="C1150" s="57">
        <f>IFERROR((VLOOKUP(B1150,FONT!$W$5:$X$1091,2,0)),0)</f>
        <v>0</v>
      </c>
      <c r="G1150" s="56">
        <f>IFERROR((VLOOKUP(B1150,PENDIENTES!$L$5:$M$561,2,0)),0)</f>
        <v>0</v>
      </c>
    </row>
    <row r="1151" spans="3:7" x14ac:dyDescent="0.25">
      <c r="C1151" s="57">
        <f>IFERROR((VLOOKUP(B1151,FONT!$W$5:$X$1091,2,0)),0)</f>
        <v>0</v>
      </c>
      <c r="G1151" s="56">
        <f>IFERROR((VLOOKUP(B1151,PENDIENTES!$L$5:$M$561,2,0)),0)</f>
        <v>0</v>
      </c>
    </row>
    <row r="1152" spans="3:7" x14ac:dyDescent="0.25">
      <c r="C1152" s="57">
        <f>IFERROR((VLOOKUP(B1152,FONT!$W$5:$X$1091,2,0)),0)</f>
        <v>0</v>
      </c>
      <c r="G1152" s="56">
        <f>IFERROR((VLOOKUP(B1152,PENDIENTES!$L$5:$M$561,2,0)),0)</f>
        <v>0</v>
      </c>
    </row>
    <row r="1153" spans="3:7" x14ac:dyDescent="0.25">
      <c r="C1153" s="57">
        <f>IFERROR((VLOOKUP(B1153,FONT!$W$5:$X$1091,2,0)),0)</f>
        <v>0</v>
      </c>
      <c r="G1153" s="56">
        <f>IFERROR((VLOOKUP(B1153,PENDIENTES!$L$5:$M$561,2,0)),0)</f>
        <v>0</v>
      </c>
    </row>
    <row r="1154" spans="3:7" x14ac:dyDescent="0.25">
      <c r="C1154" s="57">
        <f>IFERROR((VLOOKUP(B1154,FONT!$W$5:$X$1091,2,0)),0)</f>
        <v>0</v>
      </c>
      <c r="G1154" s="56">
        <f>IFERROR((VLOOKUP(B1154,PENDIENTES!$L$5:$M$561,2,0)),0)</f>
        <v>0</v>
      </c>
    </row>
    <row r="1155" spans="3:7" x14ac:dyDescent="0.25">
      <c r="C1155" s="57">
        <f>IFERROR((VLOOKUP(B1155,FONT!$W$5:$X$1091,2,0)),0)</f>
        <v>0</v>
      </c>
      <c r="G1155" s="56">
        <f>IFERROR((VLOOKUP(B1155,PENDIENTES!$L$5:$M$561,2,0)),0)</f>
        <v>0</v>
      </c>
    </row>
    <row r="1156" spans="3:7" x14ac:dyDescent="0.25">
      <c r="C1156" s="57">
        <f>IFERROR((VLOOKUP(B1156,FONT!$W$5:$X$1091,2,0)),0)</f>
        <v>0</v>
      </c>
      <c r="G1156" s="56">
        <f>IFERROR((VLOOKUP(B1156,PENDIENTES!$L$5:$M$561,2,0)),0)</f>
        <v>0</v>
      </c>
    </row>
    <row r="1157" spans="3:7" x14ac:dyDescent="0.25">
      <c r="C1157" s="57">
        <f>IFERROR((VLOOKUP(B1157,FONT!$W$5:$X$1091,2,0)),0)</f>
        <v>0</v>
      </c>
      <c r="G1157" s="56">
        <f>IFERROR((VLOOKUP(B1157,PENDIENTES!$L$5:$M$561,2,0)),0)</f>
        <v>0</v>
      </c>
    </row>
    <row r="1158" spans="3:7" x14ac:dyDescent="0.25">
      <c r="C1158" s="57">
        <f>IFERROR((VLOOKUP(B1158,FONT!$W$5:$X$1091,2,0)),0)</f>
        <v>0</v>
      </c>
      <c r="G1158" s="56">
        <f>IFERROR((VLOOKUP(B1158,PENDIENTES!$L$5:$M$561,2,0)),0)</f>
        <v>0</v>
      </c>
    </row>
  </sheetData>
  <conditionalFormatting sqref="B103:B105">
    <cfRule type="duplicateValues" dxfId="1" priority="10"/>
  </conditionalFormatting>
  <conditionalFormatting sqref="B128:B129">
    <cfRule type="duplicateValues" dxfId="0" priority="4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 filterMode="1"/>
  <dimension ref="A2:F51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2" spans="1:6" hidden="1" x14ac:dyDescent="0.25">
      <c r="A2">
        <v>156622</v>
      </c>
      <c r="B2">
        <v>0</v>
      </c>
      <c r="C2">
        <v>58</v>
      </c>
      <c r="D2" t="s">
        <v>39</v>
      </c>
      <c r="E2" t="s">
        <v>39</v>
      </c>
      <c r="F2">
        <v>0</v>
      </c>
    </row>
    <row r="3" spans="1:6" hidden="1" x14ac:dyDescent="0.25">
      <c r="A3">
        <v>1036691</v>
      </c>
      <c r="B3">
        <v>0</v>
      </c>
      <c r="C3" t="s">
        <v>311</v>
      </c>
      <c r="D3" t="s">
        <v>311</v>
      </c>
      <c r="E3" t="s">
        <v>311</v>
      </c>
      <c r="F3">
        <v>0</v>
      </c>
    </row>
    <row r="4" spans="1:6" hidden="1" x14ac:dyDescent="0.25">
      <c r="A4">
        <v>2000206</v>
      </c>
      <c r="B4">
        <v>0</v>
      </c>
      <c r="C4">
        <v>116</v>
      </c>
      <c r="D4" t="s">
        <v>220</v>
      </c>
      <c r="E4" t="s">
        <v>221</v>
      </c>
      <c r="F4">
        <v>0</v>
      </c>
    </row>
    <row r="5" spans="1:6" hidden="1" x14ac:dyDescent="0.25">
      <c r="A5">
        <v>2000205</v>
      </c>
      <c r="B5">
        <v>0</v>
      </c>
      <c r="C5">
        <v>117</v>
      </c>
      <c r="D5" t="s">
        <v>222</v>
      </c>
      <c r="E5" t="s">
        <v>221</v>
      </c>
      <c r="F5">
        <v>0</v>
      </c>
    </row>
    <row r="6" spans="1:6" hidden="1" x14ac:dyDescent="0.25">
      <c r="A6">
        <v>1013187</v>
      </c>
      <c r="B6">
        <v>0</v>
      </c>
      <c r="C6">
        <v>127</v>
      </c>
      <c r="D6" t="s">
        <v>43</v>
      </c>
      <c r="E6" t="s">
        <v>236</v>
      </c>
      <c r="F6">
        <v>0</v>
      </c>
    </row>
    <row r="7" spans="1:6" hidden="1" x14ac:dyDescent="0.25">
      <c r="A7">
        <v>2000863</v>
      </c>
      <c r="B7">
        <v>0</v>
      </c>
      <c r="C7">
        <v>2000863</v>
      </c>
      <c r="D7" t="s">
        <v>44</v>
      </c>
      <c r="E7" t="s">
        <v>221</v>
      </c>
      <c r="F7">
        <v>0</v>
      </c>
    </row>
    <row r="8" spans="1:6" hidden="1" x14ac:dyDescent="0.25">
      <c r="A8">
        <v>2000905</v>
      </c>
      <c r="B8">
        <v>0</v>
      </c>
      <c r="C8">
        <v>2000905</v>
      </c>
      <c r="D8" t="s">
        <v>45</v>
      </c>
      <c r="E8" t="s">
        <v>45</v>
      </c>
      <c r="F8">
        <v>0</v>
      </c>
    </row>
    <row r="9" spans="1:6" hidden="1" x14ac:dyDescent="0.25">
      <c r="A9">
        <v>2000574</v>
      </c>
      <c r="B9">
        <v>0</v>
      </c>
      <c r="C9" t="s">
        <v>172</v>
      </c>
      <c r="D9" t="s">
        <v>255</v>
      </c>
      <c r="E9" t="s">
        <v>172</v>
      </c>
      <c r="F9">
        <v>0</v>
      </c>
    </row>
    <row r="10" spans="1:6" hidden="1" x14ac:dyDescent="0.25">
      <c r="A10">
        <v>2000575</v>
      </c>
      <c r="B10">
        <v>0</v>
      </c>
      <c r="C10" t="s">
        <v>172</v>
      </c>
      <c r="D10" t="s">
        <v>255</v>
      </c>
      <c r="E10" t="s">
        <v>172</v>
      </c>
      <c r="F10">
        <v>0</v>
      </c>
    </row>
    <row r="11" spans="1:6" hidden="1" x14ac:dyDescent="0.25">
      <c r="A11">
        <v>2000576</v>
      </c>
      <c r="B11">
        <v>0</v>
      </c>
      <c r="C11" t="s">
        <v>172</v>
      </c>
      <c r="D11" t="s">
        <v>255</v>
      </c>
      <c r="E11" t="s">
        <v>172</v>
      </c>
      <c r="F11">
        <v>0</v>
      </c>
    </row>
    <row r="12" spans="1:6" hidden="1" x14ac:dyDescent="0.25">
      <c r="A12">
        <v>2000577</v>
      </c>
      <c r="B12">
        <v>0</v>
      </c>
      <c r="C12" t="s">
        <v>172</v>
      </c>
      <c r="D12" t="s">
        <v>255</v>
      </c>
      <c r="E12" t="s">
        <v>172</v>
      </c>
      <c r="F12">
        <v>0</v>
      </c>
    </row>
    <row r="13" spans="1:6" hidden="1" x14ac:dyDescent="0.25">
      <c r="A13">
        <v>65503691935</v>
      </c>
      <c r="B13">
        <v>0</v>
      </c>
      <c r="C13" t="s">
        <v>49</v>
      </c>
      <c r="D13" t="s">
        <v>49</v>
      </c>
      <c r="E13" t="s">
        <v>49</v>
      </c>
      <c r="F13">
        <v>0</v>
      </c>
    </row>
    <row r="14" spans="1:6" hidden="1" x14ac:dyDescent="0.25">
      <c r="A14">
        <v>2000534</v>
      </c>
      <c r="B14">
        <v>0</v>
      </c>
      <c r="C14" t="s">
        <v>50</v>
      </c>
      <c r="D14" t="s">
        <v>51</v>
      </c>
      <c r="E14" t="s">
        <v>51</v>
      </c>
      <c r="F14">
        <v>0</v>
      </c>
    </row>
    <row r="15" spans="1:6" hidden="1" x14ac:dyDescent="0.25">
      <c r="A15">
        <v>65507430562</v>
      </c>
      <c r="B15">
        <v>0</v>
      </c>
      <c r="C15" t="s">
        <v>242</v>
      </c>
      <c r="D15" t="s">
        <v>243</v>
      </c>
      <c r="E15" t="s">
        <v>243</v>
      </c>
      <c r="F15">
        <v>0</v>
      </c>
    </row>
    <row r="16" spans="1:6" hidden="1" x14ac:dyDescent="0.25">
      <c r="A16">
        <v>2000597</v>
      </c>
      <c r="B16">
        <v>0</v>
      </c>
      <c r="C16" t="s">
        <v>306</v>
      </c>
      <c r="F16">
        <v>0</v>
      </c>
    </row>
    <row r="17" spans="1:6" hidden="1" x14ac:dyDescent="0.25">
      <c r="A17">
        <v>2000730</v>
      </c>
      <c r="B17">
        <v>0</v>
      </c>
      <c r="C17" t="s">
        <v>54</v>
      </c>
      <c r="D17" t="s">
        <v>267</v>
      </c>
      <c r="E17" t="s">
        <v>55</v>
      </c>
      <c r="F17">
        <v>0</v>
      </c>
    </row>
    <row r="18" spans="1:6" hidden="1" x14ac:dyDescent="0.25">
      <c r="A18">
        <v>2000927</v>
      </c>
      <c r="B18">
        <v>0</v>
      </c>
      <c r="C18" t="s">
        <v>56</v>
      </c>
      <c r="D18" t="s">
        <v>262</v>
      </c>
      <c r="E18" t="s">
        <v>263</v>
      </c>
      <c r="F18">
        <v>0</v>
      </c>
    </row>
    <row r="19" spans="1:6" hidden="1" x14ac:dyDescent="0.25">
      <c r="A19">
        <v>2000928</v>
      </c>
      <c r="B19">
        <v>0</v>
      </c>
      <c r="C19" t="s">
        <v>57</v>
      </c>
      <c r="D19" t="s">
        <v>260</v>
      </c>
      <c r="E19" t="s">
        <v>261</v>
      </c>
      <c r="F19">
        <v>0</v>
      </c>
    </row>
    <row r="20" spans="1:6" hidden="1" x14ac:dyDescent="0.25">
      <c r="A20">
        <v>65507408917</v>
      </c>
      <c r="B20">
        <v>0</v>
      </c>
      <c r="C20">
        <v>37</v>
      </c>
      <c r="D20" t="s">
        <v>18</v>
      </c>
      <c r="E20" t="s">
        <v>209</v>
      </c>
      <c r="F20">
        <v>0</v>
      </c>
    </row>
    <row r="21" spans="1:6" hidden="1" x14ac:dyDescent="0.25">
      <c r="A21">
        <v>1033811</v>
      </c>
      <c r="B21">
        <v>0</v>
      </c>
      <c r="C21">
        <v>76</v>
      </c>
      <c r="D21" t="s">
        <v>64</v>
      </c>
      <c r="E21" t="s">
        <v>212</v>
      </c>
      <c r="F21">
        <v>0</v>
      </c>
    </row>
    <row r="22" spans="1:6" hidden="1" x14ac:dyDescent="0.25">
      <c r="A22">
        <v>65502425394</v>
      </c>
      <c r="B22">
        <v>0</v>
      </c>
      <c r="C22">
        <v>93</v>
      </c>
      <c r="D22" t="s">
        <v>66</v>
      </c>
      <c r="E22" t="s">
        <v>215</v>
      </c>
      <c r="F22">
        <v>0</v>
      </c>
    </row>
    <row r="23" spans="1:6" hidden="1" x14ac:dyDescent="0.25">
      <c r="A23">
        <v>1002455</v>
      </c>
      <c r="B23">
        <v>0</v>
      </c>
      <c r="C23">
        <v>94</v>
      </c>
      <c r="D23" t="s">
        <v>67</v>
      </c>
      <c r="E23" t="s">
        <v>216</v>
      </c>
      <c r="F23">
        <v>0</v>
      </c>
    </row>
    <row r="24" spans="1:6" hidden="1" x14ac:dyDescent="0.25">
      <c r="A24">
        <v>152965</v>
      </c>
      <c r="B24">
        <v>0</v>
      </c>
      <c r="C24">
        <v>105</v>
      </c>
      <c r="D24" t="s">
        <v>68</v>
      </c>
      <c r="E24" t="s">
        <v>217</v>
      </c>
      <c r="F24">
        <v>0</v>
      </c>
    </row>
    <row r="25" spans="1:6" hidden="1" x14ac:dyDescent="0.25">
      <c r="A25">
        <v>1005849</v>
      </c>
      <c r="B25">
        <v>0</v>
      </c>
      <c r="C25">
        <v>114</v>
      </c>
      <c r="D25" t="s">
        <v>218</v>
      </c>
      <c r="E25" t="s">
        <v>219</v>
      </c>
      <c r="F25">
        <v>0</v>
      </c>
    </row>
    <row r="26" spans="1:6" hidden="1" x14ac:dyDescent="0.25">
      <c r="A26">
        <v>142481</v>
      </c>
      <c r="B26">
        <v>0</v>
      </c>
      <c r="C26">
        <v>1081</v>
      </c>
      <c r="D26" t="s">
        <v>73</v>
      </c>
      <c r="E26" t="s">
        <v>216</v>
      </c>
      <c r="F26">
        <v>0</v>
      </c>
    </row>
    <row r="27" spans="1:6" hidden="1" x14ac:dyDescent="0.25">
      <c r="A27">
        <v>142482</v>
      </c>
      <c r="B27">
        <v>0</v>
      </c>
      <c r="C27">
        <v>1082</v>
      </c>
      <c r="D27" t="s">
        <v>74</v>
      </c>
      <c r="E27" t="s">
        <v>216</v>
      </c>
      <c r="F27">
        <v>0</v>
      </c>
    </row>
    <row r="28" spans="1:6" hidden="1" x14ac:dyDescent="0.25">
      <c r="A28">
        <v>65507665273</v>
      </c>
      <c r="B28">
        <v>0</v>
      </c>
      <c r="C28">
        <v>1094</v>
      </c>
      <c r="D28" t="s">
        <v>75</v>
      </c>
      <c r="E28" t="s">
        <v>209</v>
      </c>
      <c r="F28">
        <v>0</v>
      </c>
    </row>
    <row r="29" spans="1:6" hidden="1" x14ac:dyDescent="0.25">
      <c r="A29">
        <v>1018014</v>
      </c>
      <c r="B29">
        <v>0</v>
      </c>
      <c r="C29">
        <v>1018014</v>
      </c>
      <c r="D29" t="s">
        <v>79</v>
      </c>
      <c r="E29" t="s">
        <v>79</v>
      </c>
      <c r="F29">
        <v>0</v>
      </c>
    </row>
    <row r="30" spans="1:6" hidden="1" x14ac:dyDescent="0.25">
      <c r="A30">
        <v>1018122</v>
      </c>
      <c r="B30">
        <v>0</v>
      </c>
      <c r="C30">
        <v>1018122</v>
      </c>
      <c r="D30" t="s">
        <v>80</v>
      </c>
      <c r="E30" t="s">
        <v>216</v>
      </c>
      <c r="F30">
        <v>0</v>
      </c>
    </row>
    <row r="31" spans="1:6" hidden="1" x14ac:dyDescent="0.25">
      <c r="A31">
        <v>1018302</v>
      </c>
      <c r="B31">
        <v>0</v>
      </c>
      <c r="C31">
        <v>1018302</v>
      </c>
      <c r="D31" t="s">
        <v>81</v>
      </c>
      <c r="E31" t="s">
        <v>216</v>
      </c>
      <c r="F31">
        <v>0</v>
      </c>
    </row>
    <row r="32" spans="1:6" hidden="1" x14ac:dyDescent="0.25">
      <c r="A32">
        <v>65502313952</v>
      </c>
      <c r="B32">
        <v>0</v>
      </c>
      <c r="C32">
        <v>92</v>
      </c>
      <c r="D32" t="s">
        <v>213</v>
      </c>
      <c r="E32" t="s">
        <v>214</v>
      </c>
      <c r="F32">
        <v>0</v>
      </c>
    </row>
    <row r="33" spans="1:6" hidden="1" x14ac:dyDescent="0.25">
      <c r="A33">
        <v>1036724</v>
      </c>
      <c r="B33">
        <v>0</v>
      </c>
      <c r="C33" t="s">
        <v>313</v>
      </c>
      <c r="D33" t="s">
        <v>315</v>
      </c>
      <c r="E33" t="s">
        <v>315</v>
      </c>
      <c r="F33">
        <v>0</v>
      </c>
    </row>
    <row r="34" spans="1:6" hidden="1" x14ac:dyDescent="0.25">
      <c r="A34">
        <v>65508989338</v>
      </c>
      <c r="B34">
        <v>0</v>
      </c>
      <c r="C34" t="s">
        <v>318</v>
      </c>
      <c r="D34" t="s">
        <v>316</v>
      </c>
      <c r="E34" t="s">
        <v>316</v>
      </c>
      <c r="F34">
        <v>0</v>
      </c>
    </row>
    <row r="35" spans="1:6" hidden="1" x14ac:dyDescent="0.25">
      <c r="A35">
        <v>65507143699</v>
      </c>
      <c r="B35">
        <v>0</v>
      </c>
      <c r="C35" t="s">
        <v>327</v>
      </c>
      <c r="D35" t="s">
        <v>327</v>
      </c>
      <c r="E35" t="s">
        <v>327</v>
      </c>
      <c r="F35">
        <v>0</v>
      </c>
    </row>
    <row r="36" spans="1:6" hidden="1" x14ac:dyDescent="0.25">
      <c r="A36">
        <v>65507143745</v>
      </c>
      <c r="B36">
        <v>0</v>
      </c>
      <c r="C36" t="s">
        <v>328</v>
      </c>
      <c r="D36" t="s">
        <v>328</v>
      </c>
      <c r="E36" t="s">
        <v>328</v>
      </c>
      <c r="F36">
        <v>0</v>
      </c>
    </row>
    <row r="37" spans="1:6" hidden="1" x14ac:dyDescent="0.25">
      <c r="A37">
        <v>65507142173</v>
      </c>
      <c r="B37">
        <v>0</v>
      </c>
      <c r="C37" t="s">
        <v>329</v>
      </c>
      <c r="D37" t="s">
        <v>329</v>
      </c>
      <c r="E37" t="s">
        <v>329</v>
      </c>
      <c r="F37">
        <v>0</v>
      </c>
    </row>
    <row r="38" spans="1:6" hidden="1" x14ac:dyDescent="0.25">
      <c r="A38">
        <v>65507052215</v>
      </c>
      <c r="B38">
        <v>0</v>
      </c>
      <c r="C38" t="s">
        <v>330</v>
      </c>
      <c r="D38" t="s">
        <v>331</v>
      </c>
      <c r="E38" t="s">
        <v>331</v>
      </c>
      <c r="F38">
        <v>0</v>
      </c>
    </row>
    <row r="39" spans="1:6" hidden="1" x14ac:dyDescent="0.25">
      <c r="A39">
        <v>65507052277</v>
      </c>
      <c r="B39">
        <v>0</v>
      </c>
      <c r="C39" t="s">
        <v>332</v>
      </c>
      <c r="D39" t="s">
        <v>331</v>
      </c>
      <c r="E39" t="s">
        <v>331</v>
      </c>
      <c r="F39">
        <v>0</v>
      </c>
    </row>
    <row r="40" spans="1:6" hidden="1" x14ac:dyDescent="0.25">
      <c r="A40">
        <v>65507052294</v>
      </c>
      <c r="B40">
        <v>0</v>
      </c>
      <c r="C40" t="s">
        <v>333</v>
      </c>
      <c r="D40" t="s">
        <v>331</v>
      </c>
      <c r="E40" t="s">
        <v>331</v>
      </c>
      <c r="F40">
        <v>0</v>
      </c>
    </row>
    <row r="41" spans="1:6" hidden="1" x14ac:dyDescent="0.25">
      <c r="A41">
        <v>1037923</v>
      </c>
      <c r="B41">
        <v>0</v>
      </c>
      <c r="C41" t="s">
        <v>320</v>
      </c>
      <c r="D41" t="s">
        <v>320</v>
      </c>
      <c r="E41" t="s">
        <v>320</v>
      </c>
      <c r="F41">
        <v>0</v>
      </c>
    </row>
    <row r="42" spans="1:6" hidden="1" x14ac:dyDescent="0.25">
      <c r="A42">
        <v>1037924</v>
      </c>
      <c r="B42">
        <v>0</v>
      </c>
      <c r="C42" t="s">
        <v>322</v>
      </c>
      <c r="D42" t="s">
        <v>322</v>
      </c>
      <c r="E42" t="s">
        <v>322</v>
      </c>
      <c r="F42">
        <v>0</v>
      </c>
    </row>
    <row r="43" spans="1:6" hidden="1" x14ac:dyDescent="0.25">
      <c r="A43">
        <v>1037925</v>
      </c>
      <c r="B43">
        <v>0</v>
      </c>
      <c r="C43" t="s">
        <v>321</v>
      </c>
      <c r="D43" t="s">
        <v>321</v>
      </c>
      <c r="E43" t="s">
        <v>321</v>
      </c>
      <c r="F43">
        <v>0</v>
      </c>
    </row>
    <row r="44" spans="1:6" hidden="1" x14ac:dyDescent="0.25">
      <c r="A44">
        <v>65509560409</v>
      </c>
      <c r="B44">
        <v>0</v>
      </c>
      <c r="C44" t="s">
        <v>353</v>
      </c>
      <c r="D44" t="s">
        <v>349</v>
      </c>
      <c r="E44" t="s">
        <v>349</v>
      </c>
      <c r="F44">
        <v>0</v>
      </c>
    </row>
    <row r="45" spans="1:6" hidden="1" x14ac:dyDescent="0.25">
      <c r="A45">
        <v>65509560426</v>
      </c>
      <c r="B45">
        <v>0</v>
      </c>
      <c r="C45" t="s">
        <v>354</v>
      </c>
      <c r="D45" t="s">
        <v>350</v>
      </c>
      <c r="E45" t="s">
        <v>350</v>
      </c>
      <c r="F45">
        <v>0</v>
      </c>
    </row>
    <row r="46" spans="1:6" hidden="1" x14ac:dyDescent="0.25">
      <c r="A46">
        <v>65509560457</v>
      </c>
      <c r="B46">
        <v>0</v>
      </c>
      <c r="C46" t="s">
        <v>355</v>
      </c>
      <c r="D46" t="s">
        <v>351</v>
      </c>
      <c r="E46" t="s">
        <v>351</v>
      </c>
      <c r="F46">
        <v>0</v>
      </c>
    </row>
    <row r="47" spans="1:6" hidden="1" x14ac:dyDescent="0.25">
      <c r="A47">
        <v>65509560443</v>
      </c>
      <c r="B47">
        <v>0</v>
      </c>
      <c r="C47" t="s">
        <v>356</v>
      </c>
      <c r="D47" t="s">
        <v>352</v>
      </c>
      <c r="E47" t="s">
        <v>352</v>
      </c>
      <c r="F47">
        <v>0</v>
      </c>
    </row>
    <row r="48" spans="1:6" hidden="1" x14ac:dyDescent="0.25">
      <c r="A48">
        <v>1036723</v>
      </c>
      <c r="B48">
        <v>0</v>
      </c>
      <c r="C48" t="s">
        <v>312</v>
      </c>
      <c r="D48" t="s">
        <v>314</v>
      </c>
      <c r="E48" t="s">
        <v>314</v>
      </c>
      <c r="F48">
        <v>0</v>
      </c>
    </row>
    <row r="49" spans="1:6" hidden="1" x14ac:dyDescent="0.25">
      <c r="A49">
        <v>154702</v>
      </c>
      <c r="B49">
        <v>0</v>
      </c>
      <c r="C49">
        <v>60</v>
      </c>
      <c r="D49" t="s">
        <v>40</v>
      </c>
      <c r="E49" t="s">
        <v>210</v>
      </c>
      <c r="F49">
        <v>1</v>
      </c>
    </row>
    <row r="50" spans="1:6" hidden="1" x14ac:dyDescent="0.25">
      <c r="A50">
        <v>80820</v>
      </c>
      <c r="B50">
        <v>0</v>
      </c>
      <c r="C50">
        <v>63</v>
      </c>
      <c r="D50" t="s">
        <v>211</v>
      </c>
      <c r="E50" t="s">
        <v>210</v>
      </c>
      <c r="F50">
        <v>1</v>
      </c>
    </row>
    <row r="51" spans="1:6" hidden="1" x14ac:dyDescent="0.25">
      <c r="A51">
        <v>1037124</v>
      </c>
      <c r="B51">
        <v>0</v>
      </c>
      <c r="C51">
        <v>75</v>
      </c>
      <c r="D51" t="s">
        <v>63</v>
      </c>
      <c r="E51" t="s">
        <v>212</v>
      </c>
      <c r="F51">
        <v>1</v>
      </c>
    </row>
  </sheetData>
  <autoFilter ref="A1:F51" xr:uid="{00000000-0001-0000-08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 filterMode="1"/>
  <dimension ref="A2:F5"/>
  <sheetViews>
    <sheetView workbookViewId="0">
      <selection sqref="A1:F998"/>
    </sheetView>
  </sheetViews>
  <sheetFormatPr baseColWidth="10" defaultRowHeight="15" x14ac:dyDescent="0.25"/>
  <sheetData>
    <row r="2" spans="1:6" hidden="1" x14ac:dyDescent="0.25">
      <c r="A2">
        <v>147492</v>
      </c>
      <c r="B2">
        <v>0</v>
      </c>
      <c r="C2" t="s">
        <v>297</v>
      </c>
      <c r="D2" t="s">
        <v>302</v>
      </c>
      <c r="E2" t="s">
        <v>299</v>
      </c>
      <c r="F2">
        <v>0</v>
      </c>
    </row>
    <row r="3" spans="1:6" hidden="1" x14ac:dyDescent="0.25">
      <c r="A3">
        <v>147491</v>
      </c>
      <c r="B3">
        <v>0</v>
      </c>
      <c r="C3" t="s">
        <v>297</v>
      </c>
      <c r="D3" t="s">
        <v>302</v>
      </c>
      <c r="E3" t="s">
        <v>299</v>
      </c>
      <c r="F3">
        <v>0</v>
      </c>
    </row>
    <row r="4" spans="1:6" hidden="1" x14ac:dyDescent="0.25">
      <c r="A4">
        <v>159246</v>
      </c>
      <c r="B4">
        <v>0</v>
      </c>
      <c r="C4" t="s">
        <v>297</v>
      </c>
      <c r="D4" t="s">
        <v>302</v>
      </c>
      <c r="E4" t="s">
        <v>299</v>
      </c>
      <c r="F4">
        <v>0</v>
      </c>
    </row>
    <row r="5" spans="1:6" hidden="1" x14ac:dyDescent="0.25">
      <c r="A5">
        <v>1010401</v>
      </c>
      <c r="B5">
        <v>0</v>
      </c>
      <c r="C5" t="s">
        <v>297</v>
      </c>
      <c r="D5" t="s">
        <v>302</v>
      </c>
      <c r="E5" t="s">
        <v>299</v>
      </c>
      <c r="F5">
        <v>0</v>
      </c>
    </row>
  </sheetData>
  <autoFilter ref="A1:F5" xr:uid="{00000000-0001-0000-09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 filterMode="1"/>
  <dimension ref="A2:F43"/>
  <sheetViews>
    <sheetView workbookViewId="0">
      <selection sqref="A1:F998"/>
    </sheetView>
  </sheetViews>
  <sheetFormatPr baseColWidth="10" defaultRowHeight="15" x14ac:dyDescent="0.25"/>
  <sheetData>
    <row r="2" spans="1:6" hidden="1" x14ac:dyDescent="0.25">
      <c r="A2">
        <v>2000467</v>
      </c>
      <c r="B2">
        <v>0</v>
      </c>
      <c r="C2" t="s">
        <v>92</v>
      </c>
      <c r="D2" t="s">
        <v>269</v>
      </c>
      <c r="E2" t="s">
        <v>265</v>
      </c>
      <c r="F2">
        <v>0</v>
      </c>
    </row>
    <row r="3" spans="1:6" hidden="1" x14ac:dyDescent="0.25">
      <c r="A3">
        <v>1018867</v>
      </c>
      <c r="B3">
        <v>0</v>
      </c>
      <c r="C3" t="s">
        <v>93</v>
      </c>
      <c r="D3" t="s">
        <v>249</v>
      </c>
      <c r="E3" t="s">
        <v>250</v>
      </c>
      <c r="F3">
        <v>0</v>
      </c>
    </row>
    <row r="4" spans="1:6" hidden="1" x14ac:dyDescent="0.25">
      <c r="A4">
        <v>65501372909</v>
      </c>
      <c r="B4">
        <v>0</v>
      </c>
      <c r="C4" t="s">
        <v>94</v>
      </c>
      <c r="D4" t="s">
        <v>95</v>
      </c>
      <c r="E4" t="s">
        <v>254</v>
      </c>
      <c r="F4">
        <v>0</v>
      </c>
    </row>
    <row r="5" spans="1:6" hidden="1" x14ac:dyDescent="0.25">
      <c r="A5">
        <v>65505285253</v>
      </c>
      <c r="B5">
        <v>0</v>
      </c>
      <c r="C5" t="s">
        <v>99</v>
      </c>
      <c r="D5" t="s">
        <v>99</v>
      </c>
      <c r="E5" t="s">
        <v>247</v>
      </c>
      <c r="F5">
        <v>0</v>
      </c>
    </row>
    <row r="6" spans="1:6" hidden="1" x14ac:dyDescent="0.25">
      <c r="A6">
        <v>1031340</v>
      </c>
      <c r="B6">
        <v>0</v>
      </c>
      <c r="C6" t="s">
        <v>100</v>
      </c>
      <c r="D6" t="s">
        <v>101</v>
      </c>
      <c r="E6" t="s">
        <v>101</v>
      </c>
      <c r="F6">
        <v>0</v>
      </c>
    </row>
    <row r="7" spans="1:6" hidden="1" x14ac:dyDescent="0.25">
      <c r="A7">
        <v>2000926</v>
      </c>
      <c r="B7">
        <v>0</v>
      </c>
      <c r="C7" t="s">
        <v>256</v>
      </c>
      <c r="D7" t="s">
        <v>257</v>
      </c>
      <c r="E7" t="s">
        <v>258</v>
      </c>
      <c r="F7">
        <v>0</v>
      </c>
    </row>
    <row r="8" spans="1:6" hidden="1" x14ac:dyDescent="0.25">
      <c r="A8">
        <v>1031341</v>
      </c>
      <c r="B8">
        <v>0</v>
      </c>
      <c r="C8" t="s">
        <v>175</v>
      </c>
      <c r="D8" t="s">
        <v>148</v>
      </c>
      <c r="E8" t="s">
        <v>148</v>
      </c>
      <c r="F8">
        <v>0</v>
      </c>
    </row>
    <row r="9" spans="1:6" hidden="1" x14ac:dyDescent="0.25">
      <c r="A9">
        <v>65501902345</v>
      </c>
      <c r="B9">
        <v>0</v>
      </c>
      <c r="C9" t="s">
        <v>304</v>
      </c>
      <c r="D9" t="s">
        <v>310</v>
      </c>
      <c r="E9" t="s">
        <v>310</v>
      </c>
      <c r="F9">
        <v>0</v>
      </c>
    </row>
    <row r="10" spans="1:6" hidden="1" x14ac:dyDescent="0.25">
      <c r="A10">
        <v>1037087</v>
      </c>
      <c r="B10">
        <v>0</v>
      </c>
      <c r="C10" t="s">
        <v>305</v>
      </c>
      <c r="D10" t="s">
        <v>308</v>
      </c>
      <c r="E10" t="s">
        <v>308</v>
      </c>
      <c r="F10">
        <v>0</v>
      </c>
    </row>
    <row r="11" spans="1:6" hidden="1" x14ac:dyDescent="0.25">
      <c r="A11">
        <v>65502397418</v>
      </c>
      <c r="B11">
        <v>0</v>
      </c>
      <c r="C11" t="s">
        <v>344</v>
      </c>
      <c r="D11" t="s">
        <v>346</v>
      </c>
      <c r="E11" t="s">
        <v>346</v>
      </c>
      <c r="F11">
        <v>0</v>
      </c>
    </row>
    <row r="12" spans="1:6" hidden="1" x14ac:dyDescent="0.25">
      <c r="A12">
        <v>65501285111</v>
      </c>
      <c r="B12">
        <v>0</v>
      </c>
      <c r="C12" t="s">
        <v>345</v>
      </c>
      <c r="D12" t="s">
        <v>347</v>
      </c>
      <c r="E12" t="s">
        <v>347</v>
      </c>
      <c r="F12">
        <v>0</v>
      </c>
    </row>
    <row r="13" spans="1:6" hidden="1" x14ac:dyDescent="0.25">
      <c r="A13">
        <v>2000466</v>
      </c>
      <c r="B13">
        <v>0</v>
      </c>
      <c r="C13" t="s">
        <v>91</v>
      </c>
      <c r="D13" t="s">
        <v>268</v>
      </c>
      <c r="E13" t="s">
        <v>268</v>
      </c>
      <c r="F13">
        <v>0</v>
      </c>
    </row>
    <row r="14" spans="1:6" hidden="1" x14ac:dyDescent="0.25">
      <c r="A14">
        <v>1033795</v>
      </c>
      <c r="B14">
        <v>0</v>
      </c>
      <c r="C14">
        <v>1033795</v>
      </c>
      <c r="D14" t="s">
        <v>357</v>
      </c>
      <c r="E14" t="s">
        <v>357</v>
      </c>
      <c r="F14">
        <v>0</v>
      </c>
    </row>
    <row r="15" spans="1:6" hidden="1" x14ac:dyDescent="0.25">
      <c r="A15">
        <v>65508881201</v>
      </c>
      <c r="B15">
        <v>0</v>
      </c>
      <c r="C15" t="s">
        <v>391</v>
      </c>
      <c r="D15" t="s">
        <v>390</v>
      </c>
      <c r="E15" t="s">
        <v>390</v>
      </c>
      <c r="F15">
        <v>0</v>
      </c>
    </row>
    <row r="16" spans="1:6" hidden="1" x14ac:dyDescent="0.25">
      <c r="A16">
        <v>65508886089</v>
      </c>
      <c r="B16">
        <v>0</v>
      </c>
      <c r="C16" t="s">
        <v>359</v>
      </c>
      <c r="D16" t="s">
        <v>358</v>
      </c>
      <c r="E16" t="s">
        <v>358</v>
      </c>
      <c r="F16">
        <v>0</v>
      </c>
    </row>
    <row r="17" spans="1:6" hidden="1" x14ac:dyDescent="0.25">
      <c r="A17">
        <v>1000003294</v>
      </c>
      <c r="B17">
        <v>0</v>
      </c>
      <c r="C17">
        <v>1528</v>
      </c>
      <c r="D17" t="s">
        <v>376</v>
      </c>
      <c r="E17" t="s">
        <v>376</v>
      </c>
      <c r="F17">
        <v>0</v>
      </c>
    </row>
    <row r="18" spans="1:6" hidden="1" x14ac:dyDescent="0.25">
      <c r="A18">
        <v>1000003296</v>
      </c>
      <c r="B18">
        <v>0</v>
      </c>
      <c r="C18" t="s">
        <v>366</v>
      </c>
      <c r="D18" t="s">
        <v>378</v>
      </c>
      <c r="E18" t="s">
        <v>378</v>
      </c>
      <c r="F18">
        <v>0</v>
      </c>
    </row>
    <row r="19" spans="1:6" hidden="1" x14ac:dyDescent="0.25">
      <c r="A19">
        <v>1000003300</v>
      </c>
      <c r="B19">
        <v>0</v>
      </c>
      <c r="C19" t="s">
        <v>369</v>
      </c>
      <c r="D19" t="s">
        <v>382</v>
      </c>
      <c r="E19" t="s">
        <v>382</v>
      </c>
      <c r="F19">
        <v>0</v>
      </c>
    </row>
    <row r="20" spans="1:6" hidden="1" x14ac:dyDescent="0.25">
      <c r="A20">
        <v>1000003301</v>
      </c>
      <c r="B20">
        <v>0</v>
      </c>
      <c r="C20" t="s">
        <v>370</v>
      </c>
      <c r="D20" t="s">
        <v>383</v>
      </c>
      <c r="E20" t="s">
        <v>383</v>
      </c>
      <c r="F20">
        <v>0</v>
      </c>
    </row>
    <row r="21" spans="1:6" hidden="1" x14ac:dyDescent="0.25">
      <c r="A21">
        <v>1000003305</v>
      </c>
      <c r="B21">
        <v>0</v>
      </c>
      <c r="C21" t="s">
        <v>372</v>
      </c>
      <c r="D21" t="s">
        <v>385</v>
      </c>
      <c r="E21" t="s">
        <v>385</v>
      </c>
      <c r="F21">
        <v>0</v>
      </c>
    </row>
    <row r="22" spans="1:6" hidden="1" x14ac:dyDescent="0.25">
      <c r="A22">
        <v>1000003307</v>
      </c>
      <c r="B22">
        <v>0</v>
      </c>
      <c r="C22" t="s">
        <v>386</v>
      </c>
      <c r="D22" t="s">
        <v>387</v>
      </c>
      <c r="E22" t="s">
        <v>387</v>
      </c>
      <c r="F22">
        <v>0</v>
      </c>
    </row>
    <row r="23" spans="1:6" hidden="1" x14ac:dyDescent="0.25">
      <c r="A23">
        <v>1000003968</v>
      </c>
      <c r="B23">
        <v>0</v>
      </c>
      <c r="C23" t="s">
        <v>388</v>
      </c>
      <c r="D23" t="s">
        <v>389</v>
      </c>
      <c r="E23" t="s">
        <v>389</v>
      </c>
      <c r="F23">
        <v>0</v>
      </c>
    </row>
    <row r="24" spans="1:6" hidden="1" x14ac:dyDescent="0.25">
      <c r="A24">
        <v>1000003306</v>
      </c>
      <c r="B24">
        <v>0</v>
      </c>
      <c r="C24" t="s">
        <v>392</v>
      </c>
      <c r="D24" t="s">
        <v>393</v>
      </c>
      <c r="E24" t="s">
        <v>393</v>
      </c>
      <c r="F24">
        <v>0</v>
      </c>
    </row>
    <row r="25" spans="1:6" hidden="1" x14ac:dyDescent="0.25">
      <c r="A25">
        <v>2000469</v>
      </c>
      <c r="B25">
        <v>0</v>
      </c>
      <c r="C25" t="s">
        <v>90</v>
      </c>
      <c r="D25" t="s">
        <v>266</v>
      </c>
      <c r="E25" t="s">
        <v>265</v>
      </c>
      <c r="F25">
        <v>1</v>
      </c>
    </row>
    <row r="26" spans="1:6" hidden="1" x14ac:dyDescent="0.25">
      <c r="A26">
        <v>2001050</v>
      </c>
      <c r="B26">
        <v>0</v>
      </c>
      <c r="C26" t="s">
        <v>177</v>
      </c>
      <c r="D26" t="s">
        <v>270</v>
      </c>
      <c r="E26" t="s">
        <v>271</v>
      </c>
      <c r="F26">
        <v>1</v>
      </c>
    </row>
    <row r="27" spans="1:6" hidden="1" x14ac:dyDescent="0.25">
      <c r="A27">
        <v>1037090</v>
      </c>
      <c r="B27">
        <v>0</v>
      </c>
      <c r="C27" t="s">
        <v>303</v>
      </c>
      <c r="D27" t="s">
        <v>309</v>
      </c>
      <c r="E27" t="s">
        <v>309</v>
      </c>
      <c r="F27">
        <v>1</v>
      </c>
    </row>
    <row r="28" spans="1:6" hidden="1" x14ac:dyDescent="0.25">
      <c r="A28">
        <v>1037118</v>
      </c>
      <c r="B28">
        <v>0</v>
      </c>
      <c r="C28" t="s">
        <v>334</v>
      </c>
      <c r="D28" t="s">
        <v>335</v>
      </c>
      <c r="E28" t="s">
        <v>335</v>
      </c>
      <c r="F28">
        <v>1</v>
      </c>
    </row>
    <row r="29" spans="1:6" hidden="1" x14ac:dyDescent="0.25">
      <c r="A29">
        <v>1037086</v>
      </c>
      <c r="B29">
        <v>0</v>
      </c>
      <c r="C29" t="s">
        <v>336</v>
      </c>
      <c r="D29" t="s">
        <v>337</v>
      </c>
      <c r="E29" t="s">
        <v>337</v>
      </c>
      <c r="F29">
        <v>1</v>
      </c>
    </row>
    <row r="30" spans="1:6" hidden="1" x14ac:dyDescent="0.25">
      <c r="A30">
        <v>1037113</v>
      </c>
      <c r="B30">
        <v>0</v>
      </c>
      <c r="C30" t="s">
        <v>338</v>
      </c>
      <c r="D30" t="s">
        <v>339</v>
      </c>
      <c r="E30" t="s">
        <v>339</v>
      </c>
      <c r="F30">
        <v>1</v>
      </c>
    </row>
    <row r="31" spans="1:6" hidden="1" x14ac:dyDescent="0.25">
      <c r="A31">
        <v>1037117</v>
      </c>
      <c r="B31">
        <v>0</v>
      </c>
      <c r="C31" t="s">
        <v>340</v>
      </c>
      <c r="D31" t="s">
        <v>341</v>
      </c>
      <c r="E31" t="s">
        <v>341</v>
      </c>
      <c r="F31">
        <v>1</v>
      </c>
    </row>
    <row r="32" spans="1:6" hidden="1" x14ac:dyDescent="0.25">
      <c r="A32">
        <v>1037085</v>
      </c>
      <c r="B32">
        <v>0</v>
      </c>
      <c r="C32" t="s">
        <v>342</v>
      </c>
      <c r="D32" t="s">
        <v>343</v>
      </c>
      <c r="E32" t="s">
        <v>343</v>
      </c>
      <c r="F32">
        <v>1</v>
      </c>
    </row>
    <row r="33" spans="1:6" hidden="1" x14ac:dyDescent="0.25">
      <c r="A33">
        <v>2000469</v>
      </c>
      <c r="B33">
        <v>0</v>
      </c>
      <c r="C33" t="s">
        <v>90</v>
      </c>
      <c r="D33" t="s">
        <v>266</v>
      </c>
      <c r="E33" t="s">
        <v>266</v>
      </c>
      <c r="F33">
        <v>1</v>
      </c>
    </row>
    <row r="34" spans="1:6" hidden="1" x14ac:dyDescent="0.25">
      <c r="A34">
        <v>1000002861</v>
      </c>
      <c r="B34">
        <v>0</v>
      </c>
      <c r="C34" t="s">
        <v>360</v>
      </c>
      <c r="D34" t="s">
        <v>361</v>
      </c>
      <c r="E34" t="s">
        <v>361</v>
      </c>
      <c r="F34">
        <v>1</v>
      </c>
    </row>
    <row r="35" spans="1:6" hidden="1" x14ac:dyDescent="0.25">
      <c r="A35">
        <v>1000003291</v>
      </c>
      <c r="B35">
        <v>0</v>
      </c>
      <c r="C35" t="s">
        <v>362</v>
      </c>
      <c r="D35" t="s">
        <v>373</v>
      </c>
      <c r="E35" t="s">
        <v>373</v>
      </c>
      <c r="F35">
        <v>1</v>
      </c>
    </row>
    <row r="36" spans="1:6" hidden="1" x14ac:dyDescent="0.25">
      <c r="A36">
        <v>1000003292</v>
      </c>
      <c r="B36">
        <v>0</v>
      </c>
      <c r="C36" t="s">
        <v>363</v>
      </c>
      <c r="D36" t="s">
        <v>374</v>
      </c>
      <c r="E36" t="s">
        <v>374</v>
      </c>
      <c r="F36">
        <v>1</v>
      </c>
    </row>
    <row r="37" spans="1:6" hidden="1" x14ac:dyDescent="0.25">
      <c r="A37">
        <v>1000003293</v>
      </c>
      <c r="B37">
        <v>0</v>
      </c>
      <c r="C37" t="s">
        <v>364</v>
      </c>
      <c r="D37" t="s">
        <v>375</v>
      </c>
      <c r="E37" t="s">
        <v>375</v>
      </c>
      <c r="F37">
        <v>1</v>
      </c>
    </row>
    <row r="38" spans="1:6" hidden="1" x14ac:dyDescent="0.25">
      <c r="A38">
        <v>1000003295</v>
      </c>
      <c r="B38">
        <v>0</v>
      </c>
      <c r="C38" t="s">
        <v>365</v>
      </c>
      <c r="D38" t="s">
        <v>377</v>
      </c>
      <c r="E38" t="s">
        <v>377</v>
      </c>
      <c r="F38">
        <v>1</v>
      </c>
    </row>
    <row r="39" spans="1:6" hidden="1" x14ac:dyDescent="0.25">
      <c r="A39">
        <v>1000003297</v>
      </c>
      <c r="B39">
        <v>0</v>
      </c>
      <c r="C39" t="s">
        <v>367</v>
      </c>
      <c r="D39" t="s">
        <v>379</v>
      </c>
      <c r="E39" t="s">
        <v>379</v>
      </c>
      <c r="F39">
        <v>1</v>
      </c>
    </row>
    <row r="40" spans="1:6" hidden="1" x14ac:dyDescent="0.25">
      <c r="A40">
        <v>1000003298</v>
      </c>
      <c r="B40">
        <v>0</v>
      </c>
      <c r="C40" t="s">
        <v>368</v>
      </c>
      <c r="D40" t="s">
        <v>380</v>
      </c>
      <c r="E40" t="s">
        <v>380</v>
      </c>
      <c r="F40">
        <v>1</v>
      </c>
    </row>
    <row r="41" spans="1:6" hidden="1" x14ac:dyDescent="0.25">
      <c r="A41">
        <v>1000003299</v>
      </c>
      <c r="B41">
        <v>0</v>
      </c>
      <c r="C41">
        <v>6981</v>
      </c>
      <c r="D41" t="s">
        <v>381</v>
      </c>
      <c r="E41" t="s">
        <v>381</v>
      </c>
      <c r="F41">
        <v>1</v>
      </c>
    </row>
    <row r="42" spans="1:6" hidden="1" x14ac:dyDescent="0.25">
      <c r="A42">
        <v>1000003302</v>
      </c>
      <c r="B42">
        <v>0</v>
      </c>
      <c r="C42" t="s">
        <v>371</v>
      </c>
      <c r="D42" t="s">
        <v>384</v>
      </c>
      <c r="E42" t="s">
        <v>384</v>
      </c>
      <c r="F42">
        <v>1</v>
      </c>
    </row>
    <row r="43" spans="1:6" hidden="1" x14ac:dyDescent="0.25">
      <c r="A43">
        <v>2001049</v>
      </c>
      <c r="B43">
        <v>0</v>
      </c>
      <c r="C43" t="s">
        <v>176</v>
      </c>
      <c r="D43" t="s">
        <v>272</v>
      </c>
      <c r="E43" t="s">
        <v>271</v>
      </c>
      <c r="F43">
        <v>6</v>
      </c>
    </row>
  </sheetData>
  <autoFilter ref="A1:F43" xr:uid="{00000000-0001-0000-0A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0C0E-7E33-4DCD-B5BB-EB818EADA77B}">
  <sheetPr codeName="Hoja9"/>
  <dimension ref="A1:V53"/>
  <sheetViews>
    <sheetView workbookViewId="0">
      <selection activeCell="A3" sqref="A3"/>
    </sheetView>
  </sheetViews>
  <sheetFormatPr baseColWidth="10" defaultRowHeight="15" x14ac:dyDescent="0.25"/>
  <sheetData>
    <row r="1" spans="1:22" x14ac:dyDescent="0.25">
      <c r="A1" s="88" t="s">
        <v>88</v>
      </c>
      <c r="G1" s="88" t="s">
        <v>87</v>
      </c>
      <c r="M1" s="88" t="s">
        <v>105</v>
      </c>
    </row>
    <row r="2" spans="1:22" x14ac:dyDescent="0.25">
      <c r="A2" s="88" t="s">
        <v>23</v>
      </c>
      <c r="B2" s="88" t="s">
        <v>106</v>
      </c>
      <c r="C2" s="88" t="s">
        <v>107</v>
      </c>
      <c r="D2" s="88" t="s">
        <v>108</v>
      </c>
      <c r="E2" s="88" t="s">
        <v>109</v>
      </c>
      <c r="F2" s="88" t="s">
        <v>145</v>
      </c>
      <c r="G2" s="88" t="s">
        <v>23</v>
      </c>
      <c r="H2" s="88" t="s">
        <v>106</v>
      </c>
      <c r="I2" s="88" t="s">
        <v>107</v>
      </c>
      <c r="J2" s="88" t="s">
        <v>108</v>
      </c>
      <c r="K2" s="88" t="s">
        <v>109</v>
      </c>
      <c r="L2" s="88" t="s">
        <v>145</v>
      </c>
      <c r="M2" s="88" t="s">
        <v>23</v>
      </c>
      <c r="N2" s="88" t="s">
        <v>106</v>
      </c>
      <c r="O2" s="88" t="s">
        <v>107</v>
      </c>
      <c r="P2" s="88" t="s">
        <v>108</v>
      </c>
      <c r="Q2" s="88" t="s">
        <v>109</v>
      </c>
      <c r="R2" s="88" t="s">
        <v>145</v>
      </c>
    </row>
    <row r="4" spans="1:22" x14ac:dyDescent="0.25">
      <c r="A4">
        <v>156622</v>
      </c>
      <c r="B4">
        <v>0</v>
      </c>
      <c r="C4">
        <v>58</v>
      </c>
      <c r="D4" t="s">
        <v>39</v>
      </c>
      <c r="E4" t="s">
        <v>39</v>
      </c>
      <c r="F4">
        <v>0</v>
      </c>
      <c r="I4">
        <v>147492</v>
      </c>
      <c r="J4">
        <v>0</v>
      </c>
      <c r="K4" t="s">
        <v>297</v>
      </c>
      <c r="L4" t="s">
        <v>302</v>
      </c>
      <c r="M4" t="s">
        <v>299</v>
      </c>
      <c r="N4">
        <v>0</v>
      </c>
      <c r="Q4">
        <v>2000467</v>
      </c>
      <c r="R4">
        <v>0</v>
      </c>
      <c r="S4" t="s">
        <v>92</v>
      </c>
      <c r="T4" t="s">
        <v>269</v>
      </c>
      <c r="U4" t="s">
        <v>265</v>
      </c>
      <c r="V4">
        <v>0</v>
      </c>
    </row>
    <row r="5" spans="1:22" x14ac:dyDescent="0.25">
      <c r="A5">
        <v>1036691</v>
      </c>
      <c r="B5">
        <v>0</v>
      </c>
      <c r="C5" t="s">
        <v>311</v>
      </c>
      <c r="D5" t="s">
        <v>311</v>
      </c>
      <c r="E5" t="s">
        <v>311</v>
      </c>
      <c r="F5">
        <v>0</v>
      </c>
      <c r="I5">
        <v>147491</v>
      </c>
      <c r="J5">
        <v>0</v>
      </c>
      <c r="K5" t="s">
        <v>297</v>
      </c>
      <c r="L5" t="s">
        <v>302</v>
      </c>
      <c r="M5" t="s">
        <v>299</v>
      </c>
      <c r="N5">
        <v>0</v>
      </c>
      <c r="Q5">
        <v>1018867</v>
      </c>
      <c r="R5">
        <v>0</v>
      </c>
      <c r="S5" t="s">
        <v>93</v>
      </c>
      <c r="T5" t="s">
        <v>249</v>
      </c>
      <c r="U5" t="s">
        <v>250</v>
      </c>
      <c r="V5">
        <v>0</v>
      </c>
    </row>
    <row r="6" spans="1:22" x14ac:dyDescent="0.25">
      <c r="A6">
        <v>2000206</v>
      </c>
      <c r="B6">
        <v>0</v>
      </c>
      <c r="C6">
        <v>116</v>
      </c>
      <c r="D6" t="s">
        <v>220</v>
      </c>
      <c r="E6" t="s">
        <v>221</v>
      </c>
      <c r="F6">
        <v>0</v>
      </c>
      <c r="I6">
        <v>159246</v>
      </c>
      <c r="J6">
        <v>0</v>
      </c>
      <c r="K6" t="s">
        <v>297</v>
      </c>
      <c r="L6" t="s">
        <v>302</v>
      </c>
      <c r="M6" t="s">
        <v>299</v>
      </c>
      <c r="N6">
        <v>0</v>
      </c>
      <c r="Q6">
        <v>65501372909</v>
      </c>
      <c r="R6">
        <v>0</v>
      </c>
      <c r="S6" t="s">
        <v>94</v>
      </c>
      <c r="T6" t="s">
        <v>95</v>
      </c>
      <c r="U6" t="s">
        <v>254</v>
      </c>
      <c r="V6">
        <v>0</v>
      </c>
    </row>
    <row r="7" spans="1:22" x14ac:dyDescent="0.25">
      <c r="A7">
        <v>2000205</v>
      </c>
      <c r="B7">
        <v>0</v>
      </c>
      <c r="C7">
        <v>117</v>
      </c>
      <c r="D7" t="s">
        <v>222</v>
      </c>
      <c r="E7" t="s">
        <v>221</v>
      </c>
      <c r="F7">
        <v>0</v>
      </c>
      <c r="I7">
        <v>1010401</v>
      </c>
      <c r="J7">
        <v>0</v>
      </c>
      <c r="K7" t="s">
        <v>297</v>
      </c>
      <c r="L7" t="s">
        <v>302</v>
      </c>
      <c r="M7" t="s">
        <v>299</v>
      </c>
      <c r="N7">
        <v>0</v>
      </c>
      <c r="Q7">
        <v>65505285253</v>
      </c>
      <c r="R7">
        <v>0</v>
      </c>
      <c r="S7" t="s">
        <v>99</v>
      </c>
      <c r="T7" t="s">
        <v>99</v>
      </c>
      <c r="U7" t="s">
        <v>247</v>
      </c>
      <c r="V7">
        <v>0</v>
      </c>
    </row>
    <row r="8" spans="1:22" x14ac:dyDescent="0.25">
      <c r="A8">
        <v>1013187</v>
      </c>
      <c r="B8">
        <v>0</v>
      </c>
      <c r="C8">
        <v>127</v>
      </c>
      <c r="D8" t="s">
        <v>43</v>
      </c>
      <c r="E8" t="s">
        <v>236</v>
      </c>
      <c r="F8">
        <v>0</v>
      </c>
      <c r="Q8">
        <v>1031340</v>
      </c>
      <c r="R8">
        <v>0</v>
      </c>
      <c r="S8" t="s">
        <v>100</v>
      </c>
      <c r="T8" t="s">
        <v>101</v>
      </c>
      <c r="U8" t="s">
        <v>101</v>
      </c>
      <c r="V8">
        <v>0</v>
      </c>
    </row>
    <row r="9" spans="1:22" x14ac:dyDescent="0.25">
      <c r="A9">
        <v>2000863</v>
      </c>
      <c r="B9">
        <v>0</v>
      </c>
      <c r="C9">
        <v>2000863</v>
      </c>
      <c r="D9" t="s">
        <v>44</v>
      </c>
      <c r="E9" t="s">
        <v>221</v>
      </c>
      <c r="F9">
        <v>0</v>
      </c>
      <c r="Q9">
        <v>2000926</v>
      </c>
      <c r="R9">
        <v>0</v>
      </c>
      <c r="S9" t="s">
        <v>256</v>
      </c>
      <c r="T9" t="s">
        <v>257</v>
      </c>
      <c r="U9" t="s">
        <v>258</v>
      </c>
      <c r="V9">
        <v>0</v>
      </c>
    </row>
    <row r="10" spans="1:22" x14ac:dyDescent="0.25">
      <c r="A10">
        <v>2000905</v>
      </c>
      <c r="B10">
        <v>0</v>
      </c>
      <c r="C10">
        <v>2000905</v>
      </c>
      <c r="D10" t="s">
        <v>45</v>
      </c>
      <c r="E10" t="s">
        <v>45</v>
      </c>
      <c r="F10">
        <v>0</v>
      </c>
      <c r="Q10">
        <v>1031341</v>
      </c>
      <c r="R10">
        <v>0</v>
      </c>
      <c r="S10" t="s">
        <v>175</v>
      </c>
      <c r="T10" t="s">
        <v>148</v>
      </c>
      <c r="U10" t="s">
        <v>148</v>
      </c>
      <c r="V10">
        <v>0</v>
      </c>
    </row>
    <row r="11" spans="1:22" x14ac:dyDescent="0.25">
      <c r="A11">
        <v>2000574</v>
      </c>
      <c r="B11">
        <v>0</v>
      </c>
      <c r="C11" t="s">
        <v>172</v>
      </c>
      <c r="D11" t="s">
        <v>255</v>
      </c>
      <c r="E11" t="s">
        <v>172</v>
      </c>
      <c r="F11">
        <v>0</v>
      </c>
      <c r="Q11">
        <v>65501902345</v>
      </c>
      <c r="R11">
        <v>0</v>
      </c>
      <c r="S11" t="s">
        <v>304</v>
      </c>
      <c r="T11" t="s">
        <v>310</v>
      </c>
      <c r="U11" t="s">
        <v>310</v>
      </c>
      <c r="V11">
        <v>0</v>
      </c>
    </row>
    <row r="12" spans="1:22" x14ac:dyDescent="0.25">
      <c r="A12">
        <v>2000575</v>
      </c>
      <c r="B12">
        <v>0</v>
      </c>
      <c r="C12" t="s">
        <v>172</v>
      </c>
      <c r="D12" t="s">
        <v>255</v>
      </c>
      <c r="E12" t="s">
        <v>172</v>
      </c>
      <c r="F12">
        <v>0</v>
      </c>
      <c r="Q12">
        <v>1037087</v>
      </c>
      <c r="R12">
        <v>0</v>
      </c>
      <c r="S12" t="s">
        <v>305</v>
      </c>
      <c r="T12" t="s">
        <v>308</v>
      </c>
      <c r="U12" t="s">
        <v>308</v>
      </c>
      <c r="V12">
        <v>0</v>
      </c>
    </row>
    <row r="13" spans="1:22" x14ac:dyDescent="0.25">
      <c r="A13">
        <v>2000576</v>
      </c>
      <c r="B13">
        <v>0</v>
      </c>
      <c r="C13" t="s">
        <v>172</v>
      </c>
      <c r="D13" t="s">
        <v>255</v>
      </c>
      <c r="E13" t="s">
        <v>172</v>
      </c>
      <c r="F13">
        <v>0</v>
      </c>
      <c r="Q13">
        <v>65502397418</v>
      </c>
      <c r="R13">
        <v>0</v>
      </c>
      <c r="S13" t="s">
        <v>344</v>
      </c>
      <c r="T13" t="s">
        <v>346</v>
      </c>
      <c r="U13" t="s">
        <v>346</v>
      </c>
      <c r="V13">
        <v>0</v>
      </c>
    </row>
    <row r="14" spans="1:22" x14ac:dyDescent="0.25">
      <c r="A14">
        <v>2000577</v>
      </c>
      <c r="B14">
        <v>0</v>
      </c>
      <c r="C14" t="s">
        <v>172</v>
      </c>
      <c r="D14" t="s">
        <v>255</v>
      </c>
      <c r="E14" t="s">
        <v>172</v>
      </c>
      <c r="F14">
        <v>0</v>
      </c>
      <c r="Q14">
        <v>65501285111</v>
      </c>
      <c r="R14">
        <v>0</v>
      </c>
      <c r="S14" t="s">
        <v>345</v>
      </c>
      <c r="T14" t="s">
        <v>347</v>
      </c>
      <c r="U14" t="s">
        <v>347</v>
      </c>
      <c r="V14">
        <v>0</v>
      </c>
    </row>
    <row r="15" spans="1:22" x14ac:dyDescent="0.25">
      <c r="A15">
        <v>65503691935</v>
      </c>
      <c r="B15">
        <v>0</v>
      </c>
      <c r="C15" t="s">
        <v>49</v>
      </c>
      <c r="D15" t="s">
        <v>49</v>
      </c>
      <c r="E15" t="s">
        <v>49</v>
      </c>
      <c r="F15">
        <v>0</v>
      </c>
      <c r="Q15">
        <v>2000466</v>
      </c>
      <c r="R15">
        <v>0</v>
      </c>
      <c r="S15" t="s">
        <v>91</v>
      </c>
      <c r="T15" t="s">
        <v>268</v>
      </c>
      <c r="U15" t="s">
        <v>268</v>
      </c>
      <c r="V15">
        <v>0</v>
      </c>
    </row>
    <row r="16" spans="1:22" x14ac:dyDescent="0.25">
      <c r="A16">
        <v>2000534</v>
      </c>
      <c r="B16">
        <v>0</v>
      </c>
      <c r="C16" t="s">
        <v>50</v>
      </c>
      <c r="D16" t="s">
        <v>51</v>
      </c>
      <c r="E16" t="s">
        <v>51</v>
      </c>
      <c r="F16">
        <v>0</v>
      </c>
      <c r="Q16">
        <v>1033795</v>
      </c>
      <c r="R16">
        <v>0</v>
      </c>
      <c r="S16">
        <v>1033795</v>
      </c>
      <c r="T16" t="s">
        <v>357</v>
      </c>
      <c r="U16" t="s">
        <v>357</v>
      </c>
      <c r="V16">
        <v>0</v>
      </c>
    </row>
    <row r="17" spans="1:22" x14ac:dyDescent="0.25">
      <c r="A17">
        <v>65507430562</v>
      </c>
      <c r="B17">
        <v>0</v>
      </c>
      <c r="C17" t="s">
        <v>242</v>
      </c>
      <c r="D17" t="s">
        <v>243</v>
      </c>
      <c r="E17" t="s">
        <v>243</v>
      </c>
      <c r="F17">
        <v>0</v>
      </c>
      <c r="Q17">
        <v>65508881201</v>
      </c>
      <c r="R17">
        <v>0</v>
      </c>
      <c r="S17" t="s">
        <v>391</v>
      </c>
      <c r="T17" t="s">
        <v>390</v>
      </c>
      <c r="U17" t="s">
        <v>390</v>
      </c>
      <c r="V17">
        <v>0</v>
      </c>
    </row>
    <row r="18" spans="1:22" x14ac:dyDescent="0.25">
      <c r="A18">
        <v>2000597</v>
      </c>
      <c r="B18">
        <v>0</v>
      </c>
      <c r="C18" t="s">
        <v>306</v>
      </c>
      <c r="F18">
        <v>0</v>
      </c>
      <c r="Q18">
        <v>65508886089</v>
      </c>
      <c r="R18">
        <v>0</v>
      </c>
      <c r="S18" t="s">
        <v>359</v>
      </c>
      <c r="T18" t="s">
        <v>358</v>
      </c>
      <c r="U18" t="s">
        <v>358</v>
      </c>
      <c r="V18">
        <v>0</v>
      </c>
    </row>
    <row r="19" spans="1:22" x14ac:dyDescent="0.25">
      <c r="A19">
        <v>2000730</v>
      </c>
      <c r="B19">
        <v>0</v>
      </c>
      <c r="C19" t="s">
        <v>54</v>
      </c>
      <c r="D19" t="s">
        <v>267</v>
      </c>
      <c r="E19" t="s">
        <v>55</v>
      </c>
      <c r="F19">
        <v>0</v>
      </c>
      <c r="Q19">
        <v>1000003294</v>
      </c>
      <c r="R19">
        <v>0</v>
      </c>
      <c r="S19">
        <v>1528</v>
      </c>
      <c r="T19" t="s">
        <v>376</v>
      </c>
      <c r="U19" t="s">
        <v>376</v>
      </c>
      <c r="V19">
        <v>0</v>
      </c>
    </row>
    <row r="20" spans="1:22" x14ac:dyDescent="0.25">
      <c r="A20">
        <v>2000927</v>
      </c>
      <c r="B20">
        <v>0</v>
      </c>
      <c r="C20" t="s">
        <v>56</v>
      </c>
      <c r="D20" t="s">
        <v>262</v>
      </c>
      <c r="E20" t="s">
        <v>263</v>
      </c>
      <c r="F20">
        <v>0</v>
      </c>
      <c r="Q20">
        <v>1000003296</v>
      </c>
      <c r="R20">
        <v>0</v>
      </c>
      <c r="S20" t="s">
        <v>366</v>
      </c>
      <c r="T20" t="s">
        <v>378</v>
      </c>
      <c r="U20" t="s">
        <v>378</v>
      </c>
      <c r="V20">
        <v>0</v>
      </c>
    </row>
    <row r="21" spans="1:22" x14ac:dyDescent="0.25">
      <c r="A21">
        <v>2000928</v>
      </c>
      <c r="B21">
        <v>0</v>
      </c>
      <c r="C21" t="s">
        <v>57</v>
      </c>
      <c r="D21" t="s">
        <v>260</v>
      </c>
      <c r="E21" t="s">
        <v>261</v>
      </c>
      <c r="F21">
        <v>0</v>
      </c>
      <c r="Q21">
        <v>1000003300</v>
      </c>
      <c r="R21">
        <v>0</v>
      </c>
      <c r="S21" t="s">
        <v>369</v>
      </c>
      <c r="T21" t="s">
        <v>382</v>
      </c>
      <c r="U21" t="s">
        <v>382</v>
      </c>
      <c r="V21">
        <v>0</v>
      </c>
    </row>
    <row r="22" spans="1:22" x14ac:dyDescent="0.25">
      <c r="A22">
        <v>65507408917</v>
      </c>
      <c r="B22">
        <v>0</v>
      </c>
      <c r="C22">
        <v>37</v>
      </c>
      <c r="D22" t="s">
        <v>18</v>
      </c>
      <c r="E22" t="s">
        <v>209</v>
      </c>
      <c r="F22">
        <v>0</v>
      </c>
      <c r="Q22">
        <v>1000003301</v>
      </c>
      <c r="R22">
        <v>0</v>
      </c>
      <c r="S22" t="s">
        <v>370</v>
      </c>
      <c r="T22" t="s">
        <v>383</v>
      </c>
      <c r="U22" t="s">
        <v>383</v>
      </c>
      <c r="V22">
        <v>0</v>
      </c>
    </row>
    <row r="23" spans="1:22" x14ac:dyDescent="0.25">
      <c r="A23">
        <v>1033811</v>
      </c>
      <c r="B23">
        <v>0</v>
      </c>
      <c r="C23">
        <v>76</v>
      </c>
      <c r="D23" t="s">
        <v>64</v>
      </c>
      <c r="E23" t="s">
        <v>212</v>
      </c>
      <c r="F23">
        <v>0</v>
      </c>
      <c r="Q23">
        <v>1000003305</v>
      </c>
      <c r="R23">
        <v>0</v>
      </c>
      <c r="S23" t="s">
        <v>372</v>
      </c>
      <c r="T23" t="s">
        <v>385</v>
      </c>
      <c r="U23" t="s">
        <v>385</v>
      </c>
      <c r="V23">
        <v>0</v>
      </c>
    </row>
    <row r="24" spans="1:22" x14ac:dyDescent="0.25">
      <c r="A24">
        <v>65502425394</v>
      </c>
      <c r="B24">
        <v>0</v>
      </c>
      <c r="C24">
        <v>93</v>
      </c>
      <c r="D24" t="s">
        <v>66</v>
      </c>
      <c r="E24" t="s">
        <v>215</v>
      </c>
      <c r="F24">
        <v>0</v>
      </c>
      <c r="Q24">
        <v>1000003307</v>
      </c>
      <c r="R24">
        <v>0</v>
      </c>
      <c r="S24" t="s">
        <v>386</v>
      </c>
      <c r="T24" t="s">
        <v>387</v>
      </c>
      <c r="U24" t="s">
        <v>387</v>
      </c>
      <c r="V24">
        <v>0</v>
      </c>
    </row>
    <row r="25" spans="1:22" x14ac:dyDescent="0.25">
      <c r="A25">
        <v>1002455</v>
      </c>
      <c r="B25">
        <v>0</v>
      </c>
      <c r="C25">
        <v>94</v>
      </c>
      <c r="D25" t="s">
        <v>67</v>
      </c>
      <c r="E25" t="s">
        <v>216</v>
      </c>
      <c r="F25">
        <v>0</v>
      </c>
      <c r="Q25">
        <v>1000003968</v>
      </c>
      <c r="R25">
        <v>0</v>
      </c>
      <c r="S25" t="s">
        <v>388</v>
      </c>
      <c r="T25" t="s">
        <v>389</v>
      </c>
      <c r="U25" t="s">
        <v>389</v>
      </c>
      <c r="V25">
        <v>0</v>
      </c>
    </row>
    <row r="26" spans="1:22" x14ac:dyDescent="0.25">
      <c r="A26">
        <v>152965</v>
      </c>
      <c r="B26">
        <v>0</v>
      </c>
      <c r="C26">
        <v>105</v>
      </c>
      <c r="D26" t="s">
        <v>68</v>
      </c>
      <c r="E26" t="s">
        <v>217</v>
      </c>
      <c r="F26">
        <v>0</v>
      </c>
      <c r="Q26">
        <v>1000003306</v>
      </c>
      <c r="R26">
        <v>0</v>
      </c>
      <c r="S26" t="s">
        <v>392</v>
      </c>
      <c r="T26" t="s">
        <v>393</v>
      </c>
      <c r="U26" t="s">
        <v>393</v>
      </c>
      <c r="V26">
        <v>0</v>
      </c>
    </row>
    <row r="27" spans="1:22" x14ac:dyDescent="0.25">
      <c r="A27">
        <v>1005849</v>
      </c>
      <c r="B27">
        <v>0</v>
      </c>
      <c r="C27">
        <v>114</v>
      </c>
      <c r="D27" t="s">
        <v>218</v>
      </c>
      <c r="E27" t="s">
        <v>219</v>
      </c>
      <c r="F27">
        <v>0</v>
      </c>
      <c r="Q27">
        <v>2000469</v>
      </c>
      <c r="R27">
        <v>0</v>
      </c>
      <c r="S27" t="s">
        <v>90</v>
      </c>
      <c r="T27" t="s">
        <v>266</v>
      </c>
      <c r="U27" t="s">
        <v>265</v>
      </c>
      <c r="V27">
        <v>1</v>
      </c>
    </row>
    <row r="28" spans="1:22" x14ac:dyDescent="0.25">
      <c r="A28">
        <v>142481</v>
      </c>
      <c r="B28">
        <v>0</v>
      </c>
      <c r="C28">
        <v>1081</v>
      </c>
      <c r="D28" t="s">
        <v>73</v>
      </c>
      <c r="E28" t="s">
        <v>216</v>
      </c>
      <c r="F28">
        <v>0</v>
      </c>
      <c r="Q28">
        <v>2001050</v>
      </c>
      <c r="R28">
        <v>0</v>
      </c>
      <c r="S28" t="s">
        <v>177</v>
      </c>
      <c r="T28" t="s">
        <v>270</v>
      </c>
      <c r="U28" t="s">
        <v>271</v>
      </c>
      <c r="V28">
        <v>1</v>
      </c>
    </row>
    <row r="29" spans="1:22" x14ac:dyDescent="0.25">
      <c r="A29">
        <v>142482</v>
      </c>
      <c r="B29">
        <v>0</v>
      </c>
      <c r="C29">
        <v>1082</v>
      </c>
      <c r="D29" t="s">
        <v>74</v>
      </c>
      <c r="E29" t="s">
        <v>216</v>
      </c>
      <c r="F29">
        <v>0</v>
      </c>
      <c r="Q29">
        <v>1037090</v>
      </c>
      <c r="R29">
        <v>0</v>
      </c>
      <c r="S29" t="s">
        <v>303</v>
      </c>
      <c r="T29" t="s">
        <v>309</v>
      </c>
      <c r="U29" t="s">
        <v>309</v>
      </c>
      <c r="V29">
        <v>1</v>
      </c>
    </row>
    <row r="30" spans="1:22" x14ac:dyDescent="0.25">
      <c r="A30">
        <v>65507665273</v>
      </c>
      <c r="B30">
        <v>0</v>
      </c>
      <c r="C30">
        <v>1094</v>
      </c>
      <c r="D30" t="s">
        <v>75</v>
      </c>
      <c r="E30" t="s">
        <v>209</v>
      </c>
      <c r="F30">
        <v>0</v>
      </c>
      <c r="Q30">
        <v>1037118</v>
      </c>
      <c r="R30">
        <v>0</v>
      </c>
      <c r="S30" t="s">
        <v>334</v>
      </c>
      <c r="T30" t="s">
        <v>335</v>
      </c>
      <c r="U30" t="s">
        <v>335</v>
      </c>
      <c r="V30">
        <v>1</v>
      </c>
    </row>
    <row r="31" spans="1:22" x14ac:dyDescent="0.25">
      <c r="A31">
        <v>1018014</v>
      </c>
      <c r="B31">
        <v>0</v>
      </c>
      <c r="C31">
        <v>1018014</v>
      </c>
      <c r="D31" t="s">
        <v>79</v>
      </c>
      <c r="E31" t="s">
        <v>79</v>
      </c>
      <c r="F31">
        <v>0</v>
      </c>
      <c r="Q31">
        <v>1037086</v>
      </c>
      <c r="R31">
        <v>0</v>
      </c>
      <c r="S31" t="s">
        <v>336</v>
      </c>
      <c r="T31" t="s">
        <v>337</v>
      </c>
      <c r="U31" t="s">
        <v>337</v>
      </c>
      <c r="V31">
        <v>1</v>
      </c>
    </row>
    <row r="32" spans="1:22" x14ac:dyDescent="0.25">
      <c r="A32">
        <v>1018122</v>
      </c>
      <c r="B32">
        <v>0</v>
      </c>
      <c r="C32">
        <v>1018122</v>
      </c>
      <c r="D32" t="s">
        <v>80</v>
      </c>
      <c r="E32" t="s">
        <v>216</v>
      </c>
      <c r="F32">
        <v>0</v>
      </c>
      <c r="Q32">
        <v>1037113</v>
      </c>
      <c r="R32">
        <v>0</v>
      </c>
      <c r="S32" t="s">
        <v>338</v>
      </c>
      <c r="T32" t="s">
        <v>339</v>
      </c>
      <c r="U32" t="s">
        <v>339</v>
      </c>
      <c r="V32">
        <v>1</v>
      </c>
    </row>
    <row r="33" spans="1:22" x14ac:dyDescent="0.25">
      <c r="A33">
        <v>1018302</v>
      </c>
      <c r="B33">
        <v>0</v>
      </c>
      <c r="C33">
        <v>1018302</v>
      </c>
      <c r="D33" t="s">
        <v>81</v>
      </c>
      <c r="E33" t="s">
        <v>216</v>
      </c>
      <c r="F33">
        <v>0</v>
      </c>
      <c r="Q33">
        <v>1037117</v>
      </c>
      <c r="R33">
        <v>0</v>
      </c>
      <c r="S33" t="s">
        <v>340</v>
      </c>
      <c r="T33" t="s">
        <v>341</v>
      </c>
      <c r="U33" t="s">
        <v>341</v>
      </c>
      <c r="V33">
        <v>1</v>
      </c>
    </row>
    <row r="34" spans="1:22" x14ac:dyDescent="0.25">
      <c r="A34">
        <v>65502313952</v>
      </c>
      <c r="B34">
        <v>0</v>
      </c>
      <c r="C34">
        <v>92</v>
      </c>
      <c r="D34" t="s">
        <v>213</v>
      </c>
      <c r="E34" t="s">
        <v>214</v>
      </c>
      <c r="F34">
        <v>0</v>
      </c>
      <c r="Q34">
        <v>1037085</v>
      </c>
      <c r="R34">
        <v>0</v>
      </c>
      <c r="S34" t="s">
        <v>342</v>
      </c>
      <c r="T34" t="s">
        <v>343</v>
      </c>
      <c r="U34" t="s">
        <v>343</v>
      </c>
      <c r="V34">
        <v>1</v>
      </c>
    </row>
    <row r="35" spans="1:22" x14ac:dyDescent="0.25">
      <c r="A35">
        <v>1036724</v>
      </c>
      <c r="B35">
        <v>0</v>
      </c>
      <c r="C35" t="s">
        <v>313</v>
      </c>
      <c r="D35" t="s">
        <v>315</v>
      </c>
      <c r="E35" t="s">
        <v>315</v>
      </c>
      <c r="F35">
        <v>0</v>
      </c>
      <c r="Q35">
        <v>2000469</v>
      </c>
      <c r="R35">
        <v>0</v>
      </c>
      <c r="S35" t="s">
        <v>90</v>
      </c>
      <c r="T35" t="s">
        <v>266</v>
      </c>
      <c r="U35" t="s">
        <v>266</v>
      </c>
      <c r="V35">
        <v>1</v>
      </c>
    </row>
    <row r="36" spans="1:22" x14ac:dyDescent="0.25">
      <c r="A36">
        <v>65508989338</v>
      </c>
      <c r="B36">
        <v>0</v>
      </c>
      <c r="C36" t="s">
        <v>318</v>
      </c>
      <c r="D36" t="s">
        <v>316</v>
      </c>
      <c r="E36" t="s">
        <v>316</v>
      </c>
      <c r="F36">
        <v>0</v>
      </c>
      <c r="Q36">
        <v>1000002861</v>
      </c>
      <c r="R36">
        <v>0</v>
      </c>
      <c r="S36" t="s">
        <v>360</v>
      </c>
      <c r="T36" t="s">
        <v>361</v>
      </c>
      <c r="U36" t="s">
        <v>361</v>
      </c>
      <c r="V36">
        <v>1</v>
      </c>
    </row>
    <row r="37" spans="1:22" x14ac:dyDescent="0.25">
      <c r="A37">
        <v>65507143699</v>
      </c>
      <c r="B37">
        <v>0</v>
      </c>
      <c r="C37" t="s">
        <v>327</v>
      </c>
      <c r="D37" t="s">
        <v>327</v>
      </c>
      <c r="E37" t="s">
        <v>327</v>
      </c>
      <c r="F37">
        <v>0</v>
      </c>
      <c r="Q37">
        <v>1000003291</v>
      </c>
      <c r="R37">
        <v>0</v>
      </c>
      <c r="S37" t="s">
        <v>362</v>
      </c>
      <c r="T37" t="s">
        <v>373</v>
      </c>
      <c r="U37" t="s">
        <v>373</v>
      </c>
      <c r="V37">
        <v>1</v>
      </c>
    </row>
    <row r="38" spans="1:22" x14ac:dyDescent="0.25">
      <c r="A38">
        <v>65507143745</v>
      </c>
      <c r="B38">
        <v>0</v>
      </c>
      <c r="C38" t="s">
        <v>328</v>
      </c>
      <c r="D38" t="s">
        <v>328</v>
      </c>
      <c r="E38" t="s">
        <v>328</v>
      </c>
      <c r="F38">
        <v>0</v>
      </c>
      <c r="Q38">
        <v>1000003292</v>
      </c>
      <c r="R38">
        <v>0</v>
      </c>
      <c r="S38" t="s">
        <v>363</v>
      </c>
      <c r="T38" t="s">
        <v>374</v>
      </c>
      <c r="U38" t="s">
        <v>374</v>
      </c>
      <c r="V38">
        <v>1</v>
      </c>
    </row>
    <row r="39" spans="1:22" x14ac:dyDescent="0.25">
      <c r="A39">
        <v>65507142173</v>
      </c>
      <c r="B39">
        <v>0</v>
      </c>
      <c r="C39" t="s">
        <v>329</v>
      </c>
      <c r="D39" t="s">
        <v>329</v>
      </c>
      <c r="E39" t="s">
        <v>329</v>
      </c>
      <c r="F39">
        <v>0</v>
      </c>
      <c r="Q39">
        <v>1000003293</v>
      </c>
      <c r="R39">
        <v>0</v>
      </c>
      <c r="S39" t="s">
        <v>364</v>
      </c>
      <c r="T39" t="s">
        <v>375</v>
      </c>
      <c r="U39" t="s">
        <v>375</v>
      </c>
      <c r="V39">
        <v>1</v>
      </c>
    </row>
    <row r="40" spans="1:22" x14ac:dyDescent="0.25">
      <c r="A40">
        <v>65507052215</v>
      </c>
      <c r="B40">
        <v>0</v>
      </c>
      <c r="C40" t="s">
        <v>330</v>
      </c>
      <c r="D40" t="s">
        <v>331</v>
      </c>
      <c r="E40" t="s">
        <v>331</v>
      </c>
      <c r="F40">
        <v>0</v>
      </c>
      <c r="Q40">
        <v>1000003295</v>
      </c>
      <c r="R40">
        <v>0</v>
      </c>
      <c r="S40" t="s">
        <v>365</v>
      </c>
      <c r="T40" t="s">
        <v>377</v>
      </c>
      <c r="U40" t="s">
        <v>377</v>
      </c>
      <c r="V40">
        <v>1</v>
      </c>
    </row>
    <row r="41" spans="1:22" x14ac:dyDescent="0.25">
      <c r="A41">
        <v>65507052277</v>
      </c>
      <c r="B41">
        <v>0</v>
      </c>
      <c r="C41" t="s">
        <v>332</v>
      </c>
      <c r="D41" t="s">
        <v>331</v>
      </c>
      <c r="E41" t="s">
        <v>331</v>
      </c>
      <c r="F41">
        <v>0</v>
      </c>
      <c r="Q41">
        <v>1000003297</v>
      </c>
      <c r="R41">
        <v>0</v>
      </c>
      <c r="S41" t="s">
        <v>367</v>
      </c>
      <c r="T41" t="s">
        <v>379</v>
      </c>
      <c r="U41" t="s">
        <v>379</v>
      </c>
      <c r="V41">
        <v>1</v>
      </c>
    </row>
    <row r="42" spans="1:22" x14ac:dyDescent="0.25">
      <c r="A42">
        <v>65507052294</v>
      </c>
      <c r="B42">
        <v>0</v>
      </c>
      <c r="C42" t="s">
        <v>333</v>
      </c>
      <c r="D42" t="s">
        <v>331</v>
      </c>
      <c r="E42" t="s">
        <v>331</v>
      </c>
      <c r="F42">
        <v>0</v>
      </c>
      <c r="Q42">
        <v>1000003298</v>
      </c>
      <c r="R42">
        <v>0</v>
      </c>
      <c r="S42" t="s">
        <v>368</v>
      </c>
      <c r="T42" t="s">
        <v>380</v>
      </c>
      <c r="U42" t="s">
        <v>380</v>
      </c>
      <c r="V42">
        <v>1</v>
      </c>
    </row>
    <row r="43" spans="1:22" x14ac:dyDescent="0.25">
      <c r="A43">
        <v>1037923</v>
      </c>
      <c r="B43">
        <v>0</v>
      </c>
      <c r="C43" t="s">
        <v>320</v>
      </c>
      <c r="D43" t="s">
        <v>320</v>
      </c>
      <c r="E43" t="s">
        <v>320</v>
      </c>
      <c r="F43">
        <v>0</v>
      </c>
      <c r="Q43">
        <v>1000003299</v>
      </c>
      <c r="R43">
        <v>0</v>
      </c>
      <c r="S43">
        <v>6981</v>
      </c>
      <c r="T43" t="s">
        <v>381</v>
      </c>
      <c r="U43" t="s">
        <v>381</v>
      </c>
      <c r="V43">
        <v>1</v>
      </c>
    </row>
    <row r="44" spans="1:22" x14ac:dyDescent="0.25">
      <c r="A44">
        <v>1037924</v>
      </c>
      <c r="B44">
        <v>0</v>
      </c>
      <c r="C44" t="s">
        <v>322</v>
      </c>
      <c r="D44" t="s">
        <v>322</v>
      </c>
      <c r="E44" t="s">
        <v>322</v>
      </c>
      <c r="F44">
        <v>0</v>
      </c>
      <c r="Q44">
        <v>1000003302</v>
      </c>
      <c r="R44">
        <v>0</v>
      </c>
      <c r="S44" t="s">
        <v>371</v>
      </c>
      <c r="T44" t="s">
        <v>384</v>
      </c>
      <c r="U44" t="s">
        <v>384</v>
      </c>
      <c r="V44">
        <v>1</v>
      </c>
    </row>
    <row r="45" spans="1:22" x14ac:dyDescent="0.25">
      <c r="A45">
        <v>1037925</v>
      </c>
      <c r="B45">
        <v>0</v>
      </c>
      <c r="C45" t="s">
        <v>321</v>
      </c>
      <c r="D45" t="s">
        <v>321</v>
      </c>
      <c r="E45" t="s">
        <v>321</v>
      </c>
      <c r="F45">
        <v>0</v>
      </c>
      <c r="Q45">
        <v>2001049</v>
      </c>
      <c r="R45">
        <v>0</v>
      </c>
      <c r="S45" t="s">
        <v>176</v>
      </c>
      <c r="T45" t="s">
        <v>272</v>
      </c>
      <c r="U45" t="s">
        <v>271</v>
      </c>
      <c r="V45">
        <v>6</v>
      </c>
    </row>
    <row r="46" spans="1:22" x14ac:dyDescent="0.25">
      <c r="A46">
        <v>65509560409</v>
      </c>
      <c r="B46">
        <v>0</v>
      </c>
      <c r="C46" t="s">
        <v>353</v>
      </c>
      <c r="D46" t="s">
        <v>349</v>
      </c>
      <c r="E46" t="s">
        <v>349</v>
      </c>
      <c r="F46">
        <v>0</v>
      </c>
    </row>
    <row r="47" spans="1:22" x14ac:dyDescent="0.25">
      <c r="A47">
        <v>65509560426</v>
      </c>
      <c r="B47">
        <v>0</v>
      </c>
      <c r="C47" t="s">
        <v>354</v>
      </c>
      <c r="D47" t="s">
        <v>350</v>
      </c>
      <c r="E47" t="s">
        <v>350</v>
      </c>
      <c r="F47">
        <v>0</v>
      </c>
    </row>
    <row r="48" spans="1:22" x14ac:dyDescent="0.25">
      <c r="A48">
        <v>65509560457</v>
      </c>
      <c r="B48">
        <v>0</v>
      </c>
      <c r="C48" t="s">
        <v>355</v>
      </c>
      <c r="D48" t="s">
        <v>351</v>
      </c>
      <c r="E48" t="s">
        <v>351</v>
      </c>
      <c r="F48">
        <v>0</v>
      </c>
    </row>
    <row r="49" spans="1:6" x14ac:dyDescent="0.25">
      <c r="A49">
        <v>65509560443</v>
      </c>
      <c r="B49">
        <v>0</v>
      </c>
      <c r="C49" t="s">
        <v>356</v>
      </c>
      <c r="D49" t="s">
        <v>352</v>
      </c>
      <c r="E49" t="s">
        <v>352</v>
      </c>
      <c r="F49">
        <v>0</v>
      </c>
    </row>
    <row r="50" spans="1:6" x14ac:dyDescent="0.25">
      <c r="A50">
        <v>1036723</v>
      </c>
      <c r="B50">
        <v>0</v>
      </c>
      <c r="C50" t="s">
        <v>312</v>
      </c>
      <c r="D50" t="s">
        <v>314</v>
      </c>
      <c r="E50" t="s">
        <v>314</v>
      </c>
      <c r="F50">
        <v>0</v>
      </c>
    </row>
    <row r="51" spans="1:6" x14ac:dyDescent="0.25">
      <c r="A51">
        <v>154702</v>
      </c>
      <c r="B51">
        <v>0</v>
      </c>
      <c r="C51">
        <v>60</v>
      </c>
      <c r="D51" t="s">
        <v>40</v>
      </c>
      <c r="E51" t="s">
        <v>210</v>
      </c>
      <c r="F51">
        <v>1</v>
      </c>
    </row>
    <row r="52" spans="1:6" x14ac:dyDescent="0.25">
      <c r="A52">
        <v>80820</v>
      </c>
      <c r="B52">
        <v>0</v>
      </c>
      <c r="C52">
        <v>63</v>
      </c>
      <c r="D52" t="s">
        <v>211</v>
      </c>
      <c r="E52" t="s">
        <v>210</v>
      </c>
      <c r="F52">
        <v>1</v>
      </c>
    </row>
    <row r="53" spans="1:6" x14ac:dyDescent="0.25">
      <c r="A53">
        <v>1037124</v>
      </c>
      <c r="B53">
        <v>0</v>
      </c>
      <c r="C53">
        <v>75</v>
      </c>
      <c r="D53" t="s">
        <v>63</v>
      </c>
      <c r="E53" t="s">
        <v>212</v>
      </c>
      <c r="F53">
        <v>1</v>
      </c>
    </row>
  </sheetData>
  <sortState xmlns:xlrd2="http://schemas.microsoft.com/office/spreadsheetml/2017/richdata2" ref="Q4:V54">
    <sortCondition ref="V4:V6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CatalogoContratos</vt:lpstr>
      <vt:lpstr>ListaContratos</vt:lpstr>
      <vt:lpstr>Contratos</vt:lpstr>
      <vt:lpstr>CatalogoConfiguracion</vt:lpstr>
      <vt:lpstr>FONT</vt:lpstr>
      <vt:lpstr>PENDIENTES</vt:lpstr>
      <vt:lpstr>CONTRATOS RK</vt:lpstr>
      <vt:lpstr>Especial</vt:lpstr>
      <vt:lpstr>Retiro</vt:lpstr>
      <vt:lpstr>Comercial</vt:lpstr>
      <vt:lpstr>VALUACIÓN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Carlos Alberto</cp:lastModifiedBy>
  <dcterms:created xsi:type="dcterms:W3CDTF">2017-03-15T23:42:22Z</dcterms:created>
  <dcterms:modified xsi:type="dcterms:W3CDTF">2024-04-25T20:41:52Z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2021-10-13T14:11:38Z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